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248599" documentId="13_ncr:1_{919F7C75-A13A-459D-89F8-F61B89280548}" xr6:coauthVersionLast="45" xr6:coauthVersionMax="45" xr10:uidLastSave="{3D3B7D24-5510-411A-B768-2F7766A00749}"/>
  <bookViews>
    <workbookView xWindow="-120" yWindow="-120" windowWidth="27930" windowHeight="18240" xr2:uid="{A97B9A5E-BB54-4E55-BD22-158AAF84A460}"/>
  </bookViews>
  <sheets>
    <sheet name="Cross Section Analysis" sheetId="1" r:id="rId1"/>
    <sheet name="failure_surface" sheetId="3" r:id="rId2"/>
    <sheet name="Reference" sheetId="2" r:id="rId3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12" i="1" l="1"/>
  <c r="T112" i="1" s="1"/>
  <c r="U112" i="1" l="1"/>
  <c r="AF371" i="3"/>
  <c r="AG371" i="3"/>
  <c r="AH371" i="3"/>
  <c r="AF372" i="3"/>
  <c r="AG372" i="3"/>
  <c r="AH372" i="3"/>
  <c r="AF373" i="3"/>
  <c r="AG373" i="3"/>
  <c r="AH373" i="3"/>
  <c r="AF374" i="3"/>
  <c r="AG374" i="3"/>
  <c r="AH374" i="3"/>
  <c r="AF375" i="3"/>
  <c r="AG375" i="3"/>
  <c r="AH375" i="3"/>
  <c r="AF376" i="3"/>
  <c r="AG376" i="3"/>
  <c r="AH376" i="3"/>
  <c r="AF377" i="3"/>
  <c r="AG377" i="3"/>
  <c r="AH377" i="3"/>
  <c r="AF378" i="3"/>
  <c r="AG378" i="3"/>
  <c r="AH378" i="3"/>
  <c r="AF379" i="3"/>
  <c r="AG379" i="3"/>
  <c r="AH379" i="3"/>
  <c r="AH380" i="3"/>
  <c r="AF358" i="3"/>
  <c r="AG358" i="3"/>
  <c r="AH358" i="3"/>
  <c r="AF359" i="3"/>
  <c r="AG359" i="3"/>
  <c r="AH359" i="3"/>
  <c r="AF360" i="3"/>
  <c r="AG360" i="3"/>
  <c r="AH360" i="3"/>
  <c r="AF361" i="3"/>
  <c r="AG361" i="3"/>
  <c r="AH361" i="3"/>
  <c r="AF362" i="3"/>
  <c r="AG362" i="3"/>
  <c r="AH362" i="3"/>
  <c r="AF363" i="3"/>
  <c r="AG363" i="3"/>
  <c r="AH363" i="3"/>
  <c r="AF364" i="3"/>
  <c r="AG364" i="3"/>
  <c r="AH364" i="3"/>
  <c r="AF365" i="3"/>
  <c r="AG365" i="3"/>
  <c r="AH365" i="3"/>
  <c r="AF366" i="3"/>
  <c r="AG366" i="3"/>
  <c r="AH366" i="3"/>
  <c r="AF367" i="3"/>
  <c r="AG367" i="3"/>
  <c r="AH367" i="3"/>
  <c r="AF368" i="3"/>
  <c r="AG368" i="3"/>
  <c r="AH368" i="3"/>
  <c r="AF369" i="3"/>
  <c r="AG369" i="3"/>
  <c r="AH369" i="3"/>
  <c r="AF370" i="3"/>
  <c r="AG370" i="3"/>
  <c r="AH370" i="3"/>
  <c r="AF345" i="3"/>
  <c r="AG345" i="3"/>
  <c r="AH345" i="3"/>
  <c r="AF346" i="3"/>
  <c r="AG346" i="3"/>
  <c r="AH346" i="3"/>
  <c r="AF347" i="3"/>
  <c r="AG347" i="3"/>
  <c r="AH347" i="3"/>
  <c r="AF348" i="3"/>
  <c r="AG348" i="3"/>
  <c r="AH348" i="3"/>
  <c r="AF349" i="3"/>
  <c r="AG349" i="3"/>
  <c r="AH349" i="3"/>
  <c r="AF350" i="3"/>
  <c r="AG350" i="3"/>
  <c r="AH350" i="3"/>
  <c r="AF351" i="3"/>
  <c r="AG351" i="3"/>
  <c r="AH351" i="3"/>
  <c r="AF352" i="3"/>
  <c r="AG352" i="3"/>
  <c r="AH352" i="3"/>
  <c r="AF353" i="3"/>
  <c r="AG353" i="3"/>
  <c r="AH353" i="3"/>
  <c r="AF354" i="3"/>
  <c r="AG354" i="3"/>
  <c r="AH354" i="3"/>
  <c r="AF355" i="3"/>
  <c r="AG355" i="3"/>
  <c r="AH355" i="3"/>
  <c r="AF356" i="3"/>
  <c r="AG356" i="3"/>
  <c r="AH356" i="3"/>
  <c r="AF357" i="3"/>
  <c r="AG357" i="3"/>
  <c r="AH357" i="3"/>
  <c r="AF334" i="3"/>
  <c r="AG334" i="3"/>
  <c r="AH334" i="3"/>
  <c r="AF335" i="3"/>
  <c r="AG335" i="3"/>
  <c r="AH335" i="3"/>
  <c r="AF336" i="3"/>
  <c r="AG336" i="3"/>
  <c r="AH336" i="3"/>
  <c r="AF337" i="3"/>
  <c r="AG337" i="3"/>
  <c r="AH337" i="3"/>
  <c r="AF338" i="3"/>
  <c r="AG338" i="3"/>
  <c r="AH338" i="3"/>
  <c r="AF339" i="3"/>
  <c r="AG339" i="3"/>
  <c r="AH339" i="3"/>
  <c r="AF340" i="3"/>
  <c r="AG340" i="3"/>
  <c r="AH340" i="3"/>
  <c r="AF341" i="3"/>
  <c r="AG341" i="3"/>
  <c r="AH341" i="3"/>
  <c r="AF342" i="3"/>
  <c r="AG342" i="3"/>
  <c r="AH342" i="3"/>
  <c r="AF343" i="3"/>
  <c r="AG343" i="3"/>
  <c r="AH343" i="3"/>
  <c r="AF344" i="3"/>
  <c r="AG344" i="3"/>
  <c r="AH344" i="3"/>
  <c r="AF329" i="3"/>
  <c r="AG329" i="3"/>
  <c r="AH329" i="3"/>
  <c r="AF330" i="3"/>
  <c r="AG330" i="3"/>
  <c r="AH330" i="3"/>
  <c r="AF331" i="3"/>
  <c r="AG331" i="3"/>
  <c r="AH331" i="3"/>
  <c r="AF332" i="3"/>
  <c r="AG332" i="3"/>
  <c r="AH332" i="3"/>
  <c r="AF333" i="3"/>
  <c r="AG333" i="3"/>
  <c r="AH333" i="3"/>
  <c r="AF321" i="3"/>
  <c r="AG321" i="3"/>
  <c r="AH321" i="3"/>
  <c r="AF322" i="3"/>
  <c r="AG322" i="3"/>
  <c r="AH322" i="3"/>
  <c r="AF323" i="3"/>
  <c r="AG323" i="3"/>
  <c r="AH323" i="3"/>
  <c r="AF324" i="3"/>
  <c r="AG324" i="3"/>
  <c r="AH324" i="3"/>
  <c r="AF325" i="3"/>
  <c r="AG325" i="3"/>
  <c r="AH325" i="3"/>
  <c r="AF326" i="3"/>
  <c r="AG326" i="3"/>
  <c r="AH326" i="3"/>
  <c r="AF327" i="3"/>
  <c r="AG327" i="3"/>
  <c r="AH327" i="3"/>
  <c r="AF328" i="3"/>
  <c r="AG328" i="3"/>
  <c r="AH328" i="3"/>
  <c r="AF313" i="3"/>
  <c r="AG313" i="3"/>
  <c r="AH313" i="3"/>
  <c r="AF314" i="3"/>
  <c r="AG314" i="3"/>
  <c r="AH314" i="3"/>
  <c r="AF315" i="3"/>
  <c r="AG315" i="3"/>
  <c r="AH315" i="3"/>
  <c r="AF316" i="3"/>
  <c r="AG316" i="3"/>
  <c r="AH316" i="3"/>
  <c r="AF317" i="3"/>
  <c r="AG317" i="3"/>
  <c r="AH317" i="3"/>
  <c r="AF318" i="3"/>
  <c r="AG318" i="3"/>
  <c r="AH318" i="3"/>
  <c r="AF319" i="3"/>
  <c r="AG319" i="3"/>
  <c r="AH319" i="3"/>
  <c r="AF320" i="3"/>
  <c r="AG320" i="3"/>
  <c r="AH320" i="3"/>
  <c r="AF310" i="3"/>
  <c r="AG310" i="3"/>
  <c r="AH310" i="3"/>
  <c r="AF311" i="3"/>
  <c r="AG311" i="3"/>
  <c r="AH311" i="3"/>
  <c r="AF312" i="3"/>
  <c r="AG312" i="3"/>
  <c r="AH312" i="3"/>
  <c r="AF20" i="3"/>
  <c r="AG20" i="3"/>
  <c r="AH20" i="3"/>
  <c r="AF21" i="3"/>
  <c r="AG21" i="3"/>
  <c r="AH21" i="3"/>
  <c r="AF22" i="3"/>
  <c r="AG22" i="3"/>
  <c r="AH22" i="3"/>
  <c r="AF23" i="3"/>
  <c r="AG23" i="3"/>
  <c r="AH23" i="3"/>
  <c r="AF24" i="3"/>
  <c r="AG24" i="3"/>
  <c r="AH24" i="3"/>
  <c r="AF25" i="3"/>
  <c r="AG25" i="3"/>
  <c r="AH25" i="3"/>
  <c r="AF26" i="3"/>
  <c r="AG26" i="3"/>
  <c r="AH26" i="3"/>
  <c r="AF27" i="3"/>
  <c r="AG27" i="3"/>
  <c r="AH27" i="3"/>
  <c r="AF28" i="3"/>
  <c r="AG28" i="3"/>
  <c r="AH28" i="3"/>
  <c r="AF29" i="3"/>
  <c r="AG29" i="3"/>
  <c r="AH29" i="3"/>
  <c r="AF30" i="3"/>
  <c r="AG30" i="3"/>
  <c r="AH30" i="3"/>
  <c r="AF31" i="3"/>
  <c r="AG31" i="3"/>
  <c r="AH31" i="3"/>
  <c r="AF32" i="3"/>
  <c r="AG32" i="3"/>
  <c r="AH32" i="3"/>
  <c r="AF33" i="3"/>
  <c r="AG33" i="3"/>
  <c r="AH33" i="3"/>
  <c r="AF34" i="3"/>
  <c r="AG34" i="3"/>
  <c r="AH34" i="3"/>
  <c r="AF35" i="3"/>
  <c r="AG35" i="3"/>
  <c r="AH35" i="3"/>
  <c r="AF36" i="3"/>
  <c r="AG36" i="3"/>
  <c r="AH36" i="3"/>
  <c r="AF37" i="3"/>
  <c r="AG37" i="3"/>
  <c r="AH37" i="3"/>
  <c r="AF38" i="3"/>
  <c r="AG38" i="3"/>
  <c r="AH38" i="3"/>
  <c r="AF39" i="3"/>
  <c r="AG39" i="3"/>
  <c r="AH39" i="3"/>
  <c r="AF40" i="3"/>
  <c r="AG40" i="3"/>
  <c r="AH40" i="3"/>
  <c r="AF41" i="3"/>
  <c r="AG41" i="3"/>
  <c r="AH41" i="3"/>
  <c r="AF42" i="3"/>
  <c r="AG42" i="3"/>
  <c r="AH42" i="3"/>
  <c r="AF43" i="3"/>
  <c r="AG43" i="3"/>
  <c r="AH43" i="3"/>
  <c r="AF44" i="3"/>
  <c r="AG44" i="3"/>
  <c r="AH44" i="3"/>
  <c r="AF45" i="3"/>
  <c r="AG45" i="3"/>
  <c r="AH45" i="3"/>
  <c r="AF46" i="3"/>
  <c r="AG46" i="3"/>
  <c r="AH46" i="3"/>
  <c r="AF47" i="3"/>
  <c r="AG47" i="3"/>
  <c r="AH47" i="3"/>
  <c r="AF48" i="3"/>
  <c r="AG48" i="3"/>
  <c r="AH48" i="3"/>
  <c r="AF49" i="3"/>
  <c r="AG49" i="3"/>
  <c r="AH49" i="3"/>
  <c r="AF50" i="3"/>
  <c r="AG50" i="3"/>
  <c r="AH50" i="3"/>
  <c r="AF51" i="3"/>
  <c r="AG51" i="3"/>
  <c r="AH51" i="3"/>
  <c r="AF52" i="3"/>
  <c r="AG52" i="3"/>
  <c r="AH52" i="3"/>
  <c r="AF53" i="3"/>
  <c r="AG53" i="3"/>
  <c r="AH53" i="3"/>
  <c r="AF54" i="3"/>
  <c r="AG54" i="3"/>
  <c r="AH54" i="3"/>
  <c r="AF55" i="3"/>
  <c r="AG55" i="3"/>
  <c r="AH55" i="3"/>
  <c r="AF56" i="3"/>
  <c r="AG56" i="3"/>
  <c r="AH56" i="3"/>
  <c r="AF57" i="3"/>
  <c r="AG57" i="3"/>
  <c r="AH57" i="3"/>
  <c r="AF58" i="3"/>
  <c r="AG58" i="3"/>
  <c r="AH58" i="3"/>
  <c r="AF59" i="3"/>
  <c r="AG59" i="3"/>
  <c r="AH59" i="3"/>
  <c r="AF60" i="3"/>
  <c r="AG60" i="3"/>
  <c r="AH60" i="3"/>
  <c r="AF61" i="3"/>
  <c r="AG61" i="3"/>
  <c r="AH61" i="3"/>
  <c r="AF62" i="3"/>
  <c r="AG62" i="3"/>
  <c r="AH62" i="3"/>
  <c r="AF63" i="3"/>
  <c r="AG63" i="3"/>
  <c r="AH63" i="3"/>
  <c r="AF64" i="3"/>
  <c r="AG64" i="3"/>
  <c r="AH64" i="3"/>
  <c r="AF65" i="3"/>
  <c r="AG65" i="3"/>
  <c r="AH65" i="3"/>
  <c r="AF66" i="3"/>
  <c r="AG66" i="3"/>
  <c r="AH66" i="3"/>
  <c r="AF67" i="3"/>
  <c r="AG67" i="3"/>
  <c r="AH67" i="3"/>
  <c r="AF68" i="3"/>
  <c r="AG68" i="3"/>
  <c r="AH68" i="3"/>
  <c r="AF69" i="3"/>
  <c r="AG69" i="3"/>
  <c r="AH69" i="3"/>
  <c r="AF70" i="3"/>
  <c r="AG70" i="3"/>
  <c r="AH70" i="3"/>
  <c r="AF71" i="3"/>
  <c r="AG71" i="3"/>
  <c r="AH71" i="3"/>
  <c r="AF72" i="3"/>
  <c r="AG72" i="3"/>
  <c r="AH72" i="3"/>
  <c r="AF73" i="3"/>
  <c r="AG73" i="3"/>
  <c r="AH73" i="3"/>
  <c r="AF74" i="3"/>
  <c r="AG74" i="3"/>
  <c r="AH74" i="3"/>
  <c r="AF75" i="3"/>
  <c r="AG75" i="3"/>
  <c r="AH75" i="3"/>
  <c r="AF76" i="3"/>
  <c r="AG76" i="3"/>
  <c r="AH76" i="3"/>
  <c r="AF77" i="3"/>
  <c r="AG77" i="3"/>
  <c r="AH77" i="3"/>
  <c r="AF78" i="3"/>
  <c r="AG78" i="3"/>
  <c r="AH78" i="3"/>
  <c r="AF79" i="3"/>
  <c r="AG79" i="3"/>
  <c r="AH79" i="3"/>
  <c r="AF80" i="3"/>
  <c r="AG80" i="3"/>
  <c r="AH80" i="3"/>
  <c r="AF81" i="3"/>
  <c r="AG81" i="3"/>
  <c r="AH81" i="3"/>
  <c r="AF82" i="3"/>
  <c r="AG82" i="3"/>
  <c r="AH82" i="3"/>
  <c r="AF83" i="3"/>
  <c r="AG83" i="3"/>
  <c r="AH83" i="3"/>
  <c r="AF84" i="3"/>
  <c r="AG84" i="3"/>
  <c r="AH84" i="3"/>
  <c r="AF85" i="3"/>
  <c r="AG85" i="3"/>
  <c r="AH85" i="3"/>
  <c r="AF86" i="3"/>
  <c r="AG86" i="3"/>
  <c r="AH86" i="3"/>
  <c r="AF87" i="3"/>
  <c r="AG87" i="3"/>
  <c r="AH87" i="3"/>
  <c r="AF88" i="3"/>
  <c r="AG88" i="3"/>
  <c r="AH88" i="3"/>
  <c r="AF89" i="3"/>
  <c r="AG89" i="3"/>
  <c r="AH89" i="3"/>
  <c r="AF90" i="3"/>
  <c r="AG90" i="3"/>
  <c r="AH90" i="3"/>
  <c r="AF91" i="3"/>
  <c r="AG91" i="3"/>
  <c r="AH91" i="3"/>
  <c r="AF92" i="3"/>
  <c r="AG92" i="3"/>
  <c r="AH92" i="3"/>
  <c r="AF93" i="3"/>
  <c r="AG93" i="3"/>
  <c r="AH93" i="3"/>
  <c r="AF94" i="3"/>
  <c r="AG94" i="3"/>
  <c r="AH94" i="3"/>
  <c r="AF95" i="3"/>
  <c r="AG95" i="3"/>
  <c r="AH95" i="3"/>
  <c r="AF96" i="3"/>
  <c r="AG96" i="3"/>
  <c r="AH96" i="3"/>
  <c r="AF97" i="3"/>
  <c r="AG97" i="3"/>
  <c r="AH97" i="3"/>
  <c r="AF98" i="3"/>
  <c r="AG98" i="3"/>
  <c r="AH98" i="3"/>
  <c r="AF99" i="3"/>
  <c r="AG99" i="3"/>
  <c r="AH99" i="3"/>
  <c r="AF100" i="3"/>
  <c r="AG100" i="3"/>
  <c r="AH100" i="3"/>
  <c r="AF101" i="3"/>
  <c r="AG101" i="3"/>
  <c r="AH101" i="3"/>
  <c r="AF102" i="3"/>
  <c r="AG102" i="3"/>
  <c r="AH102" i="3"/>
  <c r="AF103" i="3"/>
  <c r="AG103" i="3"/>
  <c r="AH103" i="3"/>
  <c r="AF104" i="3"/>
  <c r="AG104" i="3"/>
  <c r="AH104" i="3"/>
  <c r="AF105" i="3"/>
  <c r="AG105" i="3"/>
  <c r="AH105" i="3"/>
  <c r="AF106" i="3"/>
  <c r="AG106" i="3"/>
  <c r="AH106" i="3"/>
  <c r="AF107" i="3"/>
  <c r="AG107" i="3"/>
  <c r="AH107" i="3"/>
  <c r="AF108" i="3"/>
  <c r="AG108" i="3"/>
  <c r="AH108" i="3"/>
  <c r="AF109" i="3"/>
  <c r="AG109" i="3"/>
  <c r="AH109" i="3"/>
  <c r="AF110" i="3"/>
  <c r="AG110" i="3"/>
  <c r="AH110" i="3"/>
  <c r="AF111" i="3"/>
  <c r="AG111" i="3"/>
  <c r="AH111" i="3"/>
  <c r="AF112" i="3"/>
  <c r="AG112" i="3"/>
  <c r="AH112" i="3"/>
  <c r="AF113" i="3"/>
  <c r="AG113" i="3"/>
  <c r="AH113" i="3"/>
  <c r="AF114" i="3"/>
  <c r="AG114" i="3"/>
  <c r="AH114" i="3"/>
  <c r="AF115" i="3"/>
  <c r="AG115" i="3"/>
  <c r="AH115" i="3"/>
  <c r="AF116" i="3"/>
  <c r="AG116" i="3"/>
  <c r="AH116" i="3"/>
  <c r="AF117" i="3"/>
  <c r="AG117" i="3"/>
  <c r="AH117" i="3"/>
  <c r="AF118" i="3"/>
  <c r="AG118" i="3"/>
  <c r="AH118" i="3"/>
  <c r="AF119" i="3"/>
  <c r="AG119" i="3"/>
  <c r="AH119" i="3"/>
  <c r="AF120" i="3"/>
  <c r="AG120" i="3"/>
  <c r="AH120" i="3"/>
  <c r="AF121" i="3"/>
  <c r="AG121" i="3"/>
  <c r="AH121" i="3"/>
  <c r="AF122" i="3"/>
  <c r="AG122" i="3"/>
  <c r="AH122" i="3"/>
  <c r="AF123" i="3"/>
  <c r="AG123" i="3"/>
  <c r="AH123" i="3"/>
  <c r="AF124" i="3"/>
  <c r="AG124" i="3"/>
  <c r="AH124" i="3"/>
  <c r="AF125" i="3"/>
  <c r="AG125" i="3"/>
  <c r="AH125" i="3"/>
  <c r="AF126" i="3"/>
  <c r="AG126" i="3"/>
  <c r="AH126" i="3"/>
  <c r="AF127" i="3"/>
  <c r="AG127" i="3"/>
  <c r="AH127" i="3"/>
  <c r="AF128" i="3"/>
  <c r="AG128" i="3"/>
  <c r="AH128" i="3"/>
  <c r="AF129" i="3"/>
  <c r="AG129" i="3"/>
  <c r="AH129" i="3"/>
  <c r="AF130" i="3"/>
  <c r="AG130" i="3"/>
  <c r="AH130" i="3"/>
  <c r="AF131" i="3"/>
  <c r="AG131" i="3"/>
  <c r="AH131" i="3"/>
  <c r="AF132" i="3"/>
  <c r="AG132" i="3"/>
  <c r="AH132" i="3"/>
  <c r="AF133" i="3"/>
  <c r="AG133" i="3"/>
  <c r="AH133" i="3"/>
  <c r="AF134" i="3"/>
  <c r="AG134" i="3"/>
  <c r="AH134" i="3"/>
  <c r="AF135" i="3"/>
  <c r="AG135" i="3"/>
  <c r="AH135" i="3"/>
  <c r="AF136" i="3"/>
  <c r="AG136" i="3"/>
  <c r="AH136" i="3"/>
  <c r="AF137" i="3"/>
  <c r="AG137" i="3"/>
  <c r="AH137" i="3"/>
  <c r="AF138" i="3"/>
  <c r="AG138" i="3"/>
  <c r="AH138" i="3"/>
  <c r="AF139" i="3"/>
  <c r="AG139" i="3"/>
  <c r="AH139" i="3"/>
  <c r="AF140" i="3"/>
  <c r="AG140" i="3"/>
  <c r="AH140" i="3"/>
  <c r="AF141" i="3"/>
  <c r="AG141" i="3"/>
  <c r="AH141" i="3"/>
  <c r="AF142" i="3"/>
  <c r="AG142" i="3"/>
  <c r="AH142" i="3"/>
  <c r="AF143" i="3"/>
  <c r="AG143" i="3"/>
  <c r="AH143" i="3"/>
  <c r="AF144" i="3"/>
  <c r="AG144" i="3"/>
  <c r="AH144" i="3"/>
  <c r="AF145" i="3"/>
  <c r="AG145" i="3"/>
  <c r="AH145" i="3"/>
  <c r="AF146" i="3"/>
  <c r="AG146" i="3"/>
  <c r="AH146" i="3"/>
  <c r="AF147" i="3"/>
  <c r="AG147" i="3"/>
  <c r="AH147" i="3"/>
  <c r="AF148" i="3"/>
  <c r="AG148" i="3"/>
  <c r="AH148" i="3"/>
  <c r="AF149" i="3"/>
  <c r="AG149" i="3"/>
  <c r="AH149" i="3"/>
  <c r="AF150" i="3"/>
  <c r="AG150" i="3"/>
  <c r="AH150" i="3"/>
  <c r="AF151" i="3"/>
  <c r="AG151" i="3"/>
  <c r="AH151" i="3"/>
  <c r="AF152" i="3"/>
  <c r="AG152" i="3"/>
  <c r="AH152" i="3"/>
  <c r="AF153" i="3"/>
  <c r="AG153" i="3"/>
  <c r="AH153" i="3"/>
  <c r="AF154" i="3"/>
  <c r="AG154" i="3"/>
  <c r="AH154" i="3"/>
  <c r="AF155" i="3"/>
  <c r="AG155" i="3"/>
  <c r="AH155" i="3"/>
  <c r="AF156" i="3"/>
  <c r="AG156" i="3"/>
  <c r="AH156" i="3"/>
  <c r="AF157" i="3"/>
  <c r="AG157" i="3"/>
  <c r="AH157" i="3"/>
  <c r="AF158" i="3"/>
  <c r="AG158" i="3"/>
  <c r="AH158" i="3"/>
  <c r="AF159" i="3"/>
  <c r="AG159" i="3"/>
  <c r="AH159" i="3"/>
  <c r="AF160" i="3"/>
  <c r="AG160" i="3"/>
  <c r="AH160" i="3"/>
  <c r="AF161" i="3"/>
  <c r="AG161" i="3"/>
  <c r="AH161" i="3"/>
  <c r="AF162" i="3"/>
  <c r="AG162" i="3"/>
  <c r="AH162" i="3"/>
  <c r="AF163" i="3"/>
  <c r="AG163" i="3"/>
  <c r="AH163" i="3"/>
  <c r="AF164" i="3"/>
  <c r="AG164" i="3"/>
  <c r="AH164" i="3"/>
  <c r="AF165" i="3"/>
  <c r="AG165" i="3"/>
  <c r="AH165" i="3"/>
  <c r="AF166" i="3"/>
  <c r="AG166" i="3"/>
  <c r="AH166" i="3"/>
  <c r="AF167" i="3"/>
  <c r="AG167" i="3"/>
  <c r="AH167" i="3"/>
  <c r="AF168" i="3"/>
  <c r="AG168" i="3"/>
  <c r="AH168" i="3"/>
  <c r="AF169" i="3"/>
  <c r="AG169" i="3"/>
  <c r="AH169" i="3"/>
  <c r="AF170" i="3"/>
  <c r="AG170" i="3"/>
  <c r="AH170" i="3"/>
  <c r="AF171" i="3"/>
  <c r="AG171" i="3"/>
  <c r="AH171" i="3"/>
  <c r="AF172" i="3"/>
  <c r="AG172" i="3"/>
  <c r="AH172" i="3"/>
  <c r="AF173" i="3"/>
  <c r="AG173" i="3"/>
  <c r="AH173" i="3"/>
  <c r="AF174" i="3"/>
  <c r="AG174" i="3"/>
  <c r="AH174" i="3"/>
  <c r="AF175" i="3"/>
  <c r="AG175" i="3"/>
  <c r="AH175" i="3"/>
  <c r="AF176" i="3"/>
  <c r="AG176" i="3"/>
  <c r="AH176" i="3"/>
  <c r="AF177" i="3"/>
  <c r="AG177" i="3"/>
  <c r="AH177" i="3"/>
  <c r="AF178" i="3"/>
  <c r="AG178" i="3"/>
  <c r="AH178" i="3"/>
  <c r="AF179" i="3"/>
  <c r="AG179" i="3"/>
  <c r="AH179" i="3"/>
  <c r="AF180" i="3"/>
  <c r="AG180" i="3"/>
  <c r="AH180" i="3"/>
  <c r="AF181" i="3"/>
  <c r="AG181" i="3"/>
  <c r="AH181" i="3"/>
  <c r="AF182" i="3"/>
  <c r="AG182" i="3"/>
  <c r="AH182" i="3"/>
  <c r="AF183" i="3"/>
  <c r="AG183" i="3"/>
  <c r="AH183" i="3"/>
  <c r="AF184" i="3"/>
  <c r="AG184" i="3"/>
  <c r="AH184" i="3"/>
  <c r="AF185" i="3"/>
  <c r="AG185" i="3"/>
  <c r="AH185" i="3"/>
  <c r="AF186" i="3"/>
  <c r="AG186" i="3"/>
  <c r="AH186" i="3"/>
  <c r="AF187" i="3"/>
  <c r="AG187" i="3"/>
  <c r="AH187" i="3"/>
  <c r="AF188" i="3"/>
  <c r="AG188" i="3"/>
  <c r="AH188" i="3"/>
  <c r="AF189" i="3"/>
  <c r="AG189" i="3"/>
  <c r="AH189" i="3"/>
  <c r="AF190" i="3"/>
  <c r="AG190" i="3"/>
  <c r="AH190" i="3"/>
  <c r="AF191" i="3"/>
  <c r="AG191" i="3"/>
  <c r="AH191" i="3"/>
  <c r="AF192" i="3"/>
  <c r="AG192" i="3"/>
  <c r="AH192" i="3"/>
  <c r="AF193" i="3"/>
  <c r="AG193" i="3"/>
  <c r="AH193" i="3"/>
  <c r="AF194" i="3"/>
  <c r="AG194" i="3"/>
  <c r="AH194" i="3"/>
  <c r="AF195" i="3"/>
  <c r="AG195" i="3"/>
  <c r="AH195" i="3"/>
  <c r="AF196" i="3"/>
  <c r="AG196" i="3"/>
  <c r="AH196" i="3"/>
  <c r="AF197" i="3"/>
  <c r="AG197" i="3"/>
  <c r="AH197" i="3"/>
  <c r="AF198" i="3"/>
  <c r="AG198" i="3"/>
  <c r="AH198" i="3"/>
  <c r="AF199" i="3"/>
  <c r="AG199" i="3"/>
  <c r="AH199" i="3"/>
  <c r="AF200" i="3"/>
  <c r="AG200" i="3"/>
  <c r="AH200" i="3"/>
  <c r="AF201" i="3"/>
  <c r="AG201" i="3"/>
  <c r="AH201" i="3"/>
  <c r="AF202" i="3"/>
  <c r="AG202" i="3"/>
  <c r="AH202" i="3"/>
  <c r="AF203" i="3"/>
  <c r="AG203" i="3"/>
  <c r="AH203" i="3"/>
  <c r="AF204" i="3"/>
  <c r="AG204" i="3"/>
  <c r="AH204" i="3"/>
  <c r="AF205" i="3"/>
  <c r="AG205" i="3"/>
  <c r="AH205" i="3"/>
  <c r="AF206" i="3"/>
  <c r="AG206" i="3"/>
  <c r="AH206" i="3"/>
  <c r="AF207" i="3"/>
  <c r="AG207" i="3"/>
  <c r="AH207" i="3"/>
  <c r="AF208" i="3"/>
  <c r="AG208" i="3"/>
  <c r="AH208" i="3"/>
  <c r="AF209" i="3"/>
  <c r="AG209" i="3"/>
  <c r="AH209" i="3"/>
  <c r="AF210" i="3"/>
  <c r="AG210" i="3"/>
  <c r="AH210" i="3"/>
  <c r="AF211" i="3"/>
  <c r="AG211" i="3"/>
  <c r="AH211" i="3"/>
  <c r="AF212" i="3"/>
  <c r="AG212" i="3"/>
  <c r="AH212" i="3"/>
  <c r="AF213" i="3"/>
  <c r="AG213" i="3"/>
  <c r="AH213" i="3"/>
  <c r="AF214" i="3"/>
  <c r="AG214" i="3"/>
  <c r="AH214" i="3"/>
  <c r="AF215" i="3"/>
  <c r="AG215" i="3"/>
  <c r="AH215" i="3"/>
  <c r="AF216" i="3"/>
  <c r="AG216" i="3"/>
  <c r="AH216" i="3"/>
  <c r="AF217" i="3"/>
  <c r="AG217" i="3"/>
  <c r="AH217" i="3"/>
  <c r="AF218" i="3"/>
  <c r="AG218" i="3"/>
  <c r="AH218" i="3"/>
  <c r="AF219" i="3"/>
  <c r="AG219" i="3"/>
  <c r="AH219" i="3"/>
  <c r="AF220" i="3"/>
  <c r="AG220" i="3"/>
  <c r="AH220" i="3"/>
  <c r="AF221" i="3"/>
  <c r="AG221" i="3"/>
  <c r="AH221" i="3"/>
  <c r="AF222" i="3"/>
  <c r="AG222" i="3"/>
  <c r="AH222" i="3"/>
  <c r="AF223" i="3"/>
  <c r="AG223" i="3"/>
  <c r="AH223" i="3"/>
  <c r="AF224" i="3"/>
  <c r="AG224" i="3"/>
  <c r="AH224" i="3"/>
  <c r="AF225" i="3"/>
  <c r="AG225" i="3"/>
  <c r="AH225" i="3"/>
  <c r="AF226" i="3"/>
  <c r="AG226" i="3"/>
  <c r="AH226" i="3"/>
  <c r="AF227" i="3"/>
  <c r="AG227" i="3"/>
  <c r="AH227" i="3"/>
  <c r="AF228" i="3"/>
  <c r="AG228" i="3"/>
  <c r="AH228" i="3"/>
  <c r="AF229" i="3"/>
  <c r="AG229" i="3"/>
  <c r="AH229" i="3"/>
  <c r="AF230" i="3"/>
  <c r="AG230" i="3"/>
  <c r="AH230" i="3"/>
  <c r="AF231" i="3"/>
  <c r="AG231" i="3"/>
  <c r="AH231" i="3"/>
  <c r="AF232" i="3"/>
  <c r="AG232" i="3"/>
  <c r="AH232" i="3"/>
  <c r="AF233" i="3"/>
  <c r="AG233" i="3"/>
  <c r="AH233" i="3"/>
  <c r="AF234" i="3"/>
  <c r="AG234" i="3"/>
  <c r="AH234" i="3"/>
  <c r="AF235" i="3"/>
  <c r="AG235" i="3"/>
  <c r="AH235" i="3"/>
  <c r="AF236" i="3"/>
  <c r="AG236" i="3"/>
  <c r="AH236" i="3"/>
  <c r="AF237" i="3"/>
  <c r="AG237" i="3"/>
  <c r="AH237" i="3"/>
  <c r="AF238" i="3"/>
  <c r="AG238" i="3"/>
  <c r="AH238" i="3"/>
  <c r="AF239" i="3"/>
  <c r="AG239" i="3"/>
  <c r="AH239" i="3"/>
  <c r="AF240" i="3"/>
  <c r="AG240" i="3"/>
  <c r="AH240" i="3"/>
  <c r="AF241" i="3"/>
  <c r="AG241" i="3"/>
  <c r="AH241" i="3"/>
  <c r="AF242" i="3"/>
  <c r="AG242" i="3"/>
  <c r="AH242" i="3"/>
  <c r="AF243" i="3"/>
  <c r="AG243" i="3"/>
  <c r="AH243" i="3"/>
  <c r="AF244" i="3"/>
  <c r="AG244" i="3"/>
  <c r="AH244" i="3"/>
  <c r="AF245" i="3"/>
  <c r="AG245" i="3"/>
  <c r="AH245" i="3"/>
  <c r="AF246" i="3"/>
  <c r="AG246" i="3"/>
  <c r="AH246" i="3"/>
  <c r="AF247" i="3"/>
  <c r="AG247" i="3"/>
  <c r="AH247" i="3"/>
  <c r="AF248" i="3"/>
  <c r="AG248" i="3"/>
  <c r="AH248" i="3"/>
  <c r="AF249" i="3"/>
  <c r="AG249" i="3"/>
  <c r="AH249" i="3"/>
  <c r="AF250" i="3"/>
  <c r="AG250" i="3"/>
  <c r="AH250" i="3"/>
  <c r="AF251" i="3"/>
  <c r="AG251" i="3"/>
  <c r="AH251" i="3"/>
  <c r="AF252" i="3"/>
  <c r="AG252" i="3"/>
  <c r="AH252" i="3"/>
  <c r="AF253" i="3"/>
  <c r="AG253" i="3"/>
  <c r="AH253" i="3"/>
  <c r="AF254" i="3"/>
  <c r="AG254" i="3"/>
  <c r="AH254" i="3"/>
  <c r="AF255" i="3"/>
  <c r="AG255" i="3"/>
  <c r="AH255" i="3"/>
  <c r="AF256" i="3"/>
  <c r="AG256" i="3"/>
  <c r="AH256" i="3"/>
  <c r="AF257" i="3"/>
  <c r="AG257" i="3"/>
  <c r="AH257" i="3"/>
  <c r="AF258" i="3"/>
  <c r="AG258" i="3"/>
  <c r="AH258" i="3"/>
  <c r="AF259" i="3"/>
  <c r="AG259" i="3"/>
  <c r="AH259" i="3"/>
  <c r="AF260" i="3"/>
  <c r="AG260" i="3"/>
  <c r="AH260" i="3"/>
  <c r="AF261" i="3"/>
  <c r="AG261" i="3"/>
  <c r="AH261" i="3"/>
  <c r="AF262" i="3"/>
  <c r="AG262" i="3"/>
  <c r="AH262" i="3"/>
  <c r="AF263" i="3"/>
  <c r="AG263" i="3"/>
  <c r="AH263" i="3"/>
  <c r="AF264" i="3"/>
  <c r="AG264" i="3"/>
  <c r="AH264" i="3"/>
  <c r="AF265" i="3"/>
  <c r="AG265" i="3"/>
  <c r="AH265" i="3"/>
  <c r="AF266" i="3"/>
  <c r="AG266" i="3"/>
  <c r="AH266" i="3"/>
  <c r="AF267" i="3"/>
  <c r="AG267" i="3"/>
  <c r="AH267" i="3"/>
  <c r="AF268" i="3"/>
  <c r="AG268" i="3"/>
  <c r="AH268" i="3"/>
  <c r="AF269" i="3"/>
  <c r="AG269" i="3"/>
  <c r="AH269" i="3"/>
  <c r="AF270" i="3"/>
  <c r="AG270" i="3"/>
  <c r="AH270" i="3"/>
  <c r="AF271" i="3"/>
  <c r="AG271" i="3"/>
  <c r="AH271" i="3"/>
  <c r="AF272" i="3"/>
  <c r="AG272" i="3"/>
  <c r="AH272" i="3"/>
  <c r="AF273" i="3"/>
  <c r="AG273" i="3"/>
  <c r="AH273" i="3"/>
  <c r="AF274" i="3"/>
  <c r="AG274" i="3"/>
  <c r="AH274" i="3"/>
  <c r="AF275" i="3"/>
  <c r="AG275" i="3"/>
  <c r="AH275" i="3"/>
  <c r="AF276" i="3"/>
  <c r="AG276" i="3"/>
  <c r="AH276" i="3"/>
  <c r="AF277" i="3"/>
  <c r="AG277" i="3"/>
  <c r="AH277" i="3"/>
  <c r="AF278" i="3"/>
  <c r="AG278" i="3"/>
  <c r="AH278" i="3"/>
  <c r="AF279" i="3"/>
  <c r="AG279" i="3"/>
  <c r="AH279" i="3"/>
  <c r="AF280" i="3"/>
  <c r="AG280" i="3"/>
  <c r="AH280" i="3"/>
  <c r="AF281" i="3"/>
  <c r="AG281" i="3"/>
  <c r="AH281" i="3"/>
  <c r="AF282" i="3"/>
  <c r="AG282" i="3"/>
  <c r="AH282" i="3"/>
  <c r="AF283" i="3"/>
  <c r="AG283" i="3"/>
  <c r="AH283" i="3"/>
  <c r="AF284" i="3"/>
  <c r="AG284" i="3"/>
  <c r="AH284" i="3"/>
  <c r="AF285" i="3"/>
  <c r="AG285" i="3"/>
  <c r="AH285" i="3"/>
  <c r="AF286" i="3"/>
  <c r="AG286" i="3"/>
  <c r="AH286" i="3"/>
  <c r="AF287" i="3"/>
  <c r="AG287" i="3"/>
  <c r="AH287" i="3"/>
  <c r="AF288" i="3"/>
  <c r="AG288" i="3"/>
  <c r="AH288" i="3"/>
  <c r="AF289" i="3"/>
  <c r="AG289" i="3"/>
  <c r="AH289" i="3"/>
  <c r="AF290" i="3"/>
  <c r="AG290" i="3"/>
  <c r="AH290" i="3"/>
  <c r="AF291" i="3"/>
  <c r="AG291" i="3"/>
  <c r="AH291" i="3"/>
  <c r="AF292" i="3"/>
  <c r="AG292" i="3"/>
  <c r="AH292" i="3"/>
  <c r="AF293" i="3"/>
  <c r="AG293" i="3"/>
  <c r="AH293" i="3"/>
  <c r="AF294" i="3"/>
  <c r="AG294" i="3"/>
  <c r="AH294" i="3"/>
  <c r="AF295" i="3"/>
  <c r="AG295" i="3"/>
  <c r="AH295" i="3"/>
  <c r="AF296" i="3"/>
  <c r="AG296" i="3"/>
  <c r="AH296" i="3"/>
  <c r="AF297" i="3"/>
  <c r="AG297" i="3"/>
  <c r="AH297" i="3"/>
  <c r="AF298" i="3"/>
  <c r="AG298" i="3"/>
  <c r="AH298" i="3"/>
  <c r="AF299" i="3"/>
  <c r="AG299" i="3"/>
  <c r="AH299" i="3"/>
  <c r="AF300" i="3"/>
  <c r="AG300" i="3"/>
  <c r="AH300" i="3"/>
  <c r="AF301" i="3"/>
  <c r="AG301" i="3"/>
  <c r="AH301" i="3"/>
  <c r="AF302" i="3"/>
  <c r="AG302" i="3"/>
  <c r="AH302" i="3"/>
  <c r="AF303" i="3"/>
  <c r="AG303" i="3"/>
  <c r="AH303" i="3"/>
  <c r="AF304" i="3"/>
  <c r="AG304" i="3"/>
  <c r="AH304" i="3"/>
  <c r="AF305" i="3"/>
  <c r="AG305" i="3"/>
  <c r="AH305" i="3"/>
  <c r="AF306" i="3"/>
  <c r="AG306" i="3"/>
  <c r="AH306" i="3"/>
  <c r="AF307" i="3"/>
  <c r="AG307" i="3"/>
  <c r="AH307" i="3"/>
  <c r="AF308" i="3"/>
  <c r="AG308" i="3"/>
  <c r="AH308" i="3"/>
  <c r="AF309" i="3"/>
  <c r="AG309" i="3"/>
  <c r="AH309" i="3"/>
  <c r="AH19" i="3"/>
  <c r="AG19" i="3"/>
  <c r="AF19" i="3"/>
  <c r="N2" i="2" l="1" a="1"/>
  <c r="N2" i="2" s="1"/>
  <c r="T80" i="1"/>
  <c r="O3" i="2" l="1"/>
  <c r="N3" i="2"/>
  <c r="O2" i="2"/>
  <c r="C14" i="3"/>
  <c r="C13" i="3"/>
  <c r="A4" i="3"/>
  <c r="A3" i="3"/>
  <c r="B8" i="3"/>
  <c r="B9" i="3"/>
  <c r="R3" i="3"/>
  <c r="R2" i="3"/>
  <c r="S2" i="3" l="1" a="1"/>
  <c r="S2" i="3" s="1"/>
  <c r="T2" i="3" s="1"/>
  <c r="I19" i="3"/>
  <c r="H19" i="3"/>
  <c r="K6" i="3"/>
  <c r="J6" i="3"/>
  <c r="I6" i="3"/>
  <c r="U2" i="3" l="1"/>
  <c r="U3" i="3" s="1"/>
  <c r="T3" i="3"/>
  <c r="I2" i="3"/>
  <c r="J2" i="3"/>
  <c r="K2" i="3"/>
  <c r="M2" i="3"/>
  <c r="L2" i="3"/>
  <c r="N2" i="3"/>
  <c r="G262" i="1"/>
  <c r="G261" i="1"/>
  <c r="F262" i="1"/>
  <c r="F261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A127" i="1"/>
  <c r="B121" i="1"/>
  <c r="M18" i="3" l="1"/>
  <c r="L18" i="3"/>
  <c r="AK23" i="3"/>
  <c r="AK20" i="3"/>
  <c r="AK26" i="3"/>
  <c r="AK31" i="3"/>
  <c r="AK42" i="3"/>
  <c r="AK47" i="3"/>
  <c r="AK58" i="3"/>
  <c r="AK63" i="3"/>
  <c r="AK74" i="3"/>
  <c r="AK79" i="3"/>
  <c r="AK94" i="3"/>
  <c r="AK103" i="3"/>
  <c r="AK108" i="3"/>
  <c r="AK117" i="3"/>
  <c r="AK126" i="3"/>
  <c r="AK135" i="3"/>
  <c r="AK140" i="3"/>
  <c r="AK149" i="3"/>
  <c r="AK158" i="3"/>
  <c r="AK167" i="3"/>
  <c r="AK172" i="3"/>
  <c r="AK181" i="3"/>
  <c r="AK190" i="3"/>
  <c r="AK199" i="3"/>
  <c r="AK204" i="3"/>
  <c r="AK213" i="3"/>
  <c r="AK222" i="3"/>
  <c r="AK231" i="3"/>
  <c r="AK236" i="3"/>
  <c r="AK245" i="3"/>
  <c r="AK254" i="3"/>
  <c r="AK263" i="3"/>
  <c r="AK268" i="3"/>
  <c r="AK277" i="3"/>
  <c r="AK286" i="3"/>
  <c r="AK295" i="3"/>
  <c r="AK300" i="3"/>
  <c r="AK309" i="3"/>
  <c r="AK318" i="3"/>
  <c r="AK327" i="3"/>
  <c r="AK332" i="3"/>
  <c r="AK341" i="3"/>
  <c r="AK350" i="3"/>
  <c r="AK359" i="3"/>
  <c r="AK363" i="3"/>
  <c r="AK367" i="3"/>
  <c r="AK371" i="3"/>
  <c r="AK375" i="3"/>
  <c r="AK379" i="3"/>
  <c r="AK32" i="3"/>
  <c r="AK37" i="3"/>
  <c r="AK48" i="3"/>
  <c r="AK53" i="3"/>
  <c r="AK64" i="3"/>
  <c r="AK80" i="3"/>
  <c r="AK90" i="3"/>
  <c r="AK104" i="3"/>
  <c r="AK113" i="3"/>
  <c r="AK34" i="3"/>
  <c r="AK39" i="3"/>
  <c r="AK50" i="3"/>
  <c r="AK55" i="3"/>
  <c r="AK66" i="3"/>
  <c r="AK71" i="3"/>
  <c r="AK82" i="3"/>
  <c r="AK87" i="3"/>
  <c r="AK92" i="3"/>
  <c r="AK101" i="3"/>
  <c r="AK110" i="3"/>
  <c r="AK119" i="3"/>
  <c r="AK124" i="3"/>
  <c r="AK133" i="3"/>
  <c r="AK142" i="3"/>
  <c r="AK151" i="3"/>
  <c r="AK156" i="3"/>
  <c r="AK165" i="3"/>
  <c r="AK174" i="3"/>
  <c r="AK183" i="3"/>
  <c r="AK188" i="3"/>
  <c r="AK197" i="3"/>
  <c r="AK206" i="3"/>
  <c r="AK215" i="3"/>
  <c r="AK220" i="3"/>
  <c r="AK229" i="3"/>
  <c r="AK238" i="3"/>
  <c r="AK247" i="3"/>
  <c r="AK252" i="3"/>
  <c r="AK261" i="3"/>
  <c r="AK270" i="3"/>
  <c r="AK279" i="3"/>
  <c r="AK284" i="3"/>
  <c r="AK293" i="3"/>
  <c r="AK302" i="3"/>
  <c r="AK311" i="3"/>
  <c r="AK316" i="3"/>
  <c r="AK325" i="3"/>
  <c r="AK334" i="3"/>
  <c r="AK343" i="3"/>
  <c r="AK348" i="3"/>
  <c r="AK357" i="3"/>
  <c r="AK361" i="3"/>
  <c r="AK365" i="3"/>
  <c r="AK369" i="3"/>
  <c r="AK373" i="3"/>
  <c r="AK377" i="3"/>
  <c r="AK24" i="3"/>
  <c r="AK29" i="3"/>
  <c r="AK40" i="3"/>
  <c r="AK45" i="3"/>
  <c r="AK56" i="3"/>
  <c r="AK25" i="3"/>
  <c r="AK36" i="3"/>
  <c r="AK41" i="3"/>
  <c r="AK52" i="3"/>
  <c r="AK57" i="3"/>
  <c r="AK68" i="3"/>
  <c r="AK73" i="3"/>
  <c r="AK84" i="3"/>
  <c r="AK89" i="3"/>
  <c r="AK98" i="3"/>
  <c r="AK107" i="3"/>
  <c r="AK112" i="3"/>
  <c r="AK121" i="3"/>
  <c r="AK130" i="3"/>
  <c r="AK139" i="3"/>
  <c r="AK144" i="3"/>
  <c r="AK153" i="3"/>
  <c r="AK162" i="3"/>
  <c r="AK171" i="3"/>
  <c r="AK176" i="3"/>
  <c r="AK185" i="3"/>
  <c r="AK194" i="3"/>
  <c r="AK203" i="3"/>
  <c r="AK208" i="3"/>
  <c r="AK217" i="3"/>
  <c r="AK226" i="3"/>
  <c r="AK235" i="3"/>
  <c r="AK240" i="3"/>
  <c r="AK249" i="3"/>
  <c r="AK258" i="3"/>
  <c r="AK267" i="3"/>
  <c r="AK272" i="3"/>
  <c r="AK281" i="3"/>
  <c r="AK290" i="3"/>
  <c r="AK299" i="3"/>
  <c r="AK304" i="3"/>
  <c r="AK313" i="3"/>
  <c r="AK322" i="3"/>
  <c r="AK331" i="3"/>
  <c r="AK336" i="3"/>
  <c r="AK345" i="3"/>
  <c r="AK354" i="3"/>
  <c r="AK69" i="3"/>
  <c r="AK85" i="3"/>
  <c r="AK99" i="3"/>
  <c r="AK21" i="3"/>
  <c r="AK35" i="3"/>
  <c r="AK49" i="3"/>
  <c r="AK62" i="3"/>
  <c r="AK83" i="3"/>
  <c r="AK93" i="3"/>
  <c r="AK102" i="3"/>
  <c r="AK111" i="3"/>
  <c r="AK128" i="3"/>
  <c r="AK136" i="3"/>
  <c r="AK150" i="3"/>
  <c r="AK157" i="3"/>
  <c r="AK179" i="3"/>
  <c r="AK201" i="3"/>
  <c r="AK209" i="3"/>
  <c r="AK216" i="3"/>
  <c r="AK223" i="3"/>
  <c r="AK230" i="3"/>
  <c r="AK260" i="3"/>
  <c r="AK274" i="3"/>
  <c r="AK282" i="3"/>
  <c r="AK289" i="3"/>
  <c r="AK303" i="3"/>
  <c r="AK333" i="3"/>
  <c r="AK340" i="3"/>
  <c r="AK347" i="3"/>
  <c r="AK355" i="3"/>
  <c r="AK368" i="3"/>
  <c r="AK374" i="3"/>
  <c r="AK19" i="3"/>
  <c r="AK22" i="3"/>
  <c r="AK51" i="3"/>
  <c r="AK86" i="3"/>
  <c r="AK95" i="3"/>
  <c r="AK122" i="3"/>
  <c r="AK129" i="3"/>
  <c r="AK180" i="3"/>
  <c r="AK187" i="3"/>
  <c r="AK202" i="3"/>
  <c r="AK224" i="3"/>
  <c r="AK253" i="3"/>
  <c r="AK275" i="3"/>
  <c r="AK297" i="3"/>
  <c r="AK312" i="3"/>
  <c r="AK319" i="3"/>
  <c r="AK356" i="3"/>
  <c r="AK65" i="3"/>
  <c r="AK96" i="3"/>
  <c r="AK114" i="3"/>
  <c r="AK145" i="3"/>
  <c r="AK152" i="3"/>
  <c r="AK166" i="3"/>
  <c r="AK196" i="3"/>
  <c r="AK210" i="3"/>
  <c r="AK225" i="3"/>
  <c r="AK239" i="3"/>
  <c r="AK269" i="3"/>
  <c r="AK276" i="3"/>
  <c r="AK291" i="3"/>
  <c r="AK298" i="3"/>
  <c r="AK320" i="3"/>
  <c r="AK328" i="3"/>
  <c r="AK349" i="3"/>
  <c r="AK376" i="3"/>
  <c r="AK27" i="3"/>
  <c r="AK88" i="3"/>
  <c r="AK106" i="3"/>
  <c r="AK115" i="3"/>
  <c r="AK131" i="3"/>
  <c r="AK168" i="3"/>
  <c r="AK182" i="3"/>
  <c r="AK211" i="3"/>
  <c r="AK233" i="3"/>
  <c r="AK241" i="3"/>
  <c r="AK255" i="3"/>
  <c r="AK314" i="3"/>
  <c r="AK370" i="3"/>
  <c r="AK38" i="3"/>
  <c r="AK75" i="3"/>
  <c r="AK143" i="3"/>
  <c r="AK173" i="3"/>
  <c r="AK195" i="3"/>
  <c r="AK232" i="3"/>
  <c r="AK246" i="3"/>
  <c r="AK305" i="3"/>
  <c r="AK326" i="3"/>
  <c r="AK362" i="3"/>
  <c r="AK54" i="3"/>
  <c r="AK76" i="3"/>
  <c r="AK105" i="3"/>
  <c r="AK137" i="3"/>
  <c r="AK159" i="3"/>
  <c r="AK218" i="3"/>
  <c r="AK283" i="3"/>
  <c r="AK342" i="3"/>
  <c r="AK77" i="3"/>
  <c r="AK97" i="3"/>
  <c r="AK123" i="3"/>
  <c r="AK138" i="3"/>
  <c r="AK160" i="3"/>
  <c r="AK189" i="3"/>
  <c r="AK248" i="3"/>
  <c r="AK262" i="3"/>
  <c r="AK292" i="3"/>
  <c r="AK306" i="3"/>
  <c r="AK321" i="3"/>
  <c r="AK335" i="3"/>
  <c r="AK364" i="3"/>
  <c r="AK28" i="3"/>
  <c r="AK43" i="3"/>
  <c r="AK67" i="3"/>
  <c r="AK78" i="3"/>
  <c r="AK116" i="3"/>
  <c r="AK132" i="3"/>
  <c r="AK146" i="3"/>
  <c r="AK154" i="3"/>
  <c r="AK161" i="3"/>
  <c r="AK175" i="3"/>
  <c r="AK205" i="3"/>
  <c r="AK212" i="3"/>
  <c r="AK219" i="3"/>
  <c r="AK227" i="3"/>
  <c r="AK234" i="3"/>
  <c r="AK256" i="3"/>
  <c r="AK264" i="3"/>
  <c r="AK278" i="3"/>
  <c r="AK285" i="3"/>
  <c r="AK307" i="3"/>
  <c r="AK329" i="3"/>
  <c r="AK337" i="3"/>
  <c r="AK344" i="3"/>
  <c r="AK351" i="3"/>
  <c r="AK358" i="3"/>
  <c r="AK30" i="3"/>
  <c r="AK44" i="3"/>
  <c r="AK59" i="3"/>
  <c r="AK70" i="3"/>
  <c r="AK100" i="3"/>
  <c r="AK109" i="3"/>
  <c r="AK118" i="3"/>
  <c r="AK125" i="3"/>
  <c r="AK147" i="3"/>
  <c r="AK169" i="3"/>
  <c r="AK177" i="3"/>
  <c r="AK184" i="3"/>
  <c r="AK191" i="3"/>
  <c r="AK198" i="3"/>
  <c r="AK228" i="3"/>
  <c r="AK242" i="3"/>
  <c r="AK250" i="3"/>
  <c r="AK257" i="3"/>
  <c r="AK271" i="3"/>
  <c r="AK301" i="3"/>
  <c r="AK308" i="3"/>
  <c r="AK315" i="3"/>
  <c r="AK323" i="3"/>
  <c r="AK330" i="3"/>
  <c r="AK352" i="3"/>
  <c r="AK372" i="3"/>
  <c r="AK378" i="3"/>
  <c r="AK46" i="3"/>
  <c r="AK60" i="3"/>
  <c r="AK81" i="3"/>
  <c r="AK91" i="3"/>
  <c r="AK141" i="3"/>
  <c r="AK148" i="3"/>
  <c r="AK155" i="3"/>
  <c r="AK163" i="3"/>
  <c r="AK170" i="3"/>
  <c r="AK192" i="3"/>
  <c r="AK200" i="3"/>
  <c r="AK214" i="3"/>
  <c r="AK221" i="3"/>
  <c r="AK243" i="3"/>
  <c r="AK265" i="3"/>
  <c r="AK273" i="3"/>
  <c r="AK280" i="3"/>
  <c r="AK287" i="3"/>
  <c r="AK294" i="3"/>
  <c r="AK324" i="3"/>
  <c r="AK338" i="3"/>
  <c r="AK346" i="3"/>
  <c r="AK353" i="3"/>
  <c r="AK360" i="3"/>
  <c r="AK366" i="3"/>
  <c r="AK33" i="3"/>
  <c r="AK61" i="3"/>
  <c r="AK72" i="3"/>
  <c r="AK120" i="3"/>
  <c r="AK127" i="3"/>
  <c r="AK134" i="3"/>
  <c r="AK164" i="3"/>
  <c r="AK178" i="3"/>
  <c r="AK186" i="3"/>
  <c r="AK193" i="3"/>
  <c r="AK207" i="3"/>
  <c r="AK237" i="3"/>
  <c r="AK244" i="3"/>
  <c r="AK251" i="3"/>
  <c r="AK259" i="3"/>
  <c r="AK266" i="3"/>
  <c r="AK288" i="3"/>
  <c r="AK296" i="3"/>
  <c r="AK310" i="3"/>
  <c r="AK317" i="3"/>
  <c r="AK339" i="3"/>
  <c r="AJ20" i="3"/>
  <c r="AJ24" i="3"/>
  <c r="AJ28" i="3"/>
  <c r="AJ32" i="3"/>
  <c r="AJ36" i="3"/>
  <c r="AJ40" i="3"/>
  <c r="AJ44" i="3"/>
  <c r="AJ48" i="3"/>
  <c r="AJ52" i="3"/>
  <c r="AJ56" i="3"/>
  <c r="AJ60" i="3"/>
  <c r="AJ64" i="3"/>
  <c r="AJ68" i="3"/>
  <c r="AJ72" i="3"/>
  <c r="AJ76" i="3"/>
  <c r="AJ80" i="3"/>
  <c r="AJ84" i="3"/>
  <c r="AJ88" i="3"/>
  <c r="AJ92" i="3"/>
  <c r="AJ96" i="3"/>
  <c r="AJ100" i="3"/>
  <c r="AJ104" i="3"/>
  <c r="AJ108" i="3"/>
  <c r="AJ112" i="3"/>
  <c r="AJ116" i="3"/>
  <c r="AJ120" i="3"/>
  <c r="AJ124" i="3"/>
  <c r="AJ128" i="3"/>
  <c r="AJ132" i="3"/>
  <c r="AJ136" i="3"/>
  <c r="AJ140" i="3"/>
  <c r="AJ144" i="3"/>
  <c r="AJ148" i="3"/>
  <c r="AJ152" i="3"/>
  <c r="AJ156" i="3"/>
  <c r="AJ160" i="3"/>
  <c r="AJ164" i="3"/>
  <c r="AJ168" i="3"/>
  <c r="AJ172" i="3"/>
  <c r="AJ176" i="3"/>
  <c r="AJ180" i="3"/>
  <c r="AJ184" i="3"/>
  <c r="AJ188" i="3"/>
  <c r="AJ192" i="3"/>
  <c r="AJ196" i="3"/>
  <c r="AJ200" i="3"/>
  <c r="AJ204" i="3"/>
  <c r="AJ208" i="3"/>
  <c r="AJ212" i="3"/>
  <c r="AJ216" i="3"/>
  <c r="AJ220" i="3"/>
  <c r="AJ224" i="3"/>
  <c r="AJ228" i="3"/>
  <c r="AJ232" i="3"/>
  <c r="AJ236" i="3"/>
  <c r="AJ240" i="3"/>
  <c r="AJ244" i="3"/>
  <c r="AJ248" i="3"/>
  <c r="AJ252" i="3"/>
  <c r="AJ256" i="3"/>
  <c r="AJ260" i="3"/>
  <c r="AJ264" i="3"/>
  <c r="AJ268" i="3"/>
  <c r="AJ272" i="3"/>
  <c r="AJ276" i="3"/>
  <c r="AJ280" i="3"/>
  <c r="AJ284" i="3"/>
  <c r="AJ288" i="3"/>
  <c r="AJ292" i="3"/>
  <c r="AJ296" i="3"/>
  <c r="AJ300" i="3"/>
  <c r="AJ304" i="3"/>
  <c r="AJ308" i="3"/>
  <c r="AJ312" i="3"/>
  <c r="AJ316" i="3"/>
  <c r="AJ320" i="3"/>
  <c r="AJ324" i="3"/>
  <c r="AJ328" i="3"/>
  <c r="AJ332" i="3"/>
  <c r="AJ336" i="3"/>
  <c r="AJ340" i="3"/>
  <c r="AJ344" i="3"/>
  <c r="AJ348" i="3"/>
  <c r="AJ352" i="3"/>
  <c r="AJ356" i="3"/>
  <c r="AJ22" i="3"/>
  <c r="AJ26" i="3"/>
  <c r="AJ30" i="3"/>
  <c r="AJ34" i="3"/>
  <c r="AJ38" i="3"/>
  <c r="AJ42" i="3"/>
  <c r="AJ46" i="3"/>
  <c r="AJ50" i="3"/>
  <c r="AJ54" i="3"/>
  <c r="AJ58" i="3"/>
  <c r="AJ62" i="3"/>
  <c r="AJ66" i="3"/>
  <c r="AJ70" i="3"/>
  <c r="AJ74" i="3"/>
  <c r="AJ78" i="3"/>
  <c r="AJ82" i="3"/>
  <c r="AJ86" i="3"/>
  <c r="AJ37" i="3"/>
  <c r="AJ53" i="3"/>
  <c r="AJ69" i="3"/>
  <c r="AJ85" i="3"/>
  <c r="AJ90" i="3"/>
  <c r="AJ99" i="3"/>
  <c r="AJ113" i="3"/>
  <c r="AJ122" i="3"/>
  <c r="AJ131" i="3"/>
  <c r="AJ145" i="3"/>
  <c r="AJ154" i="3"/>
  <c r="AJ163" i="3"/>
  <c r="AJ177" i="3"/>
  <c r="AJ186" i="3"/>
  <c r="AJ195" i="3"/>
  <c r="AJ209" i="3"/>
  <c r="AJ218" i="3"/>
  <c r="AJ227" i="3"/>
  <c r="AJ241" i="3"/>
  <c r="AJ250" i="3"/>
  <c r="AJ259" i="3"/>
  <c r="AJ273" i="3"/>
  <c r="AJ282" i="3"/>
  <c r="AJ291" i="3"/>
  <c r="AJ305" i="3"/>
  <c r="AJ314" i="3"/>
  <c r="AJ323" i="3"/>
  <c r="AJ337" i="3"/>
  <c r="AJ346" i="3"/>
  <c r="AJ355" i="3"/>
  <c r="AJ21" i="3"/>
  <c r="AJ43" i="3"/>
  <c r="AJ59" i="3"/>
  <c r="AJ75" i="3"/>
  <c r="AJ95" i="3"/>
  <c r="AJ23" i="3"/>
  <c r="AJ29" i="3"/>
  <c r="AJ45" i="3"/>
  <c r="AJ61" i="3"/>
  <c r="AJ77" i="3"/>
  <c r="AJ97" i="3"/>
  <c r="AJ106" i="3"/>
  <c r="AJ115" i="3"/>
  <c r="AJ129" i="3"/>
  <c r="AJ138" i="3"/>
  <c r="AJ147" i="3"/>
  <c r="AJ161" i="3"/>
  <c r="AJ170" i="3"/>
  <c r="AJ179" i="3"/>
  <c r="AJ193" i="3"/>
  <c r="AJ202" i="3"/>
  <c r="AJ211" i="3"/>
  <c r="AJ225" i="3"/>
  <c r="AJ234" i="3"/>
  <c r="AJ243" i="3"/>
  <c r="AJ257" i="3"/>
  <c r="AJ266" i="3"/>
  <c r="AJ275" i="3"/>
  <c r="AJ289" i="3"/>
  <c r="AJ298" i="3"/>
  <c r="AJ307" i="3"/>
  <c r="AJ321" i="3"/>
  <c r="AJ330" i="3"/>
  <c r="AJ339" i="3"/>
  <c r="AJ353" i="3"/>
  <c r="AJ19" i="3"/>
  <c r="AJ35" i="3"/>
  <c r="AJ51" i="3"/>
  <c r="AJ31" i="3"/>
  <c r="AJ47" i="3"/>
  <c r="AJ63" i="3"/>
  <c r="AJ79" i="3"/>
  <c r="AJ94" i="3"/>
  <c r="AJ103" i="3"/>
  <c r="AJ117" i="3"/>
  <c r="AJ126" i="3"/>
  <c r="AJ135" i="3"/>
  <c r="AJ149" i="3"/>
  <c r="AJ158" i="3"/>
  <c r="AJ167" i="3"/>
  <c r="AJ181" i="3"/>
  <c r="AJ190" i="3"/>
  <c r="AJ199" i="3"/>
  <c r="AJ213" i="3"/>
  <c r="AJ222" i="3"/>
  <c r="AJ231" i="3"/>
  <c r="AJ245" i="3"/>
  <c r="AJ254" i="3"/>
  <c r="AJ263" i="3"/>
  <c r="AJ277" i="3"/>
  <c r="AJ286" i="3"/>
  <c r="AJ295" i="3"/>
  <c r="AJ309" i="3"/>
  <c r="AJ318" i="3"/>
  <c r="AJ327" i="3"/>
  <c r="AJ341" i="3"/>
  <c r="AJ350" i="3"/>
  <c r="AJ359" i="3"/>
  <c r="AJ363" i="3"/>
  <c r="AJ367" i="3"/>
  <c r="AJ371" i="3"/>
  <c r="AJ375" i="3"/>
  <c r="AJ379" i="3"/>
  <c r="AJ27" i="3"/>
  <c r="AJ109" i="3"/>
  <c r="AJ118" i="3"/>
  <c r="AJ73" i="3"/>
  <c r="AJ121" i="3"/>
  <c r="AJ143" i="3"/>
  <c r="AJ165" i="3"/>
  <c r="AJ173" i="3"/>
  <c r="AJ187" i="3"/>
  <c r="AJ194" i="3"/>
  <c r="AJ238" i="3"/>
  <c r="AJ246" i="3"/>
  <c r="AJ253" i="3"/>
  <c r="AJ267" i="3"/>
  <c r="AJ297" i="3"/>
  <c r="AJ311" i="3"/>
  <c r="AJ319" i="3"/>
  <c r="AJ326" i="3"/>
  <c r="AJ362" i="3"/>
  <c r="AJ65" i="3"/>
  <c r="AJ105" i="3"/>
  <c r="AJ137" i="3"/>
  <c r="AJ151" i="3"/>
  <c r="AJ159" i="3"/>
  <c r="AJ166" i="3"/>
  <c r="AJ217" i="3"/>
  <c r="AJ239" i="3"/>
  <c r="AJ261" i="3"/>
  <c r="AJ290" i="3"/>
  <c r="AJ334" i="3"/>
  <c r="AJ349" i="3"/>
  <c r="AJ369" i="3"/>
  <c r="AJ25" i="3"/>
  <c r="AJ130" i="3"/>
  <c r="AJ182" i="3"/>
  <c r="AJ255" i="3"/>
  <c r="AJ306" i="3"/>
  <c r="AJ335" i="3"/>
  <c r="AJ357" i="3"/>
  <c r="AJ370" i="3"/>
  <c r="AJ67" i="3"/>
  <c r="AJ146" i="3"/>
  <c r="AJ153" i="3"/>
  <c r="AJ197" i="3"/>
  <c r="AJ219" i="3"/>
  <c r="AJ270" i="3"/>
  <c r="AJ285" i="3"/>
  <c r="AJ299" i="3"/>
  <c r="AJ329" i="3"/>
  <c r="AJ343" i="3"/>
  <c r="AJ358" i="3"/>
  <c r="AJ377" i="3"/>
  <c r="AJ114" i="3"/>
  <c r="AJ210" i="3"/>
  <c r="AJ269" i="3"/>
  <c r="AJ283" i="3"/>
  <c r="AJ342" i="3"/>
  <c r="AJ376" i="3"/>
  <c r="AJ39" i="3"/>
  <c r="AJ87" i="3"/>
  <c r="AJ123" i="3"/>
  <c r="AJ174" i="3"/>
  <c r="AJ189" i="3"/>
  <c r="AJ203" i="3"/>
  <c r="AJ233" i="3"/>
  <c r="AJ247" i="3"/>
  <c r="AJ262" i="3"/>
  <c r="AJ313" i="3"/>
  <c r="AJ364" i="3"/>
  <c r="AJ41" i="3"/>
  <c r="AJ55" i="3"/>
  <c r="AJ175" i="3"/>
  <c r="AJ205" i="3"/>
  <c r="AJ226" i="3"/>
  <c r="AJ278" i="3"/>
  <c r="AJ351" i="3"/>
  <c r="AJ57" i="3"/>
  <c r="AJ89" i="3"/>
  <c r="AJ98" i="3"/>
  <c r="AJ107" i="3"/>
  <c r="AJ125" i="3"/>
  <c r="AJ139" i="3"/>
  <c r="AJ169" i="3"/>
  <c r="AJ183" i="3"/>
  <c r="AJ191" i="3"/>
  <c r="AJ198" i="3"/>
  <c r="AJ242" i="3"/>
  <c r="AJ249" i="3"/>
  <c r="AJ271" i="3"/>
  <c r="AJ293" i="3"/>
  <c r="AJ301" i="3"/>
  <c r="AJ315" i="3"/>
  <c r="AJ322" i="3"/>
  <c r="AJ365" i="3"/>
  <c r="AJ372" i="3"/>
  <c r="AJ378" i="3"/>
  <c r="AJ81" i="3"/>
  <c r="AJ91" i="3"/>
  <c r="AJ133" i="3"/>
  <c r="AJ141" i="3"/>
  <c r="AJ155" i="3"/>
  <c r="AJ162" i="3"/>
  <c r="AJ206" i="3"/>
  <c r="AJ214" i="3"/>
  <c r="AJ221" i="3"/>
  <c r="AJ235" i="3"/>
  <c r="AJ265" i="3"/>
  <c r="AJ279" i="3"/>
  <c r="AJ287" i="3"/>
  <c r="AJ294" i="3"/>
  <c r="AJ338" i="3"/>
  <c r="AJ345" i="3"/>
  <c r="AJ360" i="3"/>
  <c r="AJ366" i="3"/>
  <c r="AJ33" i="3"/>
  <c r="AJ71" i="3"/>
  <c r="AJ101" i="3"/>
  <c r="AJ110" i="3"/>
  <c r="AJ119" i="3"/>
  <c r="AJ127" i="3"/>
  <c r="AJ134" i="3"/>
  <c r="AJ178" i="3"/>
  <c r="AJ185" i="3"/>
  <c r="AJ207" i="3"/>
  <c r="AJ229" i="3"/>
  <c r="AJ237" i="3"/>
  <c r="AJ251" i="3"/>
  <c r="AJ258" i="3"/>
  <c r="AJ302" i="3"/>
  <c r="AJ310" i="3"/>
  <c r="AJ317" i="3"/>
  <c r="AJ331" i="3"/>
  <c r="AJ373" i="3"/>
  <c r="AJ49" i="3"/>
  <c r="AJ83" i="3"/>
  <c r="AJ93" i="3"/>
  <c r="AJ102" i="3"/>
  <c r="AJ111" i="3"/>
  <c r="AJ142" i="3"/>
  <c r="AJ150" i="3"/>
  <c r="AJ157" i="3"/>
  <c r="AJ171" i="3"/>
  <c r="AJ201" i="3"/>
  <c r="AJ215" i="3"/>
  <c r="AJ223" i="3"/>
  <c r="AJ230" i="3"/>
  <c r="AJ274" i="3"/>
  <c r="AJ281" i="3"/>
  <c r="AJ303" i="3"/>
  <c r="AJ374" i="3"/>
  <c r="AJ333" i="3"/>
  <c r="AJ325" i="3"/>
  <c r="AJ347" i="3"/>
  <c r="AJ354" i="3"/>
  <c r="AJ361" i="3"/>
  <c r="AJ368" i="3"/>
  <c r="AD39" i="3"/>
  <c r="AD27" i="3"/>
  <c r="AD35" i="3"/>
  <c r="AD19" i="3"/>
  <c r="AD97" i="3"/>
  <c r="AD117" i="3"/>
  <c r="AD40" i="3"/>
  <c r="AD44" i="3"/>
  <c r="AD48" i="3"/>
  <c r="AD52" i="3"/>
  <c r="AD56" i="3"/>
  <c r="AD60" i="3"/>
  <c r="AD64" i="3"/>
  <c r="AD68" i="3"/>
  <c r="AD72" i="3"/>
  <c r="AD76" i="3"/>
  <c r="AD80" i="3"/>
  <c r="AD84" i="3"/>
  <c r="AD88" i="3"/>
  <c r="AD92" i="3"/>
  <c r="AD96" i="3"/>
  <c r="AD100" i="3"/>
  <c r="AD104" i="3"/>
  <c r="AD108" i="3"/>
  <c r="AD112" i="3"/>
  <c r="AD116" i="3"/>
  <c r="AD20" i="3"/>
  <c r="AD28" i="3"/>
  <c r="AD36" i="3"/>
  <c r="AD85" i="3"/>
  <c r="AD113" i="3"/>
  <c r="AD21" i="3"/>
  <c r="AD29" i="3"/>
  <c r="AD37" i="3"/>
  <c r="AD93" i="3"/>
  <c r="AD109" i="3"/>
  <c r="AD30" i="3"/>
  <c r="AD41" i="3"/>
  <c r="AD45" i="3"/>
  <c r="AD49" i="3"/>
  <c r="AD53" i="3"/>
  <c r="AD57" i="3"/>
  <c r="AD61" i="3"/>
  <c r="AD65" i="3"/>
  <c r="AD69" i="3"/>
  <c r="AD73" i="3"/>
  <c r="AD77" i="3"/>
  <c r="AD81" i="3"/>
  <c r="AD89" i="3"/>
  <c r="AD101" i="3"/>
  <c r="AD105" i="3"/>
  <c r="AD22" i="3"/>
  <c r="AD38" i="3"/>
  <c r="AD23" i="3"/>
  <c r="AD31" i="3"/>
  <c r="AD34" i="3"/>
  <c r="AD42" i="3"/>
  <c r="AD46" i="3"/>
  <c r="AD50" i="3"/>
  <c r="AD54" i="3"/>
  <c r="AD58" i="3"/>
  <c r="AD62" i="3"/>
  <c r="AD66" i="3"/>
  <c r="AD70" i="3"/>
  <c r="AD74" i="3"/>
  <c r="AD78" i="3"/>
  <c r="AD82" i="3"/>
  <c r="AD86" i="3"/>
  <c r="AD90" i="3"/>
  <c r="AD94" i="3"/>
  <c r="AD98" i="3"/>
  <c r="AD102" i="3"/>
  <c r="AD106" i="3"/>
  <c r="AD110" i="3"/>
  <c r="AD114" i="3"/>
  <c r="AD118" i="3"/>
  <c r="AD24" i="3"/>
  <c r="AD32" i="3"/>
  <c r="AD25" i="3"/>
  <c r="AD33" i="3"/>
  <c r="AD26" i="3"/>
  <c r="AD43" i="3"/>
  <c r="AD47" i="3"/>
  <c r="AD51" i="3"/>
  <c r="AD55" i="3"/>
  <c r="AD59" i="3"/>
  <c r="AD63" i="3"/>
  <c r="AD67" i="3"/>
  <c r="AD71" i="3"/>
  <c r="AD75" i="3"/>
  <c r="AD79" i="3"/>
  <c r="AD83" i="3"/>
  <c r="AD87" i="3"/>
  <c r="AD91" i="3"/>
  <c r="AD95" i="3"/>
  <c r="AD99" i="3"/>
  <c r="AD103" i="3"/>
  <c r="AD107" i="3"/>
  <c r="AD111" i="3"/>
  <c r="AD115" i="3"/>
  <c r="AD119" i="3"/>
  <c r="AC40" i="3"/>
  <c r="AC44" i="3"/>
  <c r="AC48" i="3"/>
  <c r="AC52" i="3"/>
  <c r="AC56" i="3"/>
  <c r="AC60" i="3"/>
  <c r="AC64" i="3"/>
  <c r="AC68" i="3"/>
  <c r="AC72" i="3"/>
  <c r="AC76" i="3"/>
  <c r="AC80" i="3"/>
  <c r="AC84" i="3"/>
  <c r="AC88" i="3"/>
  <c r="AC92" i="3"/>
  <c r="AC96" i="3"/>
  <c r="AC100" i="3"/>
  <c r="AC104" i="3"/>
  <c r="AC108" i="3"/>
  <c r="AC112" i="3"/>
  <c r="AC116" i="3"/>
  <c r="AC23" i="3"/>
  <c r="AC31" i="3"/>
  <c r="AC24" i="3"/>
  <c r="AC19" i="3"/>
  <c r="AC33" i="3"/>
  <c r="AC26" i="3"/>
  <c r="AC30" i="3"/>
  <c r="AC32" i="3"/>
  <c r="AC34" i="3"/>
  <c r="AC41" i="3"/>
  <c r="AC45" i="3"/>
  <c r="AC49" i="3"/>
  <c r="AC53" i="3"/>
  <c r="AC57" i="3"/>
  <c r="AC61" i="3"/>
  <c r="AC65" i="3"/>
  <c r="AC69" i="3"/>
  <c r="AC73" i="3"/>
  <c r="AC77" i="3"/>
  <c r="AC81" i="3"/>
  <c r="AC85" i="3"/>
  <c r="AC89" i="3"/>
  <c r="AC93" i="3"/>
  <c r="AC97" i="3"/>
  <c r="AC101" i="3"/>
  <c r="AC105" i="3"/>
  <c r="AC109" i="3"/>
  <c r="AC113" i="3"/>
  <c r="AC117" i="3"/>
  <c r="AC25" i="3"/>
  <c r="AC42" i="3"/>
  <c r="AC46" i="3"/>
  <c r="AC50" i="3"/>
  <c r="AC54" i="3"/>
  <c r="AC58" i="3"/>
  <c r="AC62" i="3"/>
  <c r="AC66" i="3"/>
  <c r="AC70" i="3"/>
  <c r="AC74" i="3"/>
  <c r="AC78" i="3"/>
  <c r="AC82" i="3"/>
  <c r="AC86" i="3"/>
  <c r="AC90" i="3"/>
  <c r="AC94" i="3"/>
  <c r="AC98" i="3"/>
  <c r="AC102" i="3"/>
  <c r="AC106" i="3"/>
  <c r="AC110" i="3"/>
  <c r="AC114" i="3"/>
  <c r="AC118" i="3"/>
  <c r="AC39" i="3"/>
  <c r="AC27" i="3"/>
  <c r="AC35" i="3"/>
  <c r="AC111" i="3"/>
  <c r="AC119" i="3"/>
  <c r="AC21" i="3"/>
  <c r="AC37" i="3"/>
  <c r="AC20" i="3"/>
  <c r="AC28" i="3"/>
  <c r="AC36" i="3"/>
  <c r="AC107" i="3"/>
  <c r="AC115" i="3"/>
  <c r="AC29" i="3"/>
  <c r="AC38" i="3"/>
  <c r="AC43" i="3"/>
  <c r="AC47" i="3"/>
  <c r="AC51" i="3"/>
  <c r="AC55" i="3"/>
  <c r="AC59" i="3"/>
  <c r="AC63" i="3"/>
  <c r="AC67" i="3"/>
  <c r="AC71" i="3"/>
  <c r="AC75" i="3"/>
  <c r="AC79" i="3"/>
  <c r="AC83" i="3"/>
  <c r="AC87" i="3"/>
  <c r="AC91" i="3"/>
  <c r="AC95" i="3"/>
  <c r="AC99" i="3"/>
  <c r="AC103" i="3"/>
  <c r="AC22" i="3"/>
  <c r="E1836" i="3"/>
  <c r="E1817" i="3"/>
  <c r="E1493" i="3"/>
  <c r="E1754" i="3"/>
  <c r="E867" i="3"/>
  <c r="E1202" i="3"/>
  <c r="E917" i="3"/>
  <c r="E429" i="3"/>
  <c r="E1475" i="3"/>
  <c r="E1716" i="3"/>
  <c r="E1012" i="3"/>
  <c r="E1647" i="3"/>
  <c r="E1460" i="3"/>
  <c r="E741" i="3"/>
  <c r="E1337" i="3"/>
  <c r="E439" i="3"/>
  <c r="E1579" i="3"/>
  <c r="E1081" i="3"/>
  <c r="E383" i="3"/>
  <c r="E1358" i="3"/>
  <c r="E1606" i="3"/>
  <c r="E1128" i="3"/>
  <c r="E1765" i="3"/>
  <c r="E1033" i="3"/>
  <c r="E862" i="3"/>
  <c r="E3" i="3"/>
  <c r="E1785" i="3"/>
  <c r="E1623" i="3"/>
  <c r="E1774" i="3"/>
  <c r="E1718" i="3"/>
  <c r="E1574" i="3"/>
  <c r="E1372" i="3"/>
  <c r="E1461" i="3"/>
  <c r="E1684" i="3"/>
  <c r="E1411" i="3"/>
  <c r="E1170" i="3"/>
  <c r="E1305" i="3"/>
  <c r="E1042" i="3"/>
  <c r="E1096" i="3"/>
  <c r="E830" i="3"/>
  <c r="E885" i="3"/>
  <c r="E980" i="3"/>
  <c r="E541" i="3"/>
  <c r="E835" i="3"/>
  <c r="E688" i="3"/>
  <c r="E747" i="3"/>
  <c r="E484" i="3"/>
  <c r="E1797" i="3"/>
  <c r="E1703" i="3"/>
  <c r="E1786" i="3"/>
  <c r="E1429" i="3"/>
  <c r="E1542" i="3"/>
  <c r="E1131" i="3"/>
  <c r="E1408" i="3"/>
  <c r="E1652" i="3"/>
  <c r="E1343" i="3"/>
  <c r="E1138" i="3"/>
  <c r="E1273" i="3"/>
  <c r="E1320" i="3"/>
  <c r="E1064" i="3"/>
  <c r="E798" i="3"/>
  <c r="E853" i="3"/>
  <c r="E948" i="3"/>
  <c r="E569" i="3"/>
  <c r="E803" i="3"/>
  <c r="E656" i="3"/>
  <c r="E691" i="3"/>
  <c r="E215" i="3"/>
  <c r="E1806" i="3"/>
  <c r="E1332" i="3"/>
  <c r="E1510" i="3"/>
  <c r="E1653" i="3"/>
  <c r="E1350" i="3"/>
  <c r="E1620" i="3"/>
  <c r="E1119" i="3"/>
  <c r="E1106" i="3"/>
  <c r="E1241" i="3"/>
  <c r="E1288" i="3"/>
  <c r="E716" i="3"/>
  <c r="E765" i="3"/>
  <c r="E821" i="3"/>
  <c r="E916" i="3"/>
  <c r="E1027" i="3"/>
  <c r="E771" i="3"/>
  <c r="E624" i="3"/>
  <c r="E623" i="3"/>
  <c r="E150" i="3"/>
  <c r="E1535" i="3"/>
  <c r="E1829" i="3"/>
  <c r="E1479" i="3"/>
  <c r="E1818" i="3"/>
  <c r="E1115" i="3"/>
  <c r="E1478" i="3"/>
  <c r="E1621" i="3"/>
  <c r="E1191" i="3"/>
  <c r="E1588" i="3"/>
  <c r="E649" i="3"/>
  <c r="E1074" i="3"/>
  <c r="E1209" i="3"/>
  <c r="E1256" i="3"/>
  <c r="E990" i="3"/>
  <c r="E589" i="3"/>
  <c r="E789" i="3"/>
  <c r="E884" i="3"/>
  <c r="E995" i="3"/>
  <c r="E597" i="3"/>
  <c r="E592" i="3"/>
  <c r="E539" i="3"/>
  <c r="E248" i="3"/>
  <c r="E1670" i="3"/>
  <c r="E1849" i="3"/>
  <c r="E1650" i="3"/>
  <c r="E1838" i="3"/>
  <c r="E1400" i="3"/>
  <c r="E1441" i="3"/>
  <c r="E1589" i="3"/>
  <c r="E1430" i="3"/>
  <c r="E1556" i="3"/>
  <c r="E1298" i="3"/>
  <c r="E752" i="3"/>
  <c r="E1177" i="3"/>
  <c r="E1224" i="3"/>
  <c r="E958" i="3"/>
  <c r="E1013" i="3"/>
  <c r="E744" i="3"/>
  <c r="E852" i="3"/>
  <c r="E963" i="3"/>
  <c r="E689" i="3"/>
  <c r="E560" i="3"/>
  <c r="E746" i="3"/>
  <c r="E1583" i="3"/>
  <c r="E1698" i="3"/>
  <c r="E1861" i="3"/>
  <c r="E1671" i="3"/>
  <c r="E1850" i="3"/>
  <c r="E1203" i="3"/>
  <c r="E1378" i="3"/>
  <c r="E1557" i="3"/>
  <c r="E1283" i="3"/>
  <c r="E1524" i="3"/>
  <c r="E1266" i="3"/>
  <c r="E1401" i="3"/>
  <c r="E1145" i="3"/>
  <c r="E1192" i="3"/>
  <c r="E926" i="3"/>
  <c r="E981" i="3"/>
  <c r="E549" i="3"/>
  <c r="E820" i="3"/>
  <c r="E931" i="3"/>
  <c r="E486" i="3"/>
  <c r="E528" i="3"/>
  <c r="E586" i="3"/>
  <c r="E1711" i="3"/>
  <c r="E1753" i="3"/>
  <c r="E1303" i="3"/>
  <c r="E1722" i="3"/>
  <c r="E1638" i="3"/>
  <c r="E1295" i="3"/>
  <c r="E1525" i="3"/>
  <c r="E1748" i="3"/>
  <c r="E1492" i="3"/>
  <c r="E1234" i="3"/>
  <c r="E1369" i="3"/>
  <c r="E1113" i="3"/>
  <c r="E1160" i="3"/>
  <c r="E894" i="3"/>
  <c r="E949" i="3"/>
  <c r="E609" i="3"/>
  <c r="E788" i="3"/>
  <c r="E899" i="3"/>
  <c r="E291" i="3"/>
  <c r="E387" i="3"/>
  <c r="E353" i="3"/>
  <c r="E1271" i="3"/>
  <c r="E1659" i="3"/>
  <c r="E1739" i="3"/>
  <c r="E1781" i="3"/>
  <c r="E1813" i="3"/>
  <c r="E1845" i="3"/>
  <c r="E1045" i="3"/>
  <c r="E1603" i="3"/>
  <c r="E1749" i="3"/>
  <c r="E1607" i="3"/>
  <c r="E1713" i="3"/>
  <c r="E1770" i="3"/>
  <c r="E1802" i="3"/>
  <c r="E1834" i="3"/>
  <c r="E1866" i="3"/>
  <c r="E1547" i="3"/>
  <c r="E1709" i="3"/>
  <c r="E1438" i="3"/>
  <c r="E1348" i="3"/>
  <c r="E1147" i="3"/>
  <c r="E1405" i="3"/>
  <c r="E1235" i="3"/>
  <c r="E1642" i="3"/>
  <c r="E1610" i="3"/>
  <c r="E1578" i="3"/>
  <c r="E1546" i="3"/>
  <c r="E1514" i="3"/>
  <c r="E1482" i="3"/>
  <c r="E1450" i="3"/>
  <c r="E1383" i="3"/>
  <c r="E1319" i="3"/>
  <c r="E1071" i="3"/>
  <c r="E1388" i="3"/>
  <c r="E1163" i="3"/>
  <c r="E1657" i="3"/>
  <c r="E1625" i="3"/>
  <c r="E1593" i="3"/>
  <c r="E1561" i="3"/>
  <c r="E1529" i="3"/>
  <c r="E1497" i="3"/>
  <c r="E1465" i="3"/>
  <c r="E1417" i="3"/>
  <c r="E1355" i="3"/>
  <c r="E1223" i="3"/>
  <c r="E1439" i="3"/>
  <c r="E1344" i="3"/>
  <c r="E1752" i="3"/>
  <c r="E1720" i="3"/>
  <c r="E1688" i="3"/>
  <c r="E1656" i="3"/>
  <c r="E1624" i="3"/>
  <c r="E1592" i="3"/>
  <c r="E1560" i="3"/>
  <c r="E1528" i="3"/>
  <c r="E1496" i="3"/>
  <c r="E1464" i="3"/>
  <c r="E1416" i="3"/>
  <c r="E1354" i="3"/>
  <c r="E1151" i="3"/>
  <c r="E1002" i="3"/>
  <c r="E1302" i="3"/>
  <c r="E1270" i="3"/>
  <c r="E1238" i="3"/>
  <c r="E1206" i="3"/>
  <c r="E1174" i="3"/>
  <c r="E1142" i="3"/>
  <c r="E1110" i="3"/>
  <c r="E1078" i="3"/>
  <c r="E1022" i="3"/>
  <c r="E585" i="3"/>
  <c r="E1373" i="3"/>
  <c r="E1341" i="3"/>
  <c r="E1309" i="3"/>
  <c r="E1277" i="3"/>
  <c r="E1245" i="3"/>
  <c r="E1213" i="3"/>
  <c r="E1181" i="3"/>
  <c r="E1149" i="3"/>
  <c r="E1117" i="3"/>
  <c r="E1085" i="3"/>
  <c r="E1047" i="3"/>
  <c r="E1324" i="3"/>
  <c r="E1292" i="3"/>
  <c r="E1260" i="3"/>
  <c r="E1228" i="3"/>
  <c r="E1196" i="3"/>
  <c r="E1164" i="3"/>
  <c r="E1132" i="3"/>
  <c r="E1100" i="3"/>
  <c r="E1068" i="3"/>
  <c r="E1006" i="3"/>
  <c r="E994" i="3"/>
  <c r="E962" i="3"/>
  <c r="E930" i="3"/>
  <c r="E898" i="3"/>
  <c r="E866" i="3"/>
  <c r="E834" i="3"/>
  <c r="E802" i="3"/>
  <c r="E770" i="3"/>
  <c r="E621" i="3"/>
  <c r="E1017" i="3"/>
  <c r="E985" i="3"/>
  <c r="E953" i="3"/>
  <c r="E921" i="3"/>
  <c r="E889" i="3"/>
  <c r="E857" i="3"/>
  <c r="E825" i="3"/>
  <c r="E793" i="3"/>
  <c r="E757" i="3"/>
  <c r="E581" i="3"/>
  <c r="E641" i="3"/>
  <c r="E1016" i="3"/>
  <c r="E984" i="3"/>
  <c r="E952" i="3"/>
  <c r="E920" i="3"/>
  <c r="E888" i="3"/>
  <c r="E856" i="3"/>
  <c r="E824" i="3"/>
  <c r="E792" i="3"/>
  <c r="E749" i="3"/>
  <c r="E573" i="3"/>
  <c r="E601" i="3"/>
  <c r="E1031" i="3"/>
  <c r="E999" i="3"/>
  <c r="E967" i="3"/>
  <c r="E935" i="3"/>
  <c r="E903" i="3"/>
  <c r="E871" i="3"/>
  <c r="E839" i="3"/>
  <c r="E807" i="3"/>
  <c r="E775" i="3"/>
  <c r="E629" i="3"/>
  <c r="E708" i="3"/>
  <c r="E511" i="3"/>
  <c r="E367" i="3"/>
  <c r="E446" i="3"/>
  <c r="E692" i="3"/>
  <c r="E660" i="3"/>
  <c r="E628" i="3"/>
  <c r="E596" i="3"/>
  <c r="E564" i="3"/>
  <c r="E532" i="3"/>
  <c r="E419" i="3"/>
  <c r="E430" i="3"/>
  <c r="E751" i="3"/>
  <c r="E699" i="3"/>
  <c r="E635" i="3"/>
  <c r="E547" i="3"/>
  <c r="E754" i="3"/>
  <c r="E618" i="3"/>
  <c r="E386" i="3"/>
  <c r="E461" i="3"/>
  <c r="E95" i="3"/>
  <c r="E323" i="3"/>
  <c r="E182" i="3"/>
  <c r="E280" i="3"/>
  <c r="E24" i="3"/>
  <c r="E1701" i="3"/>
  <c r="E1471" i="3"/>
  <c r="E1675" i="3"/>
  <c r="E1789" i="3"/>
  <c r="E1821" i="3"/>
  <c r="E1853" i="3"/>
  <c r="E1363" i="3"/>
  <c r="E1685" i="3"/>
  <c r="E1079" i="3"/>
  <c r="E1655" i="3"/>
  <c r="E1731" i="3"/>
  <c r="E1778" i="3"/>
  <c r="E1810" i="3"/>
  <c r="E1842" i="3"/>
  <c r="E1111" i="3"/>
  <c r="E1611" i="3"/>
  <c r="E1727" i="3"/>
  <c r="E1420" i="3"/>
  <c r="E1323" i="3"/>
  <c r="E1083" i="3"/>
  <c r="E1384" i="3"/>
  <c r="E1171" i="3"/>
  <c r="E1634" i="3"/>
  <c r="E1602" i="3"/>
  <c r="E1570" i="3"/>
  <c r="E1538" i="3"/>
  <c r="E1506" i="3"/>
  <c r="E1474" i="3"/>
  <c r="E1432" i="3"/>
  <c r="E1367" i="3"/>
  <c r="E1263" i="3"/>
  <c r="E1445" i="3"/>
  <c r="E1356" i="3"/>
  <c r="E1099" i="3"/>
  <c r="E1649" i="3"/>
  <c r="E1617" i="3"/>
  <c r="E1585" i="3"/>
  <c r="E1553" i="3"/>
  <c r="E1521" i="3"/>
  <c r="E1489" i="3"/>
  <c r="E1457" i="3"/>
  <c r="E1403" i="3"/>
  <c r="E1339" i="3"/>
  <c r="E1159" i="3"/>
  <c r="E1421" i="3"/>
  <c r="E1251" i="3"/>
  <c r="E1744" i="3"/>
  <c r="E1712" i="3"/>
  <c r="E1680" i="3"/>
  <c r="E1648" i="3"/>
  <c r="E1616" i="3"/>
  <c r="E1584" i="3"/>
  <c r="E1552" i="3"/>
  <c r="E1520" i="3"/>
  <c r="E1488" i="3"/>
  <c r="E1456" i="3"/>
  <c r="E1402" i="3"/>
  <c r="E1338" i="3"/>
  <c r="E1087" i="3"/>
  <c r="E1326" i="3"/>
  <c r="E1294" i="3"/>
  <c r="E1262" i="3"/>
  <c r="E1230" i="3"/>
  <c r="E1198" i="3"/>
  <c r="E1166" i="3"/>
  <c r="E1134" i="3"/>
  <c r="E1102" i="3"/>
  <c r="E1070" i="3"/>
  <c r="E617" i="3"/>
  <c r="E1397" i="3"/>
  <c r="E1365" i="3"/>
  <c r="E1333" i="3"/>
  <c r="E1301" i="3"/>
  <c r="E1269" i="3"/>
  <c r="E1237" i="3"/>
  <c r="E1205" i="3"/>
  <c r="E1173" i="3"/>
  <c r="E1141" i="3"/>
  <c r="E1109" i="3"/>
  <c r="E1077" i="3"/>
  <c r="E553" i="3"/>
  <c r="E1316" i="3"/>
  <c r="E1284" i="3"/>
  <c r="E1252" i="3"/>
  <c r="E1220" i="3"/>
  <c r="E1188" i="3"/>
  <c r="E1156" i="3"/>
  <c r="E1124" i="3"/>
  <c r="E1092" i="3"/>
  <c r="E1060" i="3"/>
  <c r="E1059" i="3"/>
  <c r="E986" i="3"/>
  <c r="E954" i="3"/>
  <c r="E922" i="3"/>
  <c r="E890" i="3"/>
  <c r="E858" i="3"/>
  <c r="E826" i="3"/>
  <c r="E794" i="3"/>
  <c r="E745" i="3"/>
  <c r="E557" i="3"/>
  <c r="E1009" i="3"/>
  <c r="E977" i="3"/>
  <c r="E945" i="3"/>
  <c r="E913" i="3"/>
  <c r="E881" i="3"/>
  <c r="E849" i="3"/>
  <c r="E817" i="3"/>
  <c r="E785" i="3"/>
  <c r="E736" i="3"/>
  <c r="E516" i="3"/>
  <c r="E577" i="3"/>
  <c r="E1008" i="3"/>
  <c r="E976" i="3"/>
  <c r="E944" i="3"/>
  <c r="E912" i="3"/>
  <c r="E880" i="3"/>
  <c r="E848" i="3"/>
  <c r="E816" i="3"/>
  <c r="E784" i="3"/>
  <c r="E733" i="3"/>
  <c r="E761" i="3"/>
  <c r="E537" i="3"/>
  <c r="E1023" i="3"/>
  <c r="E991" i="3"/>
  <c r="E959" i="3"/>
  <c r="E927" i="3"/>
  <c r="E895" i="3"/>
  <c r="E863" i="3"/>
  <c r="E831" i="3"/>
  <c r="E799" i="3"/>
  <c r="E748" i="3"/>
  <c r="E565" i="3"/>
  <c r="E657" i="3"/>
  <c r="E479" i="3"/>
  <c r="E137" i="3"/>
  <c r="E431" i="3"/>
  <c r="E684" i="3"/>
  <c r="E652" i="3"/>
  <c r="E620" i="3"/>
  <c r="E588" i="3"/>
  <c r="E556" i="3"/>
  <c r="E524" i="3"/>
  <c r="E318" i="3"/>
  <c r="E350" i="3"/>
  <c r="E739" i="3"/>
  <c r="E687" i="3"/>
  <c r="E611" i="3"/>
  <c r="E507" i="3"/>
  <c r="E722" i="3"/>
  <c r="E554" i="3"/>
  <c r="E257" i="3"/>
  <c r="E397" i="3"/>
  <c r="E452" i="3"/>
  <c r="E91" i="3"/>
  <c r="E118" i="3"/>
  <c r="E216" i="3"/>
  <c r="E1705" i="3"/>
  <c r="E1591" i="3"/>
  <c r="E1757" i="3"/>
  <c r="E1503" i="3"/>
  <c r="E1689" i="3"/>
  <c r="E1761" i="3"/>
  <c r="E1793" i="3"/>
  <c r="E1825" i="3"/>
  <c r="E1857" i="3"/>
  <c r="E1442" i="3"/>
  <c r="E1694" i="3"/>
  <c r="E1410" i="3"/>
  <c r="E1666" i="3"/>
  <c r="E1745" i="3"/>
  <c r="E1782" i="3"/>
  <c r="E1814" i="3"/>
  <c r="E1846" i="3"/>
  <c r="E1331" i="3"/>
  <c r="E1635" i="3"/>
  <c r="E1741" i="3"/>
  <c r="E1415" i="3"/>
  <c r="E1307" i="3"/>
  <c r="E1446" i="3"/>
  <c r="E1368" i="3"/>
  <c r="E1139" i="3"/>
  <c r="E1630" i="3"/>
  <c r="E1598" i="3"/>
  <c r="E1566" i="3"/>
  <c r="E1534" i="3"/>
  <c r="E1502" i="3"/>
  <c r="E1470" i="3"/>
  <c r="E1427" i="3"/>
  <c r="E1362" i="3"/>
  <c r="E1231" i="3"/>
  <c r="E1436" i="3"/>
  <c r="E1340" i="3"/>
  <c r="E1067" i="3"/>
  <c r="E1645" i="3"/>
  <c r="E1613" i="3"/>
  <c r="E1581" i="3"/>
  <c r="E1549" i="3"/>
  <c r="E1517" i="3"/>
  <c r="E1485" i="3"/>
  <c r="E1453" i="3"/>
  <c r="E1398" i="3"/>
  <c r="E1334" i="3"/>
  <c r="E1127" i="3"/>
  <c r="E1412" i="3"/>
  <c r="E1219" i="3"/>
  <c r="E1740" i="3"/>
  <c r="E1708" i="3"/>
  <c r="E1676" i="3"/>
  <c r="E1644" i="3"/>
  <c r="E1612" i="3"/>
  <c r="E1580" i="3"/>
  <c r="E1548" i="3"/>
  <c r="E1516" i="3"/>
  <c r="E1484" i="3"/>
  <c r="E1452" i="3"/>
  <c r="E1391" i="3"/>
  <c r="E1311" i="3"/>
  <c r="E1054" i="3"/>
  <c r="E1322" i="3"/>
  <c r="E1290" i="3"/>
  <c r="E1258" i="3"/>
  <c r="E1226" i="3"/>
  <c r="E1194" i="3"/>
  <c r="E1162" i="3"/>
  <c r="E1130" i="3"/>
  <c r="E1098" i="3"/>
  <c r="E1066" i="3"/>
  <c r="E1057" i="3"/>
  <c r="E1393" i="3"/>
  <c r="E1361" i="3"/>
  <c r="E1329" i="3"/>
  <c r="E1297" i="3"/>
  <c r="E1265" i="3"/>
  <c r="E1233" i="3"/>
  <c r="E1201" i="3"/>
  <c r="E1169" i="3"/>
  <c r="E1137" i="3"/>
  <c r="E1105" i="3"/>
  <c r="E1073" i="3"/>
  <c r="E1056" i="3"/>
  <c r="E1312" i="3"/>
  <c r="E1280" i="3"/>
  <c r="E1248" i="3"/>
  <c r="E1216" i="3"/>
  <c r="E1184" i="3"/>
  <c r="E1152" i="3"/>
  <c r="E1120" i="3"/>
  <c r="E1088" i="3"/>
  <c r="E1055" i="3"/>
  <c r="E1050" i="3"/>
  <c r="E982" i="3"/>
  <c r="E950" i="3"/>
  <c r="E918" i="3"/>
  <c r="E886" i="3"/>
  <c r="E854" i="3"/>
  <c r="E822" i="3"/>
  <c r="E790" i="3"/>
  <c r="E737" i="3"/>
  <c r="E525" i="3"/>
  <c r="E1005" i="3"/>
  <c r="E973" i="3"/>
  <c r="E941" i="3"/>
  <c r="E909" i="3"/>
  <c r="E877" i="3"/>
  <c r="E845" i="3"/>
  <c r="E813" i="3"/>
  <c r="E781" i="3"/>
  <c r="E725" i="3"/>
  <c r="E466" i="3"/>
  <c r="E545" i="3"/>
  <c r="E1004" i="3"/>
  <c r="E972" i="3"/>
  <c r="E940" i="3"/>
  <c r="E908" i="3"/>
  <c r="E876" i="3"/>
  <c r="E844" i="3"/>
  <c r="E812" i="3"/>
  <c r="E780" i="3"/>
  <c r="E712" i="3"/>
  <c r="E732" i="3"/>
  <c r="E498" i="3"/>
  <c r="E1019" i="3"/>
  <c r="E987" i="3"/>
  <c r="E955" i="3"/>
  <c r="E923" i="3"/>
  <c r="E891" i="3"/>
  <c r="E859" i="3"/>
  <c r="E827" i="3"/>
  <c r="E795" i="3"/>
  <c r="E740" i="3"/>
  <c r="E533" i="3"/>
  <c r="E625" i="3"/>
  <c r="E454" i="3"/>
  <c r="E520" i="3"/>
  <c r="E391" i="3"/>
  <c r="E680" i="3"/>
  <c r="E648" i="3"/>
  <c r="E616" i="3"/>
  <c r="E584" i="3"/>
  <c r="E552" i="3"/>
  <c r="E515" i="3"/>
  <c r="E519" i="3"/>
  <c r="E313" i="3"/>
  <c r="E735" i="3"/>
  <c r="E675" i="3"/>
  <c r="E603" i="3"/>
  <c r="E475" i="3"/>
  <c r="E714" i="3"/>
  <c r="E522" i="3"/>
  <c r="E129" i="3"/>
  <c r="E365" i="3"/>
  <c r="E420" i="3"/>
  <c r="E59" i="3"/>
  <c r="E86" i="3"/>
  <c r="E184" i="3"/>
  <c r="E1767" i="3"/>
  <c r="E1715" i="3"/>
  <c r="E1374" i="3"/>
  <c r="E1643" i="3"/>
  <c r="E1750" i="3"/>
  <c r="E1406" i="3"/>
  <c r="E1275" i="3"/>
  <c r="E1437" i="3"/>
  <c r="E1352" i="3"/>
  <c r="E1107" i="3"/>
  <c r="E1626" i="3"/>
  <c r="E1594" i="3"/>
  <c r="E1562" i="3"/>
  <c r="E1530" i="3"/>
  <c r="E1498" i="3"/>
  <c r="E1466" i="3"/>
  <c r="E1418" i="3"/>
  <c r="E1351" i="3"/>
  <c r="E1199" i="3"/>
  <c r="E1431" i="3"/>
  <c r="E1291" i="3"/>
  <c r="E1673" i="3"/>
  <c r="E1641" i="3"/>
  <c r="E1609" i="3"/>
  <c r="E1577" i="3"/>
  <c r="E1545" i="3"/>
  <c r="E1513" i="3"/>
  <c r="E1481" i="3"/>
  <c r="E1449" i="3"/>
  <c r="E1387" i="3"/>
  <c r="E1327" i="3"/>
  <c r="E1095" i="3"/>
  <c r="E1407" i="3"/>
  <c r="E1187" i="3"/>
  <c r="E1736" i="3"/>
  <c r="E1704" i="3"/>
  <c r="E1672" i="3"/>
  <c r="E1640" i="3"/>
  <c r="E1608" i="3"/>
  <c r="E1576" i="3"/>
  <c r="E1544" i="3"/>
  <c r="E1512" i="3"/>
  <c r="E1480" i="3"/>
  <c r="E1448" i="3"/>
  <c r="E1386" i="3"/>
  <c r="E1279" i="3"/>
  <c r="E681" i="3"/>
  <c r="E1318" i="3"/>
  <c r="E1286" i="3"/>
  <c r="E1254" i="3"/>
  <c r="E1222" i="3"/>
  <c r="E1190" i="3"/>
  <c r="E1158" i="3"/>
  <c r="E1126" i="3"/>
  <c r="E1094" i="3"/>
  <c r="E1062" i="3"/>
  <c r="E1048" i="3"/>
  <c r="E1389" i="3"/>
  <c r="E1357" i="3"/>
  <c r="E1325" i="3"/>
  <c r="E1293" i="3"/>
  <c r="E1261" i="3"/>
  <c r="E1229" i="3"/>
  <c r="E1197" i="3"/>
  <c r="E1165" i="3"/>
  <c r="E1133" i="3"/>
  <c r="E1101" i="3"/>
  <c r="E1069" i="3"/>
  <c r="E1051" i="3"/>
  <c r="E1308" i="3"/>
  <c r="E1276" i="3"/>
  <c r="E1244" i="3"/>
  <c r="E1212" i="3"/>
  <c r="E1180" i="3"/>
  <c r="E1148" i="3"/>
  <c r="E1116" i="3"/>
  <c r="E1084" i="3"/>
  <c r="E1046" i="3"/>
  <c r="E1026" i="3"/>
  <c r="E978" i="3"/>
  <c r="E946" i="3"/>
  <c r="E914" i="3"/>
  <c r="E882" i="3"/>
  <c r="E850" i="3"/>
  <c r="E818" i="3"/>
  <c r="E786" i="3"/>
  <c r="E728" i="3"/>
  <c r="E423" i="3"/>
  <c r="E1001" i="3"/>
  <c r="E969" i="3"/>
  <c r="E937" i="3"/>
  <c r="E905" i="3"/>
  <c r="E873" i="3"/>
  <c r="E841" i="3"/>
  <c r="E809" i="3"/>
  <c r="E777" i="3"/>
  <c r="E704" i="3"/>
  <c r="E363" i="3"/>
  <c r="E459" i="3"/>
  <c r="E1000" i="3"/>
  <c r="E968" i="3"/>
  <c r="E936" i="3"/>
  <c r="E904" i="3"/>
  <c r="E872" i="3"/>
  <c r="E840" i="3"/>
  <c r="E808" i="3"/>
  <c r="E776" i="3"/>
  <c r="E701" i="3"/>
  <c r="E721" i="3"/>
  <c r="E233" i="3"/>
  <c r="E1015" i="3"/>
  <c r="E983" i="3"/>
  <c r="E951" i="3"/>
  <c r="E919" i="3"/>
  <c r="E887" i="3"/>
  <c r="E855" i="3"/>
  <c r="E823" i="3"/>
  <c r="E791" i="3"/>
  <c r="E720" i="3"/>
  <c r="E491" i="3"/>
  <c r="E593" i="3"/>
  <c r="E447" i="3"/>
  <c r="E510" i="3"/>
  <c r="E359" i="3"/>
  <c r="E676" i="3"/>
  <c r="E644" i="3"/>
  <c r="E612" i="3"/>
  <c r="E580" i="3"/>
  <c r="E548" i="3"/>
  <c r="E490" i="3"/>
  <c r="E502" i="3"/>
  <c r="E163" i="3"/>
  <c r="E731" i="3"/>
  <c r="E667" i="3"/>
  <c r="E591" i="3"/>
  <c r="E259" i="3"/>
  <c r="E690" i="3"/>
  <c r="E336" i="3"/>
  <c r="E325" i="3"/>
  <c r="E281" i="3"/>
  <c r="E388" i="3"/>
  <c r="E27" i="3"/>
  <c r="E54" i="3"/>
  <c r="E152" i="3"/>
  <c r="E1799" i="3"/>
  <c r="E1772" i="3"/>
  <c r="F20" i="3"/>
  <c r="F24" i="3"/>
  <c r="F28" i="3"/>
  <c r="F32" i="3"/>
  <c r="F36" i="3"/>
  <c r="F40" i="3"/>
  <c r="F44" i="3"/>
  <c r="F48" i="3"/>
  <c r="F52" i="3"/>
  <c r="F56" i="3"/>
  <c r="F60" i="3"/>
  <c r="F64" i="3"/>
  <c r="F68" i="3"/>
  <c r="F72" i="3"/>
  <c r="F76" i="3"/>
  <c r="F80" i="3"/>
  <c r="F84" i="3"/>
  <c r="F88" i="3"/>
  <c r="F21" i="3"/>
  <c r="F25" i="3"/>
  <c r="F29" i="3"/>
  <c r="F33" i="3"/>
  <c r="F37" i="3"/>
  <c r="F41" i="3"/>
  <c r="F45" i="3"/>
  <c r="F49" i="3"/>
  <c r="F53" i="3"/>
  <c r="F57" i="3"/>
  <c r="F61" i="3"/>
  <c r="F65" i="3"/>
  <c r="F69" i="3"/>
  <c r="F73" i="3"/>
  <c r="F77" i="3"/>
  <c r="F81" i="3"/>
  <c r="F85" i="3"/>
  <c r="F89" i="3"/>
  <c r="F93" i="3"/>
  <c r="F97" i="3"/>
  <c r="F101" i="3"/>
  <c r="F105" i="3"/>
  <c r="F109" i="3"/>
  <c r="F113" i="3"/>
  <c r="F117" i="3"/>
  <c r="F121" i="3"/>
  <c r="F125" i="3"/>
  <c r="F129" i="3"/>
  <c r="F133" i="3"/>
  <c r="F137" i="3"/>
  <c r="F141" i="3"/>
  <c r="F145" i="3"/>
  <c r="F149" i="3"/>
  <c r="F153" i="3"/>
  <c r="F157" i="3"/>
  <c r="F161" i="3"/>
  <c r="F165" i="3"/>
  <c r="F169" i="3"/>
  <c r="F173" i="3"/>
  <c r="F177" i="3"/>
  <c r="F181" i="3"/>
  <c r="F185" i="3"/>
  <c r="F189" i="3"/>
  <c r="F193" i="3"/>
  <c r="F197" i="3"/>
  <c r="F201" i="3"/>
  <c r="F205" i="3"/>
  <c r="F209" i="3"/>
  <c r="F213" i="3"/>
  <c r="F217" i="3"/>
  <c r="F221" i="3"/>
  <c r="F225" i="3"/>
  <c r="F229" i="3"/>
  <c r="F233" i="3"/>
  <c r="F237" i="3"/>
  <c r="F241" i="3"/>
  <c r="F245" i="3"/>
  <c r="F249" i="3"/>
  <c r="F253" i="3"/>
  <c r="F257" i="3"/>
  <c r="F261" i="3"/>
  <c r="F265" i="3"/>
  <c r="F269" i="3"/>
  <c r="F273" i="3"/>
  <c r="F277" i="3"/>
  <c r="F281" i="3"/>
  <c r="F285" i="3"/>
  <c r="F289" i="3"/>
  <c r="F293" i="3"/>
  <c r="F297" i="3"/>
  <c r="F301" i="3"/>
  <c r="F305" i="3"/>
  <c r="F309" i="3"/>
  <c r="F313" i="3"/>
  <c r="F317" i="3"/>
  <c r="F321" i="3"/>
  <c r="F325" i="3"/>
  <c r="F329" i="3"/>
  <c r="F333" i="3"/>
  <c r="F337" i="3"/>
  <c r="F341" i="3"/>
  <c r="F345" i="3"/>
  <c r="F349" i="3"/>
  <c r="F353" i="3"/>
  <c r="F357" i="3"/>
  <c r="F22" i="3"/>
  <c r="F26" i="3"/>
  <c r="F30" i="3"/>
  <c r="F34" i="3"/>
  <c r="F38" i="3"/>
  <c r="F42" i="3"/>
  <c r="F46" i="3"/>
  <c r="F50" i="3"/>
  <c r="F54" i="3"/>
  <c r="F58" i="3"/>
  <c r="F62" i="3"/>
  <c r="F66" i="3"/>
  <c r="F70" i="3"/>
  <c r="F74" i="3"/>
  <c r="F78" i="3"/>
  <c r="F82" i="3"/>
  <c r="F86" i="3"/>
  <c r="F90" i="3"/>
  <c r="F23" i="3"/>
  <c r="F27" i="3"/>
  <c r="F31" i="3"/>
  <c r="F35" i="3"/>
  <c r="F39" i="3"/>
  <c r="F43" i="3"/>
  <c r="F47" i="3"/>
  <c r="F51" i="3"/>
  <c r="F55" i="3"/>
  <c r="F59" i="3"/>
  <c r="F63" i="3"/>
  <c r="F67" i="3"/>
  <c r="F71" i="3"/>
  <c r="F99" i="3"/>
  <c r="F106" i="3"/>
  <c r="F112" i="3"/>
  <c r="F131" i="3"/>
  <c r="F138" i="3"/>
  <c r="F144" i="3"/>
  <c r="F163" i="3"/>
  <c r="F170" i="3"/>
  <c r="F176" i="3"/>
  <c r="F195" i="3"/>
  <c r="F202" i="3"/>
  <c r="F208" i="3"/>
  <c r="F227" i="3"/>
  <c r="F234" i="3"/>
  <c r="F240" i="3"/>
  <c r="F259" i="3"/>
  <c r="F266" i="3"/>
  <c r="F272" i="3"/>
  <c r="F291" i="3"/>
  <c r="F298" i="3"/>
  <c r="F304" i="3"/>
  <c r="F318" i="3"/>
  <c r="F327" i="3"/>
  <c r="F336" i="3"/>
  <c r="F350" i="3"/>
  <c r="F359" i="3"/>
  <c r="F363" i="3"/>
  <c r="F367" i="3"/>
  <c r="F371" i="3"/>
  <c r="F375" i="3"/>
  <c r="F379" i="3"/>
  <c r="F383" i="3"/>
  <c r="F387" i="3"/>
  <c r="F391" i="3"/>
  <c r="F395" i="3"/>
  <c r="F399" i="3"/>
  <c r="F403" i="3"/>
  <c r="F407" i="3"/>
  <c r="F411" i="3"/>
  <c r="F415" i="3"/>
  <c r="F419" i="3"/>
  <c r="F423" i="3"/>
  <c r="F427" i="3"/>
  <c r="F431" i="3"/>
  <c r="F435" i="3"/>
  <c r="F75" i="3"/>
  <c r="F94" i="3"/>
  <c r="F100" i="3"/>
  <c r="F119" i="3"/>
  <c r="F126" i="3"/>
  <c r="F132" i="3"/>
  <c r="F151" i="3"/>
  <c r="F158" i="3"/>
  <c r="F164" i="3"/>
  <c r="F183" i="3"/>
  <c r="F190" i="3"/>
  <c r="F196" i="3"/>
  <c r="F215" i="3"/>
  <c r="F222" i="3"/>
  <c r="F228" i="3"/>
  <c r="F247" i="3"/>
  <c r="F254" i="3"/>
  <c r="F260" i="3"/>
  <c r="F279" i="3"/>
  <c r="F286" i="3"/>
  <c r="F292" i="3"/>
  <c r="F314" i="3"/>
  <c r="F323" i="3"/>
  <c r="F332" i="3"/>
  <c r="F346" i="3"/>
  <c r="F355" i="3"/>
  <c r="F79" i="3"/>
  <c r="F107" i="3"/>
  <c r="F114" i="3"/>
  <c r="F120" i="3"/>
  <c r="F139" i="3"/>
  <c r="F146" i="3"/>
  <c r="F152" i="3"/>
  <c r="F171" i="3"/>
  <c r="F178" i="3"/>
  <c r="F184" i="3"/>
  <c r="F203" i="3"/>
  <c r="F210" i="3"/>
  <c r="F216" i="3"/>
  <c r="F235" i="3"/>
  <c r="F242" i="3"/>
  <c r="F248" i="3"/>
  <c r="F267" i="3"/>
  <c r="F274" i="3"/>
  <c r="F280" i="3"/>
  <c r="F299" i="3"/>
  <c r="F310" i="3"/>
  <c r="F319" i="3"/>
  <c r="F328" i="3"/>
  <c r="F342" i="3"/>
  <c r="F351" i="3"/>
  <c r="F360" i="3"/>
  <c r="F364" i="3"/>
  <c r="F368" i="3"/>
  <c r="F372" i="3"/>
  <c r="F376" i="3"/>
  <c r="F380" i="3"/>
  <c r="F384" i="3"/>
  <c r="F388" i="3"/>
  <c r="F392" i="3"/>
  <c r="F396" i="3"/>
  <c r="F400" i="3"/>
  <c r="F404" i="3"/>
  <c r="F408" i="3"/>
  <c r="F412" i="3"/>
  <c r="F416" i="3"/>
  <c r="F420" i="3"/>
  <c r="F424" i="3"/>
  <c r="F428" i="3"/>
  <c r="F432" i="3"/>
  <c r="F436" i="3"/>
  <c r="F440" i="3"/>
  <c r="F444" i="3"/>
  <c r="F448" i="3"/>
  <c r="F452" i="3"/>
  <c r="F456" i="3"/>
  <c r="F460" i="3"/>
  <c r="F464" i="3"/>
  <c r="F468" i="3"/>
  <c r="F472" i="3"/>
  <c r="F476" i="3"/>
  <c r="F480" i="3"/>
  <c r="F484" i="3"/>
  <c r="F488" i="3"/>
  <c r="F492" i="3"/>
  <c r="F496" i="3"/>
  <c r="F500" i="3"/>
  <c r="F504" i="3"/>
  <c r="F508" i="3"/>
  <c r="F512" i="3"/>
  <c r="F83" i="3"/>
  <c r="F95" i="3"/>
  <c r="F102" i="3"/>
  <c r="F108" i="3"/>
  <c r="F127" i="3"/>
  <c r="F134" i="3"/>
  <c r="F140" i="3"/>
  <c r="F159" i="3"/>
  <c r="F166" i="3"/>
  <c r="F172" i="3"/>
  <c r="F191" i="3"/>
  <c r="F198" i="3"/>
  <c r="F204" i="3"/>
  <c r="F223" i="3"/>
  <c r="F230" i="3"/>
  <c r="F236" i="3"/>
  <c r="F255" i="3"/>
  <c r="F262" i="3"/>
  <c r="F268" i="3"/>
  <c r="F287" i="3"/>
  <c r="F294" i="3"/>
  <c r="F300" i="3"/>
  <c r="F306" i="3"/>
  <c r="F315" i="3"/>
  <c r="F324" i="3"/>
  <c r="F338" i="3"/>
  <c r="F347" i="3"/>
  <c r="F356" i="3"/>
  <c r="F87" i="3"/>
  <c r="F96" i="3"/>
  <c r="F115" i="3"/>
  <c r="F122" i="3"/>
  <c r="F128" i="3"/>
  <c r="F147" i="3"/>
  <c r="F154" i="3"/>
  <c r="F160" i="3"/>
  <c r="F179" i="3"/>
  <c r="F186" i="3"/>
  <c r="F192" i="3"/>
  <c r="F211" i="3"/>
  <c r="F218" i="3"/>
  <c r="F224" i="3"/>
  <c r="F243" i="3"/>
  <c r="F250" i="3"/>
  <c r="F256" i="3"/>
  <c r="F275" i="3"/>
  <c r="F282" i="3"/>
  <c r="F288" i="3"/>
  <c r="F311" i="3"/>
  <c r="F320" i="3"/>
  <c r="F334" i="3"/>
  <c r="F343" i="3"/>
  <c r="F352" i="3"/>
  <c r="F361" i="3"/>
  <c r="F365" i="3"/>
  <c r="F369" i="3"/>
  <c r="F373" i="3"/>
  <c r="F377" i="3"/>
  <c r="F381" i="3"/>
  <c r="F385" i="3"/>
  <c r="F389" i="3"/>
  <c r="F393" i="3"/>
  <c r="F397" i="3"/>
  <c r="F401" i="3"/>
  <c r="F405" i="3"/>
  <c r="F409" i="3"/>
  <c r="F413" i="3"/>
  <c r="F417" i="3"/>
  <c r="F421" i="3"/>
  <c r="F425" i="3"/>
  <c r="F103" i="3"/>
  <c r="F110" i="3"/>
  <c r="F116" i="3"/>
  <c r="F135" i="3"/>
  <c r="F142" i="3"/>
  <c r="F148" i="3"/>
  <c r="F167" i="3"/>
  <c r="F174" i="3"/>
  <c r="F180" i="3"/>
  <c r="F199" i="3"/>
  <c r="F206" i="3"/>
  <c r="F212" i="3"/>
  <c r="F231" i="3"/>
  <c r="F238" i="3"/>
  <c r="F244" i="3"/>
  <c r="F263" i="3"/>
  <c r="F270" i="3"/>
  <c r="F276" i="3"/>
  <c r="F295" i="3"/>
  <c r="F302" i="3"/>
  <c r="F307" i="3"/>
  <c r="F316" i="3"/>
  <c r="F330" i="3"/>
  <c r="F339" i="3"/>
  <c r="F348" i="3"/>
  <c r="F91" i="3"/>
  <c r="F98" i="3"/>
  <c r="F104" i="3"/>
  <c r="F123" i="3"/>
  <c r="F130" i="3"/>
  <c r="F136" i="3"/>
  <c r="F155" i="3"/>
  <c r="F162" i="3"/>
  <c r="F168" i="3"/>
  <c r="F187" i="3"/>
  <c r="F194" i="3"/>
  <c r="F200" i="3"/>
  <c r="F219" i="3"/>
  <c r="F226" i="3"/>
  <c r="F232" i="3"/>
  <c r="F251" i="3"/>
  <c r="F258" i="3"/>
  <c r="F264" i="3"/>
  <c r="F283" i="3"/>
  <c r="F290" i="3"/>
  <c r="F296" i="3"/>
  <c r="F312" i="3"/>
  <c r="F326" i="3"/>
  <c r="F335" i="3"/>
  <c r="F344" i="3"/>
  <c r="F358" i="3"/>
  <c r="F362" i="3"/>
  <c r="F366" i="3"/>
  <c r="F370" i="3"/>
  <c r="F374" i="3"/>
  <c r="F378" i="3"/>
  <c r="F382" i="3"/>
  <c r="F386" i="3"/>
  <c r="F390" i="3"/>
  <c r="F394" i="3"/>
  <c r="F398" i="3"/>
  <c r="F402" i="3"/>
  <c r="F406" i="3"/>
  <c r="F410" i="3"/>
  <c r="F414" i="3"/>
  <c r="F418" i="3"/>
  <c r="F92" i="3"/>
  <c r="F143" i="3"/>
  <c r="F246" i="3"/>
  <c r="F426" i="3"/>
  <c r="F434" i="3"/>
  <c r="F447" i="3"/>
  <c r="F454" i="3"/>
  <c r="F461" i="3"/>
  <c r="F479" i="3"/>
  <c r="F486" i="3"/>
  <c r="F493" i="3"/>
  <c r="F511" i="3"/>
  <c r="F517" i="3"/>
  <c r="F150" i="3"/>
  <c r="F252" i="3"/>
  <c r="F303" i="3"/>
  <c r="F340" i="3"/>
  <c r="F442" i="3"/>
  <c r="F449" i="3"/>
  <c r="F467" i="3"/>
  <c r="F474" i="3"/>
  <c r="F481" i="3"/>
  <c r="F499" i="3"/>
  <c r="F506" i="3"/>
  <c r="F513" i="3"/>
  <c r="F522" i="3"/>
  <c r="F526" i="3"/>
  <c r="F530" i="3"/>
  <c r="F534" i="3"/>
  <c r="F538" i="3"/>
  <c r="F542" i="3"/>
  <c r="F546" i="3"/>
  <c r="F550" i="3"/>
  <c r="F554" i="3"/>
  <c r="F558" i="3"/>
  <c r="F562" i="3"/>
  <c r="F566" i="3"/>
  <c r="F570" i="3"/>
  <c r="F574" i="3"/>
  <c r="F578" i="3"/>
  <c r="F582" i="3"/>
  <c r="F586" i="3"/>
  <c r="F590" i="3"/>
  <c r="F594" i="3"/>
  <c r="F598" i="3"/>
  <c r="F602" i="3"/>
  <c r="F606" i="3"/>
  <c r="F610" i="3"/>
  <c r="F614" i="3"/>
  <c r="F618" i="3"/>
  <c r="F622" i="3"/>
  <c r="F626" i="3"/>
  <c r="F630" i="3"/>
  <c r="F634" i="3"/>
  <c r="F638" i="3"/>
  <c r="F642" i="3"/>
  <c r="F646" i="3"/>
  <c r="F650" i="3"/>
  <c r="F654" i="3"/>
  <c r="F658" i="3"/>
  <c r="F662" i="3"/>
  <c r="F666" i="3"/>
  <c r="F670" i="3"/>
  <c r="F674" i="3"/>
  <c r="F678" i="3"/>
  <c r="F682" i="3"/>
  <c r="F686" i="3"/>
  <c r="F690" i="3"/>
  <c r="F694" i="3"/>
  <c r="F698" i="3"/>
  <c r="F702" i="3"/>
  <c r="F706" i="3"/>
  <c r="F710" i="3"/>
  <c r="F714" i="3"/>
  <c r="F718" i="3"/>
  <c r="F722" i="3"/>
  <c r="F726" i="3"/>
  <c r="F730" i="3"/>
  <c r="F734" i="3"/>
  <c r="F738" i="3"/>
  <c r="F742" i="3"/>
  <c r="F746" i="3"/>
  <c r="F750" i="3"/>
  <c r="F754" i="3"/>
  <c r="F758" i="3"/>
  <c r="F762" i="3"/>
  <c r="F156" i="3"/>
  <c r="F207" i="3"/>
  <c r="F308" i="3"/>
  <c r="F429" i="3"/>
  <c r="F437" i="3"/>
  <c r="F455" i="3"/>
  <c r="F462" i="3"/>
  <c r="F469" i="3"/>
  <c r="F487" i="3"/>
  <c r="F494" i="3"/>
  <c r="F501" i="3"/>
  <c r="F518" i="3"/>
  <c r="F111" i="3"/>
  <c r="F214" i="3"/>
  <c r="F443" i="3"/>
  <c r="F450" i="3"/>
  <c r="F457" i="3"/>
  <c r="F475" i="3"/>
  <c r="F482" i="3"/>
  <c r="F489" i="3"/>
  <c r="F507" i="3"/>
  <c r="F514" i="3"/>
  <c r="F523" i="3"/>
  <c r="F527" i="3"/>
  <c r="F531" i="3"/>
  <c r="F535" i="3"/>
  <c r="F539" i="3"/>
  <c r="F543" i="3"/>
  <c r="F547" i="3"/>
  <c r="F551" i="3"/>
  <c r="F555" i="3"/>
  <c r="F559" i="3"/>
  <c r="F563" i="3"/>
  <c r="F567" i="3"/>
  <c r="F571" i="3"/>
  <c r="F575" i="3"/>
  <c r="F579" i="3"/>
  <c r="F583" i="3"/>
  <c r="F587" i="3"/>
  <c r="F591" i="3"/>
  <c r="F595" i="3"/>
  <c r="F599" i="3"/>
  <c r="F603" i="3"/>
  <c r="F607" i="3"/>
  <c r="F611" i="3"/>
  <c r="F615" i="3"/>
  <c r="F619" i="3"/>
  <c r="F623" i="3"/>
  <c r="F627" i="3"/>
  <c r="F631" i="3"/>
  <c r="F635" i="3"/>
  <c r="F639" i="3"/>
  <c r="F643" i="3"/>
  <c r="F647" i="3"/>
  <c r="F651" i="3"/>
  <c r="F655" i="3"/>
  <c r="F659" i="3"/>
  <c r="F663" i="3"/>
  <c r="F667" i="3"/>
  <c r="F671" i="3"/>
  <c r="F675" i="3"/>
  <c r="F679" i="3"/>
  <c r="F683" i="3"/>
  <c r="F687" i="3"/>
  <c r="F691" i="3"/>
  <c r="F695" i="3"/>
  <c r="F699" i="3"/>
  <c r="F703" i="3"/>
  <c r="F707" i="3"/>
  <c r="F711" i="3"/>
  <c r="F715" i="3"/>
  <c r="F719" i="3"/>
  <c r="F723" i="3"/>
  <c r="F727" i="3"/>
  <c r="F731" i="3"/>
  <c r="F735" i="3"/>
  <c r="F739" i="3"/>
  <c r="F743" i="3"/>
  <c r="F747" i="3"/>
  <c r="F118" i="3"/>
  <c r="F220" i="3"/>
  <c r="F271" i="3"/>
  <c r="F354" i="3"/>
  <c r="F430" i="3"/>
  <c r="F438" i="3"/>
  <c r="F445" i="3"/>
  <c r="F463" i="3"/>
  <c r="F470" i="3"/>
  <c r="F477" i="3"/>
  <c r="F495" i="3"/>
  <c r="F502" i="3"/>
  <c r="F509" i="3"/>
  <c r="F519" i="3"/>
  <c r="F124" i="3"/>
  <c r="F175" i="3"/>
  <c r="F278" i="3"/>
  <c r="F322" i="3"/>
  <c r="F422" i="3"/>
  <c r="F451" i="3"/>
  <c r="F458" i="3"/>
  <c r="F465" i="3"/>
  <c r="F483" i="3"/>
  <c r="F490" i="3"/>
  <c r="F497" i="3"/>
  <c r="F515" i="3"/>
  <c r="F524" i="3"/>
  <c r="F528" i="3"/>
  <c r="F532" i="3"/>
  <c r="F536" i="3"/>
  <c r="F540" i="3"/>
  <c r="F544" i="3"/>
  <c r="F548" i="3"/>
  <c r="F552" i="3"/>
  <c r="F556" i="3"/>
  <c r="F560" i="3"/>
  <c r="F564" i="3"/>
  <c r="F568" i="3"/>
  <c r="F572" i="3"/>
  <c r="F576" i="3"/>
  <c r="F580" i="3"/>
  <c r="F584" i="3"/>
  <c r="F588" i="3"/>
  <c r="F592" i="3"/>
  <c r="F596" i="3"/>
  <c r="F600" i="3"/>
  <c r="F604" i="3"/>
  <c r="F608" i="3"/>
  <c r="F612" i="3"/>
  <c r="F616" i="3"/>
  <c r="F620" i="3"/>
  <c r="F624" i="3"/>
  <c r="F628" i="3"/>
  <c r="F632" i="3"/>
  <c r="F636" i="3"/>
  <c r="F640" i="3"/>
  <c r="F644" i="3"/>
  <c r="F648" i="3"/>
  <c r="F652" i="3"/>
  <c r="F656" i="3"/>
  <c r="F660" i="3"/>
  <c r="F664" i="3"/>
  <c r="F668" i="3"/>
  <c r="F672" i="3"/>
  <c r="F676" i="3"/>
  <c r="F680" i="3"/>
  <c r="F684" i="3"/>
  <c r="F688" i="3"/>
  <c r="F692" i="3"/>
  <c r="F696" i="3"/>
  <c r="F700" i="3"/>
  <c r="F704" i="3"/>
  <c r="F708" i="3"/>
  <c r="F712" i="3"/>
  <c r="F716" i="3"/>
  <c r="F720" i="3"/>
  <c r="F724" i="3"/>
  <c r="F728" i="3"/>
  <c r="F732" i="3"/>
  <c r="F188" i="3"/>
  <c r="F239" i="3"/>
  <c r="F331" i="3"/>
  <c r="F441" i="3"/>
  <c r="F459" i="3"/>
  <c r="F466" i="3"/>
  <c r="F473" i="3"/>
  <c r="F491" i="3"/>
  <c r="F498" i="3"/>
  <c r="F505" i="3"/>
  <c r="F516" i="3"/>
  <c r="F521" i="3"/>
  <c r="F525" i="3"/>
  <c r="F529" i="3"/>
  <c r="F533" i="3"/>
  <c r="F537" i="3"/>
  <c r="F541" i="3"/>
  <c r="F545" i="3"/>
  <c r="F549" i="3"/>
  <c r="F553" i="3"/>
  <c r="F557" i="3"/>
  <c r="F561" i="3"/>
  <c r="F565" i="3"/>
  <c r="F569" i="3"/>
  <c r="F573" i="3"/>
  <c r="F577" i="3"/>
  <c r="F581" i="3"/>
  <c r="F585" i="3"/>
  <c r="F589" i="3"/>
  <c r="F593" i="3"/>
  <c r="F597" i="3"/>
  <c r="F601" i="3"/>
  <c r="F605" i="3"/>
  <c r="F609" i="3"/>
  <c r="F613" i="3"/>
  <c r="F617" i="3"/>
  <c r="F621" i="3"/>
  <c r="F625" i="3"/>
  <c r="F629" i="3"/>
  <c r="F633" i="3"/>
  <c r="F637" i="3"/>
  <c r="F641" i="3"/>
  <c r="F645" i="3"/>
  <c r="F649" i="3"/>
  <c r="F653" i="3"/>
  <c r="F657" i="3"/>
  <c r="F661" i="3"/>
  <c r="F665" i="3"/>
  <c r="F669" i="3"/>
  <c r="F673" i="3"/>
  <c r="F677" i="3"/>
  <c r="F681" i="3"/>
  <c r="F685" i="3"/>
  <c r="F689" i="3"/>
  <c r="F693" i="3"/>
  <c r="F697" i="3"/>
  <c r="F433" i="3"/>
  <c r="F485" i="3"/>
  <c r="F717" i="3"/>
  <c r="F737" i="3"/>
  <c r="F745" i="3"/>
  <c r="F765" i="3"/>
  <c r="F770" i="3"/>
  <c r="F774" i="3"/>
  <c r="F778" i="3"/>
  <c r="F782" i="3"/>
  <c r="F786" i="3"/>
  <c r="F790" i="3"/>
  <c r="F794" i="3"/>
  <c r="F798" i="3"/>
  <c r="F802" i="3"/>
  <c r="F806" i="3"/>
  <c r="F810" i="3"/>
  <c r="F814" i="3"/>
  <c r="F818" i="3"/>
  <c r="F822" i="3"/>
  <c r="F826" i="3"/>
  <c r="F830" i="3"/>
  <c r="F834" i="3"/>
  <c r="F838" i="3"/>
  <c r="F842" i="3"/>
  <c r="F846" i="3"/>
  <c r="F850" i="3"/>
  <c r="F854" i="3"/>
  <c r="F858" i="3"/>
  <c r="F862" i="3"/>
  <c r="F866" i="3"/>
  <c r="F870" i="3"/>
  <c r="F874" i="3"/>
  <c r="F878" i="3"/>
  <c r="F882" i="3"/>
  <c r="F886" i="3"/>
  <c r="F890" i="3"/>
  <c r="F894" i="3"/>
  <c r="F898" i="3"/>
  <c r="F902" i="3"/>
  <c r="F906" i="3"/>
  <c r="F910" i="3"/>
  <c r="F914" i="3"/>
  <c r="F918" i="3"/>
  <c r="F922" i="3"/>
  <c r="F926" i="3"/>
  <c r="F930" i="3"/>
  <c r="F934" i="3"/>
  <c r="F938" i="3"/>
  <c r="F942" i="3"/>
  <c r="F946" i="3"/>
  <c r="F950" i="3"/>
  <c r="F954" i="3"/>
  <c r="F958" i="3"/>
  <c r="F962" i="3"/>
  <c r="F966" i="3"/>
  <c r="F970" i="3"/>
  <c r="F974" i="3"/>
  <c r="F978" i="3"/>
  <c r="F982" i="3"/>
  <c r="F986" i="3"/>
  <c r="F990" i="3"/>
  <c r="F994" i="3"/>
  <c r="F998" i="3"/>
  <c r="F1002" i="3"/>
  <c r="F1006" i="3"/>
  <c r="F1010" i="3"/>
  <c r="F1014" i="3"/>
  <c r="F1018" i="3"/>
  <c r="F1022" i="3"/>
  <c r="F1026" i="3"/>
  <c r="F1030" i="3"/>
  <c r="F1034" i="3"/>
  <c r="F1038" i="3"/>
  <c r="F182" i="3"/>
  <c r="F439" i="3"/>
  <c r="F729" i="3"/>
  <c r="F753" i="3"/>
  <c r="F760" i="3"/>
  <c r="F766" i="3"/>
  <c r="F446" i="3"/>
  <c r="F709" i="3"/>
  <c r="F740" i="3"/>
  <c r="F748" i="3"/>
  <c r="F755" i="3"/>
  <c r="F767" i="3"/>
  <c r="F771" i="3"/>
  <c r="F775" i="3"/>
  <c r="F779" i="3"/>
  <c r="F783" i="3"/>
  <c r="F787" i="3"/>
  <c r="F791" i="3"/>
  <c r="F795" i="3"/>
  <c r="F799" i="3"/>
  <c r="F803" i="3"/>
  <c r="F807" i="3"/>
  <c r="F811" i="3"/>
  <c r="F815" i="3"/>
  <c r="F819" i="3"/>
  <c r="F823" i="3"/>
  <c r="F827" i="3"/>
  <c r="F831" i="3"/>
  <c r="F835" i="3"/>
  <c r="F839" i="3"/>
  <c r="F843" i="3"/>
  <c r="F847" i="3"/>
  <c r="F851" i="3"/>
  <c r="F855" i="3"/>
  <c r="F859" i="3"/>
  <c r="F863" i="3"/>
  <c r="F867" i="3"/>
  <c r="F871" i="3"/>
  <c r="F875" i="3"/>
  <c r="F879" i="3"/>
  <c r="F883" i="3"/>
  <c r="F887" i="3"/>
  <c r="F891" i="3"/>
  <c r="F895" i="3"/>
  <c r="F899" i="3"/>
  <c r="F903" i="3"/>
  <c r="F907" i="3"/>
  <c r="F911" i="3"/>
  <c r="F915" i="3"/>
  <c r="F919" i="3"/>
  <c r="F923" i="3"/>
  <c r="F927" i="3"/>
  <c r="F931" i="3"/>
  <c r="F935" i="3"/>
  <c r="F939" i="3"/>
  <c r="F943" i="3"/>
  <c r="F947" i="3"/>
  <c r="F951" i="3"/>
  <c r="F955" i="3"/>
  <c r="F959" i="3"/>
  <c r="F963" i="3"/>
  <c r="F967" i="3"/>
  <c r="F971" i="3"/>
  <c r="F975" i="3"/>
  <c r="F979" i="3"/>
  <c r="F983" i="3"/>
  <c r="F987" i="3"/>
  <c r="F991" i="3"/>
  <c r="F995" i="3"/>
  <c r="F999" i="3"/>
  <c r="F1003" i="3"/>
  <c r="F1007" i="3"/>
  <c r="F1011" i="3"/>
  <c r="F1015" i="3"/>
  <c r="F1019" i="3"/>
  <c r="F1023" i="3"/>
  <c r="F1027" i="3"/>
  <c r="F1031" i="3"/>
  <c r="F1035" i="3"/>
  <c r="F1039" i="3"/>
  <c r="F1043" i="3"/>
  <c r="F1047" i="3"/>
  <c r="F1051" i="3"/>
  <c r="F1055" i="3"/>
  <c r="F1059" i="3"/>
  <c r="F284" i="3"/>
  <c r="F453" i="3"/>
  <c r="F503" i="3"/>
  <c r="F721" i="3"/>
  <c r="F761" i="3"/>
  <c r="F510" i="3"/>
  <c r="F701" i="3"/>
  <c r="F733" i="3"/>
  <c r="F741" i="3"/>
  <c r="F749" i="3"/>
  <c r="F756" i="3"/>
  <c r="F763" i="3"/>
  <c r="F768" i="3"/>
  <c r="F772" i="3"/>
  <c r="F776" i="3"/>
  <c r="F780" i="3"/>
  <c r="F784" i="3"/>
  <c r="F788" i="3"/>
  <c r="F792" i="3"/>
  <c r="F796" i="3"/>
  <c r="F800" i="3"/>
  <c r="F804" i="3"/>
  <c r="F808" i="3"/>
  <c r="F812" i="3"/>
  <c r="F816" i="3"/>
  <c r="F820" i="3"/>
  <c r="F824" i="3"/>
  <c r="F828" i="3"/>
  <c r="F832" i="3"/>
  <c r="F836" i="3"/>
  <c r="F840" i="3"/>
  <c r="F844" i="3"/>
  <c r="F848" i="3"/>
  <c r="F852" i="3"/>
  <c r="F856" i="3"/>
  <c r="F860" i="3"/>
  <c r="F864" i="3"/>
  <c r="F868" i="3"/>
  <c r="F872" i="3"/>
  <c r="F876" i="3"/>
  <c r="F880" i="3"/>
  <c r="F884" i="3"/>
  <c r="F888" i="3"/>
  <c r="F892" i="3"/>
  <c r="F896" i="3"/>
  <c r="F900" i="3"/>
  <c r="F904" i="3"/>
  <c r="F908" i="3"/>
  <c r="F912" i="3"/>
  <c r="F916" i="3"/>
  <c r="F920" i="3"/>
  <c r="F924" i="3"/>
  <c r="F928" i="3"/>
  <c r="F932" i="3"/>
  <c r="F936" i="3"/>
  <c r="F940" i="3"/>
  <c r="F944" i="3"/>
  <c r="F948" i="3"/>
  <c r="F952" i="3"/>
  <c r="F956" i="3"/>
  <c r="F960" i="3"/>
  <c r="F964" i="3"/>
  <c r="F968" i="3"/>
  <c r="F972" i="3"/>
  <c r="F976" i="3"/>
  <c r="F980" i="3"/>
  <c r="F984" i="3"/>
  <c r="F988" i="3"/>
  <c r="F713" i="3"/>
  <c r="F751" i="3"/>
  <c r="F478" i="3"/>
  <c r="F705" i="3"/>
  <c r="F752" i="3"/>
  <c r="F759" i="3"/>
  <c r="F769" i="3"/>
  <c r="F801" i="3"/>
  <c r="F833" i="3"/>
  <c r="F865" i="3"/>
  <c r="F897" i="3"/>
  <c r="F929" i="3"/>
  <c r="F961" i="3"/>
  <c r="F992" i="3"/>
  <c r="F1005" i="3"/>
  <c r="F1016" i="3"/>
  <c r="F1033" i="3"/>
  <c r="F1040" i="3"/>
  <c r="F1045" i="3"/>
  <c r="F1054" i="3"/>
  <c r="F1063" i="3"/>
  <c r="F1067" i="3"/>
  <c r="F1071" i="3"/>
  <c r="F1075" i="3"/>
  <c r="F1079" i="3"/>
  <c r="F1083" i="3"/>
  <c r="F1087" i="3"/>
  <c r="F1091" i="3"/>
  <c r="F1095" i="3"/>
  <c r="F1099" i="3"/>
  <c r="F1103" i="3"/>
  <c r="F1107" i="3"/>
  <c r="F1111" i="3"/>
  <c r="F1115" i="3"/>
  <c r="F1119" i="3"/>
  <c r="F1123" i="3"/>
  <c r="F1127" i="3"/>
  <c r="F1131" i="3"/>
  <c r="F1135" i="3"/>
  <c r="F1139" i="3"/>
  <c r="F1143" i="3"/>
  <c r="F1147" i="3"/>
  <c r="F1151" i="3"/>
  <c r="F1155" i="3"/>
  <c r="F1159" i="3"/>
  <c r="F1163" i="3"/>
  <c r="F1167" i="3"/>
  <c r="F1171" i="3"/>
  <c r="F1175" i="3"/>
  <c r="F1179" i="3"/>
  <c r="F1183" i="3"/>
  <c r="F1187" i="3"/>
  <c r="F1191" i="3"/>
  <c r="F1195" i="3"/>
  <c r="F1199" i="3"/>
  <c r="F1203" i="3"/>
  <c r="F1207" i="3"/>
  <c r="F1211" i="3"/>
  <c r="F1215" i="3"/>
  <c r="F1219" i="3"/>
  <c r="F1223" i="3"/>
  <c r="F1227" i="3"/>
  <c r="F1231" i="3"/>
  <c r="F1235" i="3"/>
  <c r="F1239" i="3"/>
  <c r="F1243" i="3"/>
  <c r="F1247" i="3"/>
  <c r="F1251" i="3"/>
  <c r="F1255" i="3"/>
  <c r="F1259" i="3"/>
  <c r="F1263" i="3"/>
  <c r="F1267" i="3"/>
  <c r="F1271" i="3"/>
  <c r="F1275" i="3"/>
  <c r="F1279" i="3"/>
  <c r="F1283" i="3"/>
  <c r="F1287" i="3"/>
  <c r="F1291" i="3"/>
  <c r="F1295" i="3"/>
  <c r="F1299" i="3"/>
  <c r="F1303" i="3"/>
  <c r="F1307" i="3"/>
  <c r="F1311" i="3"/>
  <c r="F1315" i="3"/>
  <c r="F1319" i="3"/>
  <c r="F1323" i="3"/>
  <c r="F1327" i="3"/>
  <c r="F1331" i="3"/>
  <c r="F1335" i="3"/>
  <c r="F1339" i="3"/>
  <c r="F1343" i="3"/>
  <c r="F1347" i="3"/>
  <c r="F1351" i="3"/>
  <c r="F1355" i="3"/>
  <c r="F1359" i="3"/>
  <c r="F1363" i="3"/>
  <c r="F1367" i="3"/>
  <c r="F1371" i="3"/>
  <c r="F1375" i="3"/>
  <c r="F1379" i="3"/>
  <c r="F1383" i="3"/>
  <c r="F1387" i="3"/>
  <c r="F1391" i="3"/>
  <c r="F1395" i="3"/>
  <c r="F1399" i="3"/>
  <c r="F1403" i="3"/>
  <c r="F1407" i="3"/>
  <c r="F1411" i="3"/>
  <c r="F1415" i="3"/>
  <c r="F1419" i="3"/>
  <c r="F1423" i="3"/>
  <c r="F1427" i="3"/>
  <c r="F1431" i="3"/>
  <c r="F1435" i="3"/>
  <c r="F1439" i="3"/>
  <c r="F1443" i="3"/>
  <c r="F1447" i="3"/>
  <c r="F471" i="3"/>
  <c r="F773" i="3"/>
  <c r="F805" i="3"/>
  <c r="F837" i="3"/>
  <c r="F869" i="3"/>
  <c r="F901" i="3"/>
  <c r="F933" i="3"/>
  <c r="F965" i="3"/>
  <c r="F993" i="3"/>
  <c r="F1017" i="3"/>
  <c r="F1050" i="3"/>
  <c r="F520" i="3"/>
  <c r="F725" i="3"/>
  <c r="F777" i="3"/>
  <c r="F809" i="3"/>
  <c r="F841" i="3"/>
  <c r="F873" i="3"/>
  <c r="F905" i="3"/>
  <c r="F937" i="3"/>
  <c r="F969" i="3"/>
  <c r="F996" i="3"/>
  <c r="F1008" i="3"/>
  <c r="F1028" i="3"/>
  <c r="F1041" i="3"/>
  <c r="F1046" i="3"/>
  <c r="F1060" i="3"/>
  <c r="F1064" i="3"/>
  <c r="F1068" i="3"/>
  <c r="F1072" i="3"/>
  <c r="F1076" i="3"/>
  <c r="F1080" i="3"/>
  <c r="F1084" i="3"/>
  <c r="F1088" i="3"/>
  <c r="F1092" i="3"/>
  <c r="F1096" i="3"/>
  <c r="F1100" i="3"/>
  <c r="F1104" i="3"/>
  <c r="F1108" i="3"/>
  <c r="F1112" i="3"/>
  <c r="F1116" i="3"/>
  <c r="F1120" i="3"/>
  <c r="F1124" i="3"/>
  <c r="F1128" i="3"/>
  <c r="F1132" i="3"/>
  <c r="F1136" i="3"/>
  <c r="F1140" i="3"/>
  <c r="F1144" i="3"/>
  <c r="F1148" i="3"/>
  <c r="F1152" i="3"/>
  <c r="F1156" i="3"/>
  <c r="F1160" i="3"/>
  <c r="F1164" i="3"/>
  <c r="F1168" i="3"/>
  <c r="F1172" i="3"/>
  <c r="F1176" i="3"/>
  <c r="F1180" i="3"/>
  <c r="F1184" i="3"/>
  <c r="F1188" i="3"/>
  <c r="F1192" i="3"/>
  <c r="F1196" i="3"/>
  <c r="F1200" i="3"/>
  <c r="F1204" i="3"/>
  <c r="F1208" i="3"/>
  <c r="F1212" i="3"/>
  <c r="F1216" i="3"/>
  <c r="F1220" i="3"/>
  <c r="F1224" i="3"/>
  <c r="F1228" i="3"/>
  <c r="F1232" i="3"/>
  <c r="F1236" i="3"/>
  <c r="F1240" i="3"/>
  <c r="F1244" i="3"/>
  <c r="F1248" i="3"/>
  <c r="F1252" i="3"/>
  <c r="F1256" i="3"/>
  <c r="F1260" i="3"/>
  <c r="F1264" i="3"/>
  <c r="F1268" i="3"/>
  <c r="F1272" i="3"/>
  <c r="F1276" i="3"/>
  <c r="F1280" i="3"/>
  <c r="F1284" i="3"/>
  <c r="F1288" i="3"/>
  <c r="F1292" i="3"/>
  <c r="F1296" i="3"/>
  <c r="F1300" i="3"/>
  <c r="F1304" i="3"/>
  <c r="F1308" i="3"/>
  <c r="F1312" i="3"/>
  <c r="F1316" i="3"/>
  <c r="F1320" i="3"/>
  <c r="F1324" i="3"/>
  <c r="F1328" i="3"/>
  <c r="F736" i="3"/>
  <c r="F781" i="3"/>
  <c r="F813" i="3"/>
  <c r="F845" i="3"/>
  <c r="F877" i="3"/>
  <c r="F909" i="3"/>
  <c r="F941" i="3"/>
  <c r="F973" i="3"/>
  <c r="F997" i="3"/>
  <c r="F1009" i="3"/>
  <c r="F1020" i="3"/>
  <c r="F1029" i="3"/>
  <c r="F1036" i="3"/>
  <c r="F1056" i="3"/>
  <c r="F744" i="3"/>
  <c r="F785" i="3"/>
  <c r="F817" i="3"/>
  <c r="F849" i="3"/>
  <c r="F881" i="3"/>
  <c r="F913" i="3"/>
  <c r="F945" i="3"/>
  <c r="F977" i="3"/>
  <c r="F1000" i="3"/>
  <c r="F1021" i="3"/>
  <c r="F1042" i="3"/>
  <c r="F1052" i="3"/>
  <c r="F1061" i="3"/>
  <c r="F1065" i="3"/>
  <c r="F1069" i="3"/>
  <c r="F1073" i="3"/>
  <c r="F1077" i="3"/>
  <c r="F1081" i="3"/>
  <c r="F1085" i="3"/>
  <c r="F1089" i="3"/>
  <c r="F1093" i="3"/>
  <c r="F1097" i="3"/>
  <c r="F1101" i="3"/>
  <c r="F1105" i="3"/>
  <c r="F1109" i="3"/>
  <c r="F1113" i="3"/>
  <c r="F1117" i="3"/>
  <c r="F1121" i="3"/>
  <c r="F1125" i="3"/>
  <c r="F1129" i="3"/>
  <c r="F1133" i="3"/>
  <c r="F1137" i="3"/>
  <c r="F1141" i="3"/>
  <c r="F1145" i="3"/>
  <c r="F1149" i="3"/>
  <c r="F1153" i="3"/>
  <c r="F1157" i="3"/>
  <c r="F1161" i="3"/>
  <c r="F1165" i="3"/>
  <c r="F1169" i="3"/>
  <c r="F1173" i="3"/>
  <c r="F1177" i="3"/>
  <c r="F1181" i="3"/>
  <c r="F1185" i="3"/>
  <c r="F1189" i="3"/>
  <c r="F1193" i="3"/>
  <c r="F1197" i="3"/>
  <c r="F1201" i="3"/>
  <c r="F1205" i="3"/>
  <c r="F1209" i="3"/>
  <c r="F1213" i="3"/>
  <c r="F1217" i="3"/>
  <c r="F1221" i="3"/>
  <c r="F1225" i="3"/>
  <c r="F1229" i="3"/>
  <c r="F1233" i="3"/>
  <c r="F1237" i="3"/>
  <c r="F1241" i="3"/>
  <c r="F1245" i="3"/>
  <c r="F1249" i="3"/>
  <c r="F1253" i="3"/>
  <c r="F1257" i="3"/>
  <c r="F1261" i="3"/>
  <c r="F1265" i="3"/>
  <c r="F1269" i="3"/>
  <c r="F1273" i="3"/>
  <c r="F1277" i="3"/>
  <c r="F1281" i="3"/>
  <c r="F1285" i="3"/>
  <c r="F1289" i="3"/>
  <c r="F1293" i="3"/>
  <c r="F1297" i="3"/>
  <c r="F1301" i="3"/>
  <c r="F1305" i="3"/>
  <c r="F1309" i="3"/>
  <c r="F789" i="3"/>
  <c r="F821" i="3"/>
  <c r="F853" i="3"/>
  <c r="F885" i="3"/>
  <c r="F917" i="3"/>
  <c r="F949" i="3"/>
  <c r="F981" i="3"/>
  <c r="F1001" i="3"/>
  <c r="F1012" i="3"/>
  <c r="F1037" i="3"/>
  <c r="F1048" i="3"/>
  <c r="F1057" i="3"/>
  <c r="F757" i="3"/>
  <c r="F793" i="3"/>
  <c r="F825" i="3"/>
  <c r="F857" i="3"/>
  <c r="F889" i="3"/>
  <c r="F921" i="3"/>
  <c r="F953" i="3"/>
  <c r="F985" i="3"/>
  <c r="F1013" i="3"/>
  <c r="F1024" i="3"/>
  <c r="F1032" i="3"/>
  <c r="F1044" i="3"/>
  <c r="F1053" i="3"/>
  <c r="F1062" i="3"/>
  <c r="F1066" i="3"/>
  <c r="F1070" i="3"/>
  <c r="F1074" i="3"/>
  <c r="F1078" i="3"/>
  <c r="F1082" i="3"/>
  <c r="F1086" i="3"/>
  <c r="F1090" i="3"/>
  <c r="F1094" i="3"/>
  <c r="F1098" i="3"/>
  <c r="F1102" i="3"/>
  <c r="F1106" i="3"/>
  <c r="F1110" i="3"/>
  <c r="F1114" i="3"/>
  <c r="F1118" i="3"/>
  <c r="F1122" i="3"/>
  <c r="F1126" i="3"/>
  <c r="F1130" i="3"/>
  <c r="F1134" i="3"/>
  <c r="F1138" i="3"/>
  <c r="F1142" i="3"/>
  <c r="F1146" i="3"/>
  <c r="F1150" i="3"/>
  <c r="F1154" i="3"/>
  <c r="F1158" i="3"/>
  <c r="F1162" i="3"/>
  <c r="F1166" i="3"/>
  <c r="F1170" i="3"/>
  <c r="F1174" i="3"/>
  <c r="F1178" i="3"/>
  <c r="F1182" i="3"/>
  <c r="F1186" i="3"/>
  <c r="F1190" i="3"/>
  <c r="F1194" i="3"/>
  <c r="F1198" i="3"/>
  <c r="F1202" i="3"/>
  <c r="F1206" i="3"/>
  <c r="F1210" i="3"/>
  <c r="F1214" i="3"/>
  <c r="F1218" i="3"/>
  <c r="F1222" i="3"/>
  <c r="F1226" i="3"/>
  <c r="F1230" i="3"/>
  <c r="F1234" i="3"/>
  <c r="F1238" i="3"/>
  <c r="F1242" i="3"/>
  <c r="F1246" i="3"/>
  <c r="F1250" i="3"/>
  <c r="F1254" i="3"/>
  <c r="F1258" i="3"/>
  <c r="F1262" i="3"/>
  <c r="F1266" i="3"/>
  <c r="F1270" i="3"/>
  <c r="F1274" i="3"/>
  <c r="F1278" i="3"/>
  <c r="F1282" i="3"/>
  <c r="F1286" i="3"/>
  <c r="F1290" i="3"/>
  <c r="F1294" i="3"/>
  <c r="F1298" i="3"/>
  <c r="F1302" i="3"/>
  <c r="F1306" i="3"/>
  <c r="F1310" i="3"/>
  <c r="F1314" i="3"/>
  <c r="F1318" i="3"/>
  <c r="F989" i="3"/>
  <c r="F1325" i="3"/>
  <c r="F1332" i="3"/>
  <c r="F1348" i="3"/>
  <c r="F1364" i="3"/>
  <c r="F1380" i="3"/>
  <c r="F1396" i="3"/>
  <c r="F1406" i="3"/>
  <c r="F1420" i="3"/>
  <c r="F1429" i="3"/>
  <c r="F1438" i="3"/>
  <c r="F764" i="3"/>
  <c r="F1004" i="3"/>
  <c r="F1058" i="3"/>
  <c r="F1313" i="3"/>
  <c r="F1326" i="3"/>
  <c r="F1333" i="3"/>
  <c r="F1338" i="3"/>
  <c r="F1349" i="3"/>
  <c r="F1354" i="3"/>
  <c r="F1365" i="3"/>
  <c r="F1370" i="3"/>
  <c r="F1381" i="3"/>
  <c r="F1386" i="3"/>
  <c r="F1397" i="3"/>
  <c r="F1402" i="3"/>
  <c r="F1416" i="3"/>
  <c r="F1425" i="3"/>
  <c r="F1434" i="3"/>
  <c r="F1448" i="3"/>
  <c r="F1452" i="3"/>
  <c r="F1456" i="3"/>
  <c r="F1460" i="3"/>
  <c r="F1464" i="3"/>
  <c r="F1468" i="3"/>
  <c r="F1472" i="3"/>
  <c r="F1476" i="3"/>
  <c r="F1480" i="3"/>
  <c r="F1484" i="3"/>
  <c r="F1488" i="3"/>
  <c r="F1492" i="3"/>
  <c r="F1496" i="3"/>
  <c r="F1500" i="3"/>
  <c r="F1504" i="3"/>
  <c r="F1508" i="3"/>
  <c r="F1512" i="3"/>
  <c r="F1516" i="3"/>
  <c r="F1520" i="3"/>
  <c r="F1524" i="3"/>
  <c r="F1528" i="3"/>
  <c r="F1532" i="3"/>
  <c r="F1536" i="3"/>
  <c r="F1540" i="3"/>
  <c r="F1544" i="3"/>
  <c r="F1548" i="3"/>
  <c r="F1552" i="3"/>
  <c r="F1556" i="3"/>
  <c r="F1560" i="3"/>
  <c r="F1564" i="3"/>
  <c r="F1568" i="3"/>
  <c r="F1572" i="3"/>
  <c r="F1576" i="3"/>
  <c r="F1580" i="3"/>
  <c r="F1584" i="3"/>
  <c r="F1588" i="3"/>
  <c r="F1592" i="3"/>
  <c r="F1596" i="3"/>
  <c r="F1600" i="3"/>
  <c r="F1604" i="3"/>
  <c r="F1608" i="3"/>
  <c r="F1612" i="3"/>
  <c r="F1616" i="3"/>
  <c r="F1620" i="3"/>
  <c r="F1624" i="3"/>
  <c r="F1628" i="3"/>
  <c r="F1632" i="3"/>
  <c r="F1636" i="3"/>
  <c r="F1640" i="3"/>
  <c r="F1644" i="3"/>
  <c r="F1648" i="3"/>
  <c r="F797" i="3"/>
  <c r="F1344" i="3"/>
  <c r="F1360" i="3"/>
  <c r="F1376" i="3"/>
  <c r="F1392" i="3"/>
  <c r="F1412" i="3"/>
  <c r="F1421" i="3"/>
  <c r="F1430" i="3"/>
  <c r="F1444" i="3"/>
  <c r="F829" i="3"/>
  <c r="F1025" i="3"/>
  <c r="F1317" i="3"/>
  <c r="F1329" i="3"/>
  <c r="F1334" i="3"/>
  <c r="F1345" i="3"/>
  <c r="F1350" i="3"/>
  <c r="F1361" i="3"/>
  <c r="F1366" i="3"/>
  <c r="F1377" i="3"/>
  <c r="F1382" i="3"/>
  <c r="F1393" i="3"/>
  <c r="F1398" i="3"/>
  <c r="F1408" i="3"/>
  <c r="F1417" i="3"/>
  <c r="F1426" i="3"/>
  <c r="F1440" i="3"/>
  <c r="F1449" i="3"/>
  <c r="F1453" i="3"/>
  <c r="F1457" i="3"/>
  <c r="F1461" i="3"/>
  <c r="F1465" i="3"/>
  <c r="F1469" i="3"/>
  <c r="F1473" i="3"/>
  <c r="F1477" i="3"/>
  <c r="F1481" i="3"/>
  <c r="F1485" i="3"/>
  <c r="F1489" i="3"/>
  <c r="F1493" i="3"/>
  <c r="F1497" i="3"/>
  <c r="F1501" i="3"/>
  <c r="F1505" i="3"/>
  <c r="F1509" i="3"/>
  <c r="F1513" i="3"/>
  <c r="F1517" i="3"/>
  <c r="F1521" i="3"/>
  <c r="F1525" i="3"/>
  <c r="F1529" i="3"/>
  <c r="F1533" i="3"/>
  <c r="F1537" i="3"/>
  <c r="F1541" i="3"/>
  <c r="F1545" i="3"/>
  <c r="F1549" i="3"/>
  <c r="F1553" i="3"/>
  <c r="F1557" i="3"/>
  <c r="F1561" i="3"/>
  <c r="F1565" i="3"/>
  <c r="F1569" i="3"/>
  <c r="F1573" i="3"/>
  <c r="F1577" i="3"/>
  <c r="F1581" i="3"/>
  <c r="F1585" i="3"/>
  <c r="F1589" i="3"/>
  <c r="F1593" i="3"/>
  <c r="F1597" i="3"/>
  <c r="F1601" i="3"/>
  <c r="F1605" i="3"/>
  <c r="F1609" i="3"/>
  <c r="F1613" i="3"/>
  <c r="F1617" i="3"/>
  <c r="F1621" i="3"/>
  <c r="F1625" i="3"/>
  <c r="F1629" i="3"/>
  <c r="F861" i="3"/>
  <c r="F1340" i="3"/>
  <c r="F1356" i="3"/>
  <c r="F1372" i="3"/>
  <c r="F1388" i="3"/>
  <c r="F1404" i="3"/>
  <c r="F1413" i="3"/>
  <c r="F1422" i="3"/>
  <c r="F1436" i="3"/>
  <c r="F1445" i="3"/>
  <c r="F893" i="3"/>
  <c r="F1321" i="3"/>
  <c r="F1330" i="3"/>
  <c r="F1341" i="3"/>
  <c r="F1346" i="3"/>
  <c r="F1357" i="3"/>
  <c r="F1362" i="3"/>
  <c r="F1373" i="3"/>
  <c r="F1378" i="3"/>
  <c r="F1389" i="3"/>
  <c r="F1394" i="3"/>
  <c r="F1409" i="3"/>
  <c r="F1418" i="3"/>
  <c r="F1432" i="3"/>
  <c r="F1441" i="3"/>
  <c r="F1450" i="3"/>
  <c r="F1454" i="3"/>
  <c r="F1458" i="3"/>
  <c r="F1462" i="3"/>
  <c r="F1466" i="3"/>
  <c r="F1470" i="3"/>
  <c r="F1474" i="3"/>
  <c r="F1478" i="3"/>
  <c r="F1482" i="3"/>
  <c r="F1486" i="3"/>
  <c r="F1490" i="3"/>
  <c r="F1494" i="3"/>
  <c r="F1498" i="3"/>
  <c r="F1502" i="3"/>
  <c r="F1506" i="3"/>
  <c r="F1510" i="3"/>
  <c r="F1514" i="3"/>
  <c r="F1518" i="3"/>
  <c r="F1522" i="3"/>
  <c r="F1526" i="3"/>
  <c r="F1530" i="3"/>
  <c r="F1534" i="3"/>
  <c r="F1538" i="3"/>
  <c r="F1542" i="3"/>
  <c r="F1546" i="3"/>
  <c r="F1550" i="3"/>
  <c r="F1554" i="3"/>
  <c r="F1558" i="3"/>
  <c r="F1562" i="3"/>
  <c r="F1566" i="3"/>
  <c r="F1570" i="3"/>
  <c r="F1574" i="3"/>
  <c r="F1578" i="3"/>
  <c r="F1582" i="3"/>
  <c r="F1586" i="3"/>
  <c r="F1590" i="3"/>
  <c r="F1594" i="3"/>
  <c r="F1598" i="3"/>
  <c r="F1602" i="3"/>
  <c r="F1606" i="3"/>
  <c r="F1610" i="3"/>
  <c r="F1614" i="3"/>
  <c r="F957" i="3"/>
  <c r="F1049" i="3"/>
  <c r="F1337" i="3"/>
  <c r="F1342" i="3"/>
  <c r="F1353" i="3"/>
  <c r="F1358" i="3"/>
  <c r="F1369" i="3"/>
  <c r="F1374" i="3"/>
  <c r="F1385" i="3"/>
  <c r="F1390" i="3"/>
  <c r="F1401" i="3"/>
  <c r="F1410" i="3"/>
  <c r="F1424" i="3"/>
  <c r="F1433" i="3"/>
  <c r="F1442" i="3"/>
  <c r="F1451" i="3"/>
  <c r="F1455" i="3"/>
  <c r="F1459" i="3"/>
  <c r="F1463" i="3"/>
  <c r="F1467" i="3"/>
  <c r="F1471" i="3"/>
  <c r="F1475" i="3"/>
  <c r="F1479" i="3"/>
  <c r="F1483" i="3"/>
  <c r="F1487" i="3"/>
  <c r="F1491" i="3"/>
  <c r="F1495" i="3"/>
  <c r="F1499" i="3"/>
  <c r="F1503" i="3"/>
  <c r="F1507" i="3"/>
  <c r="F1511" i="3"/>
  <c r="F1515" i="3"/>
  <c r="F1519" i="3"/>
  <c r="F1523" i="3"/>
  <c r="F1527" i="3"/>
  <c r="F1531" i="3"/>
  <c r="F1535" i="3"/>
  <c r="F1539" i="3"/>
  <c r="F1543" i="3"/>
  <c r="F1547" i="3"/>
  <c r="F1551" i="3"/>
  <c r="F1555" i="3"/>
  <c r="F1559" i="3"/>
  <c r="F1563" i="3"/>
  <c r="F1567" i="3"/>
  <c r="F1571" i="3"/>
  <c r="F1575" i="3"/>
  <c r="F1579" i="3"/>
  <c r="F1583" i="3"/>
  <c r="F1587" i="3"/>
  <c r="F1591" i="3"/>
  <c r="F1595" i="3"/>
  <c r="F1599" i="3"/>
  <c r="F1603" i="3"/>
  <c r="F1607" i="3"/>
  <c r="F1611" i="3"/>
  <c r="F1615" i="3"/>
  <c r="F925" i="3"/>
  <c r="F1400" i="3"/>
  <c r="F1437" i="3"/>
  <c r="F1622" i="3"/>
  <c r="F1631" i="3"/>
  <c r="F1639" i="3"/>
  <c r="F1647" i="3"/>
  <c r="F1664" i="3"/>
  <c r="F1679" i="3"/>
  <c r="F1684" i="3"/>
  <c r="F1693" i="3"/>
  <c r="F1702" i="3"/>
  <c r="F1711" i="3"/>
  <c r="F1716" i="3"/>
  <c r="F1725" i="3"/>
  <c r="F1734" i="3"/>
  <c r="F1743" i="3"/>
  <c r="F1748" i="3"/>
  <c r="F1797" i="3"/>
  <c r="F1801" i="3"/>
  <c r="F1805" i="3"/>
  <c r="F1809" i="3"/>
  <c r="F1813" i="3"/>
  <c r="F1817" i="3"/>
  <c r="F1821" i="3"/>
  <c r="F1825" i="3"/>
  <c r="F1829" i="3"/>
  <c r="F1833" i="3"/>
  <c r="F1837" i="3"/>
  <c r="F1841" i="3"/>
  <c r="F1845" i="3"/>
  <c r="F1849" i="3"/>
  <c r="F1853" i="3"/>
  <c r="F1857" i="3"/>
  <c r="F1861" i="3"/>
  <c r="F1865" i="3"/>
  <c r="F1669" i="3"/>
  <c r="F1697" i="3"/>
  <c r="F1752" i="3"/>
  <c r="F1776" i="3"/>
  <c r="F1788" i="3"/>
  <c r="F1816" i="3"/>
  <c r="F1828" i="3"/>
  <c r="F1852" i="3"/>
  <c r="F1860" i="3"/>
  <c r="F1405" i="3"/>
  <c r="F1633" i="3"/>
  <c r="F1641" i="3"/>
  <c r="F1649" i="3"/>
  <c r="F1654" i="3"/>
  <c r="F1659" i="3"/>
  <c r="F1665" i="3"/>
  <c r="F1670" i="3"/>
  <c r="F1675" i="3"/>
  <c r="F1680" i="3"/>
  <c r="F1689" i="3"/>
  <c r="F1698" i="3"/>
  <c r="F1707" i="3"/>
  <c r="F1712" i="3"/>
  <c r="F1721" i="3"/>
  <c r="F1730" i="3"/>
  <c r="F1739" i="3"/>
  <c r="F1744" i="3"/>
  <c r="F1753" i="3"/>
  <c r="F1757" i="3"/>
  <c r="F1761" i="3"/>
  <c r="F1765" i="3"/>
  <c r="F1769" i="3"/>
  <c r="F1773" i="3"/>
  <c r="F1777" i="3"/>
  <c r="F1781" i="3"/>
  <c r="F1785" i="3"/>
  <c r="F1789" i="3"/>
  <c r="F1793" i="3"/>
  <c r="F1720" i="3"/>
  <c r="F1764" i="3"/>
  <c r="F1804" i="3"/>
  <c r="F1836" i="3"/>
  <c r="F1322" i="3"/>
  <c r="F1368" i="3"/>
  <c r="F1446" i="3"/>
  <c r="F1623" i="3"/>
  <c r="F1634" i="3"/>
  <c r="F1642" i="3"/>
  <c r="F1660" i="3"/>
  <c r="F1676" i="3"/>
  <c r="F1685" i="3"/>
  <c r="F1694" i="3"/>
  <c r="F1703" i="3"/>
  <c r="F1708" i="3"/>
  <c r="F1717" i="3"/>
  <c r="F1726" i="3"/>
  <c r="F1735" i="3"/>
  <c r="F1740" i="3"/>
  <c r="F1749" i="3"/>
  <c r="F1810" i="3"/>
  <c r="F1822" i="3"/>
  <c r="F1830" i="3"/>
  <c r="F1838" i="3"/>
  <c r="F1846" i="3"/>
  <c r="F1854" i="3"/>
  <c r="F1858" i="3"/>
  <c r="F1866" i="3"/>
  <c r="F1688" i="3"/>
  <c r="F1800" i="3"/>
  <c r="F1856" i="3"/>
  <c r="F1414" i="3"/>
  <c r="F1626" i="3"/>
  <c r="F1650" i="3"/>
  <c r="F1655" i="3"/>
  <c r="F1661" i="3"/>
  <c r="F1666" i="3"/>
  <c r="F1671" i="3"/>
  <c r="F1681" i="3"/>
  <c r="F1690" i="3"/>
  <c r="F1699" i="3"/>
  <c r="F1704" i="3"/>
  <c r="F1713" i="3"/>
  <c r="F1722" i="3"/>
  <c r="F1731" i="3"/>
  <c r="F1736" i="3"/>
  <c r="F1745" i="3"/>
  <c r="F1754" i="3"/>
  <c r="F1758" i="3"/>
  <c r="F1762" i="3"/>
  <c r="F1766" i="3"/>
  <c r="F1770" i="3"/>
  <c r="F1774" i="3"/>
  <c r="F1778" i="3"/>
  <c r="F1782" i="3"/>
  <c r="F1786" i="3"/>
  <c r="F1790" i="3"/>
  <c r="F1794" i="3"/>
  <c r="F1798" i="3"/>
  <c r="F1802" i="3"/>
  <c r="F1806" i="3"/>
  <c r="F1814" i="3"/>
  <c r="F1818" i="3"/>
  <c r="F1826" i="3"/>
  <c r="F1834" i="3"/>
  <c r="F1842" i="3"/>
  <c r="F1850" i="3"/>
  <c r="F1862" i="3"/>
  <c r="F1756" i="3"/>
  <c r="F1784" i="3"/>
  <c r="F1812" i="3"/>
  <c r="F1840" i="3"/>
  <c r="F1336" i="3"/>
  <c r="F1635" i="3"/>
  <c r="F1643" i="3"/>
  <c r="F1656" i="3"/>
  <c r="F1672" i="3"/>
  <c r="F1677" i="3"/>
  <c r="F1686" i="3"/>
  <c r="F1695" i="3"/>
  <c r="F1700" i="3"/>
  <c r="F1709" i="3"/>
  <c r="F1718" i="3"/>
  <c r="F1727" i="3"/>
  <c r="F1732" i="3"/>
  <c r="F1741" i="3"/>
  <c r="F1750" i="3"/>
  <c r="F19" i="3"/>
  <c r="F1823" i="3"/>
  <c r="F1835" i="3"/>
  <c r="F1843" i="3"/>
  <c r="F1851" i="3"/>
  <c r="F1859" i="3"/>
  <c r="F1863" i="3"/>
  <c r="F1706" i="3"/>
  <c r="F1768" i="3"/>
  <c r="F1792" i="3"/>
  <c r="F1820" i="3"/>
  <c r="F1824" i="3"/>
  <c r="F1848" i="3"/>
  <c r="F1864" i="3"/>
  <c r="F1384" i="3"/>
  <c r="F1618" i="3"/>
  <c r="F1627" i="3"/>
  <c r="F1637" i="3"/>
  <c r="F1645" i="3"/>
  <c r="F1651" i="3"/>
  <c r="F1657" i="3"/>
  <c r="F1662" i="3"/>
  <c r="F1667" i="3"/>
  <c r="F1673" i="3"/>
  <c r="F1682" i="3"/>
  <c r="F1691" i="3"/>
  <c r="F1696" i="3"/>
  <c r="F1705" i="3"/>
  <c r="F1714" i="3"/>
  <c r="F1723" i="3"/>
  <c r="F1728" i="3"/>
  <c r="F1737" i="3"/>
  <c r="F1746" i="3"/>
  <c r="F1755" i="3"/>
  <c r="F1759" i="3"/>
  <c r="F1763" i="3"/>
  <c r="F1767" i="3"/>
  <c r="F1771" i="3"/>
  <c r="F1775" i="3"/>
  <c r="F1779" i="3"/>
  <c r="F1783" i="3"/>
  <c r="F1787" i="3"/>
  <c r="F1791" i="3"/>
  <c r="F1795" i="3"/>
  <c r="F1799" i="3"/>
  <c r="F1803" i="3"/>
  <c r="F1807" i="3"/>
  <c r="F1811" i="3"/>
  <c r="F1815" i="3"/>
  <c r="F1819" i="3"/>
  <c r="F1827" i="3"/>
  <c r="F1831" i="3"/>
  <c r="F1839" i="3"/>
  <c r="F1847" i="3"/>
  <c r="F1855" i="3"/>
  <c r="F1674" i="3"/>
  <c r="F1738" i="3"/>
  <c r="F1760" i="3"/>
  <c r="F1780" i="3"/>
  <c r="F1808" i="3"/>
  <c r="F1844" i="3"/>
  <c r="F1428" i="3"/>
  <c r="F1630" i="3"/>
  <c r="F1638" i="3"/>
  <c r="F1646" i="3"/>
  <c r="F1652" i="3"/>
  <c r="F1668" i="3"/>
  <c r="F1678" i="3"/>
  <c r="F1687" i="3"/>
  <c r="F1692" i="3"/>
  <c r="F1701" i="3"/>
  <c r="F1710" i="3"/>
  <c r="F1719" i="3"/>
  <c r="F1724" i="3"/>
  <c r="F1733" i="3"/>
  <c r="F1742" i="3"/>
  <c r="F1751" i="3"/>
  <c r="F1352" i="3"/>
  <c r="F1619" i="3"/>
  <c r="F1653" i="3"/>
  <c r="F1658" i="3"/>
  <c r="F1663" i="3"/>
  <c r="F1683" i="3"/>
  <c r="F1715" i="3"/>
  <c r="F1729" i="3"/>
  <c r="F1747" i="3"/>
  <c r="F1772" i="3"/>
  <c r="F1796" i="3"/>
  <c r="F1832" i="3"/>
  <c r="F4" i="3"/>
  <c r="E1567" i="3"/>
  <c r="E1707" i="3"/>
  <c r="E1769" i="3"/>
  <c r="E1801" i="3"/>
  <c r="E1833" i="3"/>
  <c r="E1865" i="3"/>
  <c r="E1507" i="3"/>
  <c r="E1717" i="3"/>
  <c r="E1511" i="3"/>
  <c r="E1681" i="3"/>
  <c r="E1758" i="3"/>
  <c r="E1790" i="3"/>
  <c r="E1822" i="3"/>
  <c r="E1854" i="3"/>
  <c r="E1451" i="3"/>
  <c r="E1677" i="3"/>
  <c r="E1239" i="3"/>
  <c r="E1396" i="3"/>
  <c r="E1243" i="3"/>
  <c r="E1428" i="3"/>
  <c r="E1336" i="3"/>
  <c r="E1075" i="3"/>
  <c r="E1622" i="3"/>
  <c r="E1590" i="3"/>
  <c r="E1558" i="3"/>
  <c r="E1526" i="3"/>
  <c r="E1494" i="3"/>
  <c r="E1462" i="3"/>
  <c r="E1409" i="3"/>
  <c r="E1346" i="3"/>
  <c r="E1167" i="3"/>
  <c r="E1422" i="3"/>
  <c r="E1259" i="3"/>
  <c r="E1669" i="3"/>
  <c r="E1637" i="3"/>
  <c r="E1605" i="3"/>
  <c r="E1573" i="3"/>
  <c r="E1541" i="3"/>
  <c r="E1509" i="3"/>
  <c r="E1477" i="3"/>
  <c r="E1440" i="3"/>
  <c r="E1382" i="3"/>
  <c r="E1315" i="3"/>
  <c r="E1063" i="3"/>
  <c r="E1392" i="3"/>
  <c r="E1155" i="3"/>
  <c r="E1732" i="3"/>
  <c r="E1700" i="3"/>
  <c r="E1668" i="3"/>
  <c r="E1636" i="3"/>
  <c r="E1604" i="3"/>
  <c r="E1572" i="3"/>
  <c r="E1540" i="3"/>
  <c r="E1508" i="3"/>
  <c r="E1476" i="3"/>
  <c r="E1443" i="3"/>
  <c r="E1375" i="3"/>
  <c r="E1247" i="3"/>
  <c r="E1058" i="3"/>
  <c r="E1314" i="3"/>
  <c r="E1282" i="3"/>
  <c r="E1250" i="3"/>
  <c r="E1218" i="3"/>
  <c r="E1186" i="3"/>
  <c r="E1154" i="3"/>
  <c r="E1122" i="3"/>
  <c r="E1090" i="3"/>
  <c r="E1053" i="3"/>
  <c r="E1037" i="3"/>
  <c r="E1385" i="3"/>
  <c r="E1353" i="3"/>
  <c r="E1321" i="3"/>
  <c r="E1289" i="3"/>
  <c r="E1257" i="3"/>
  <c r="E1225" i="3"/>
  <c r="E1193" i="3"/>
  <c r="E1161" i="3"/>
  <c r="E1129" i="3"/>
  <c r="E1097" i="3"/>
  <c r="E1065" i="3"/>
  <c r="E1036" i="3"/>
  <c r="E1304" i="3"/>
  <c r="E1272" i="3"/>
  <c r="E1240" i="3"/>
  <c r="E1208" i="3"/>
  <c r="E1176" i="3"/>
  <c r="E1144" i="3"/>
  <c r="E1112" i="3"/>
  <c r="E1080" i="3"/>
  <c r="E1041" i="3"/>
  <c r="E705" i="3"/>
  <c r="E974" i="3"/>
  <c r="E942" i="3"/>
  <c r="E910" i="3"/>
  <c r="E878" i="3"/>
  <c r="E846" i="3"/>
  <c r="E814" i="3"/>
  <c r="E782" i="3"/>
  <c r="E717" i="3"/>
  <c r="E1029" i="3"/>
  <c r="E997" i="3"/>
  <c r="E965" i="3"/>
  <c r="E933" i="3"/>
  <c r="E901" i="3"/>
  <c r="E869" i="3"/>
  <c r="E837" i="3"/>
  <c r="E805" i="3"/>
  <c r="E773" i="3"/>
  <c r="E677" i="3"/>
  <c r="E724" i="3"/>
  <c r="E327" i="3"/>
  <c r="E996" i="3"/>
  <c r="E964" i="3"/>
  <c r="E932" i="3"/>
  <c r="E900" i="3"/>
  <c r="E868" i="3"/>
  <c r="E836" i="3"/>
  <c r="E804" i="3"/>
  <c r="E772" i="3"/>
  <c r="E669" i="3"/>
  <c r="E697" i="3"/>
  <c r="E1043" i="3"/>
  <c r="E1011" i="3"/>
  <c r="E979" i="3"/>
  <c r="E947" i="3"/>
  <c r="E915" i="3"/>
  <c r="E883" i="3"/>
  <c r="E851" i="3"/>
  <c r="E819" i="3"/>
  <c r="E787" i="3"/>
  <c r="E709" i="3"/>
  <c r="E760" i="3"/>
  <c r="E561" i="3"/>
  <c r="E434" i="3"/>
  <c r="E503" i="3"/>
  <c r="E227" i="3"/>
  <c r="E672" i="3"/>
  <c r="E640" i="3"/>
  <c r="E608" i="3"/>
  <c r="E576" i="3"/>
  <c r="E544" i="3"/>
  <c r="E483" i="3"/>
  <c r="E495" i="3"/>
  <c r="E767" i="3"/>
  <c r="E723" i="3"/>
  <c r="E659" i="3"/>
  <c r="E579" i="3"/>
  <c r="E518" i="3"/>
  <c r="E682" i="3"/>
  <c r="E317" i="3"/>
  <c r="E231" i="3"/>
  <c r="E153" i="3"/>
  <c r="E351" i="3"/>
  <c r="E278" i="3"/>
  <c r="E22" i="3"/>
  <c r="E120" i="3"/>
  <c r="E1831" i="3"/>
  <c r="E1804" i="3"/>
  <c r="E1721" i="3"/>
  <c r="E1773" i="3"/>
  <c r="E1805" i="3"/>
  <c r="E1467" i="3"/>
  <c r="E1539" i="3"/>
  <c r="E1726" i="3"/>
  <c r="E1543" i="3"/>
  <c r="E1690" i="3"/>
  <c r="E1762" i="3"/>
  <c r="E1794" i="3"/>
  <c r="E1826" i="3"/>
  <c r="E1858" i="3"/>
  <c r="E1483" i="3"/>
  <c r="E1686" i="3"/>
  <c r="E1702" i="3"/>
  <c r="E1380" i="3"/>
  <c r="E1211" i="3"/>
  <c r="E1423" i="3"/>
  <c r="E1299" i="3"/>
  <c r="E1040" i="3"/>
  <c r="E1618" i="3"/>
  <c r="E1586" i="3"/>
  <c r="E1554" i="3"/>
  <c r="E1522" i="3"/>
  <c r="E1490" i="3"/>
  <c r="E1458" i="3"/>
  <c r="E1399" i="3"/>
  <c r="E1335" i="3"/>
  <c r="E1135" i="3"/>
  <c r="E1413" i="3"/>
  <c r="E1227" i="3"/>
  <c r="E1665" i="3"/>
  <c r="E1633" i="3"/>
  <c r="E1601" i="3"/>
  <c r="E1569" i="3"/>
  <c r="E1537" i="3"/>
  <c r="E1505" i="3"/>
  <c r="E1473" i="3"/>
  <c r="E1435" i="3"/>
  <c r="E1371" i="3"/>
  <c r="E1287" i="3"/>
  <c r="E1014" i="3"/>
  <c r="E1376" i="3"/>
  <c r="E1123" i="3"/>
  <c r="E1728" i="3"/>
  <c r="E1696" i="3"/>
  <c r="E1664" i="3"/>
  <c r="E1632" i="3"/>
  <c r="E1600" i="3"/>
  <c r="E1568" i="3"/>
  <c r="E1536" i="3"/>
  <c r="E1504" i="3"/>
  <c r="E1472" i="3"/>
  <c r="E1434" i="3"/>
  <c r="E1370" i="3"/>
  <c r="E1215" i="3"/>
  <c r="E1049" i="3"/>
  <c r="E1310" i="3"/>
  <c r="E1278" i="3"/>
  <c r="E1246" i="3"/>
  <c r="E1214" i="3"/>
  <c r="E1182" i="3"/>
  <c r="E1150" i="3"/>
  <c r="E1118" i="3"/>
  <c r="E1086" i="3"/>
  <c r="E1044" i="3"/>
  <c r="E1030" i="3"/>
  <c r="E1381" i="3"/>
  <c r="E1349" i="3"/>
  <c r="E1317" i="3"/>
  <c r="E1285" i="3"/>
  <c r="E1253" i="3"/>
  <c r="E1221" i="3"/>
  <c r="E1189" i="3"/>
  <c r="E1157" i="3"/>
  <c r="E1125" i="3"/>
  <c r="E1093" i="3"/>
  <c r="E1061" i="3"/>
  <c r="E1018" i="3"/>
  <c r="E1300" i="3"/>
  <c r="E1268" i="3"/>
  <c r="E1236" i="3"/>
  <c r="E1204" i="3"/>
  <c r="E1172" i="3"/>
  <c r="E1140" i="3"/>
  <c r="E1108" i="3"/>
  <c r="E1076" i="3"/>
  <c r="E1034" i="3"/>
  <c r="E395" i="3"/>
  <c r="E970" i="3"/>
  <c r="E938" i="3"/>
  <c r="E906" i="3"/>
  <c r="E874" i="3"/>
  <c r="E842" i="3"/>
  <c r="E810" i="3"/>
  <c r="E778" i="3"/>
  <c r="E685" i="3"/>
  <c r="E1025" i="3"/>
  <c r="E993" i="3"/>
  <c r="E961" i="3"/>
  <c r="E929" i="3"/>
  <c r="E897" i="3"/>
  <c r="E865" i="3"/>
  <c r="E833" i="3"/>
  <c r="E801" i="3"/>
  <c r="E769" i="3"/>
  <c r="E645" i="3"/>
  <c r="E713" i="3"/>
  <c r="E1024" i="3"/>
  <c r="E992" i="3"/>
  <c r="E960" i="3"/>
  <c r="E928" i="3"/>
  <c r="E896" i="3"/>
  <c r="E864" i="3"/>
  <c r="E832" i="3"/>
  <c r="E800" i="3"/>
  <c r="E768" i="3"/>
  <c r="E637" i="3"/>
  <c r="E665" i="3"/>
  <c r="E1039" i="3"/>
  <c r="E1007" i="3"/>
  <c r="E975" i="3"/>
  <c r="E943" i="3"/>
  <c r="E911" i="3"/>
  <c r="E879" i="3"/>
  <c r="E847" i="3"/>
  <c r="E815" i="3"/>
  <c r="E783" i="3"/>
  <c r="E693" i="3"/>
  <c r="E753" i="3"/>
  <c r="E529" i="3"/>
  <c r="E426" i="3"/>
  <c r="E478" i="3"/>
  <c r="E700" i="3"/>
  <c r="E668" i="3"/>
  <c r="E636" i="3"/>
  <c r="E604" i="3"/>
  <c r="E572" i="3"/>
  <c r="E540" i="3"/>
  <c r="E458" i="3"/>
  <c r="E463" i="3"/>
  <c r="E763" i="3"/>
  <c r="E719" i="3"/>
  <c r="E655" i="3"/>
  <c r="E571" i="3"/>
  <c r="E427" i="3"/>
  <c r="E658" i="3"/>
  <c r="E207" i="3"/>
  <c r="E103" i="3"/>
  <c r="E324" i="3"/>
  <c r="E273" i="3"/>
  <c r="E246" i="3"/>
  <c r="E57" i="3"/>
  <c r="E88" i="3"/>
  <c r="E1863" i="3"/>
  <c r="E1599" i="3"/>
  <c r="E1837" i="3"/>
  <c r="E14" i="3"/>
  <c r="E1143" i="3"/>
  <c r="E1864" i="3"/>
  <c r="E1828" i="3"/>
  <c r="E1796" i="3"/>
  <c r="E1764" i="3"/>
  <c r="E1697" i="3"/>
  <c r="E1527" i="3"/>
  <c r="E19" i="3"/>
  <c r="E1678" i="3"/>
  <c r="E1175" i="3"/>
  <c r="E1855" i="3"/>
  <c r="E1823" i="3"/>
  <c r="E1791" i="3"/>
  <c r="E1759" i="3"/>
  <c r="E1682" i="3"/>
  <c r="E1519" i="3"/>
  <c r="E32" i="3"/>
  <c r="E64" i="3"/>
  <c r="E96" i="3"/>
  <c r="E128" i="3"/>
  <c r="E160" i="3"/>
  <c r="E192" i="3"/>
  <c r="E224" i="3"/>
  <c r="E256" i="3"/>
  <c r="E288" i="3"/>
  <c r="E33" i="3"/>
  <c r="E65" i="3"/>
  <c r="E30" i="3"/>
  <c r="E62" i="3"/>
  <c r="E94" i="3"/>
  <c r="E126" i="3"/>
  <c r="E158" i="3"/>
  <c r="E190" i="3"/>
  <c r="E222" i="3"/>
  <c r="E254" i="3"/>
  <c r="E286" i="3"/>
  <c r="E35" i="3"/>
  <c r="E67" i="3"/>
  <c r="E119" i="3"/>
  <c r="E247" i="3"/>
  <c r="E341" i="3"/>
  <c r="E177" i="3"/>
  <c r="E305" i="3"/>
  <c r="E364" i="3"/>
  <c r="E396" i="3"/>
  <c r="E428" i="3"/>
  <c r="E460" i="3"/>
  <c r="E492" i="3"/>
  <c r="E127" i="3"/>
  <c r="E255" i="3"/>
  <c r="E338" i="3"/>
  <c r="E185" i="3"/>
  <c r="E320" i="3"/>
  <c r="E373" i="3"/>
  <c r="E405" i="3"/>
  <c r="E437" i="3"/>
  <c r="E469" i="3"/>
  <c r="E501" i="3"/>
  <c r="E135" i="3"/>
  <c r="E263" i="3"/>
  <c r="E339" i="3"/>
  <c r="E161" i="3"/>
  <c r="E289" i="3"/>
  <c r="E362" i="3"/>
  <c r="E394" i="3"/>
  <c r="E111" i="3"/>
  <c r="E239" i="3"/>
  <c r="E331" i="3"/>
  <c r="E403" i="3"/>
  <c r="E530" i="3"/>
  <c r="E562" i="3"/>
  <c r="E594" i="3"/>
  <c r="E626" i="3"/>
  <c r="E1693" i="3"/>
  <c r="E1856" i="3"/>
  <c r="E1824" i="3"/>
  <c r="E1792" i="3"/>
  <c r="E1760" i="3"/>
  <c r="E1683" i="3"/>
  <c r="E1495" i="3"/>
  <c r="E1751" i="3"/>
  <c r="E1587" i="3"/>
  <c r="E1743" i="3"/>
  <c r="E1851" i="3"/>
  <c r="E1819" i="3"/>
  <c r="E1787" i="3"/>
  <c r="E1755" i="3"/>
  <c r="E1667" i="3"/>
  <c r="E1487" i="3"/>
  <c r="E36" i="3"/>
  <c r="E68" i="3"/>
  <c r="E100" i="3"/>
  <c r="E132" i="3"/>
  <c r="E164" i="3"/>
  <c r="E196" i="3"/>
  <c r="E228" i="3"/>
  <c r="E260" i="3"/>
  <c r="E292" i="3"/>
  <c r="E37" i="3"/>
  <c r="E69" i="3"/>
  <c r="E34" i="3"/>
  <c r="E66" i="3"/>
  <c r="E98" i="3"/>
  <c r="E130" i="3"/>
  <c r="E162" i="3"/>
  <c r="E194" i="3"/>
  <c r="E226" i="3"/>
  <c r="E258" i="3"/>
  <c r="E290" i="3"/>
  <c r="E39" i="3"/>
  <c r="E71" i="3"/>
  <c r="E125" i="3"/>
  <c r="E253" i="3"/>
  <c r="E346" i="3"/>
  <c r="E203" i="3"/>
  <c r="E310" i="3"/>
  <c r="E368" i="3"/>
  <c r="E400" i="3"/>
  <c r="E432" i="3"/>
  <c r="E464" i="3"/>
  <c r="E496" i="3"/>
  <c r="E133" i="3"/>
  <c r="E261" i="3"/>
  <c r="E347" i="3"/>
  <c r="E211" i="3"/>
  <c r="E329" i="3"/>
  <c r="E377" i="3"/>
  <c r="E409" i="3"/>
  <c r="E441" i="3"/>
  <c r="E473" i="3"/>
  <c r="E505" i="3"/>
  <c r="E141" i="3"/>
  <c r="E269" i="3"/>
  <c r="E348" i="3"/>
  <c r="E187" i="3"/>
  <c r="E312" i="3"/>
  <c r="E366" i="3"/>
  <c r="E398" i="3"/>
  <c r="E117" i="3"/>
  <c r="E245" i="3"/>
  <c r="E340" i="3"/>
  <c r="E442" i="3"/>
  <c r="E534" i="3"/>
  <c r="E566" i="3"/>
  <c r="E598" i="3"/>
  <c r="E630" i="3"/>
  <c r="E662" i="3"/>
  <c r="E694" i="3"/>
  <c r="E726" i="3"/>
  <c r="E758" i="3"/>
  <c r="E435" i="3"/>
  <c r="E345" i="3"/>
  <c r="E514" i="3"/>
  <c r="E551" i="3"/>
  <c r="E583" i="3"/>
  <c r="E615" i="3"/>
  <c r="E647" i="3"/>
  <c r="E679" i="3"/>
  <c r="E711" i="3"/>
  <c r="E743" i="3"/>
  <c r="E265" i="3"/>
  <c r="E470" i="3"/>
  <c r="E1639" i="3"/>
  <c r="E1852" i="3"/>
  <c r="E1820" i="3"/>
  <c r="E1788" i="3"/>
  <c r="E1756" i="3"/>
  <c r="E1674" i="3"/>
  <c r="E1463" i="3"/>
  <c r="E1742" i="3"/>
  <c r="E1555" i="3"/>
  <c r="E1725" i="3"/>
  <c r="E1847" i="3"/>
  <c r="E1815" i="3"/>
  <c r="E1783" i="3"/>
  <c r="E1746" i="3"/>
  <c r="E1662" i="3"/>
  <c r="E1455" i="3"/>
  <c r="E40" i="3"/>
  <c r="E72" i="3"/>
  <c r="E104" i="3"/>
  <c r="E136" i="3"/>
  <c r="E168" i="3"/>
  <c r="E200" i="3"/>
  <c r="E232" i="3"/>
  <c r="E264" i="3"/>
  <c r="E296" i="3"/>
  <c r="E41" i="3"/>
  <c r="E73" i="3"/>
  <c r="E38" i="3"/>
  <c r="E70" i="3"/>
  <c r="E102" i="3"/>
  <c r="E134" i="3"/>
  <c r="E166" i="3"/>
  <c r="E198" i="3"/>
  <c r="E230" i="3"/>
  <c r="E262" i="3"/>
  <c r="E294" i="3"/>
  <c r="E43" i="3"/>
  <c r="E75" i="3"/>
  <c r="E151" i="3"/>
  <c r="E279" i="3"/>
  <c r="E355" i="3"/>
  <c r="E209" i="3"/>
  <c r="E319" i="3"/>
  <c r="E372" i="3"/>
  <c r="E404" i="3"/>
  <c r="E436" i="3"/>
  <c r="E468" i="3"/>
  <c r="E500" i="3"/>
  <c r="E159" i="3"/>
  <c r="E287" i="3"/>
  <c r="E356" i="3"/>
  <c r="E217" i="3"/>
  <c r="E334" i="3"/>
  <c r="E381" i="3"/>
  <c r="E413" i="3"/>
  <c r="E445" i="3"/>
  <c r="E477" i="3"/>
  <c r="E509" i="3"/>
  <c r="E167" i="3"/>
  <c r="E295" i="3"/>
  <c r="E357" i="3"/>
  <c r="E193" i="3"/>
  <c r="E321" i="3"/>
  <c r="E370" i="3"/>
  <c r="E402" i="3"/>
  <c r="E143" i="3"/>
  <c r="E271" i="3"/>
  <c r="E349" i="3"/>
  <c r="E467" i="3"/>
  <c r="E538" i="3"/>
  <c r="E570" i="3"/>
  <c r="E602" i="3"/>
  <c r="E634" i="3"/>
  <c r="E666" i="3"/>
  <c r="E698" i="3"/>
  <c r="E730" i="3"/>
  <c r="E762" i="3"/>
  <c r="E455" i="3"/>
  <c r="E379" i="3"/>
  <c r="E523" i="3"/>
  <c r="E555" i="3"/>
  <c r="E587" i="3"/>
  <c r="E619" i="3"/>
  <c r="E651" i="3"/>
  <c r="E683" i="3"/>
  <c r="E715" i="3"/>
  <c r="E1631" i="3"/>
  <c r="E1848" i="3"/>
  <c r="E1816" i="3"/>
  <c r="E1784" i="3"/>
  <c r="E1747" i="3"/>
  <c r="E1663" i="3"/>
  <c r="E1390" i="3"/>
  <c r="E1733" i="3"/>
  <c r="E1523" i="3"/>
  <c r="E1679" i="3"/>
  <c r="E1843" i="3"/>
  <c r="E1811" i="3"/>
  <c r="E1779" i="3"/>
  <c r="E1737" i="3"/>
  <c r="E1651" i="3"/>
  <c r="E1419" i="3"/>
  <c r="E44" i="3"/>
  <c r="E76" i="3"/>
  <c r="E108" i="3"/>
  <c r="E140" i="3"/>
  <c r="E172" i="3"/>
  <c r="E204" i="3"/>
  <c r="E236" i="3"/>
  <c r="E268" i="3"/>
  <c r="E300" i="3"/>
  <c r="E45" i="3"/>
  <c r="E77" i="3"/>
  <c r="E42" i="3"/>
  <c r="E74" i="3"/>
  <c r="E106" i="3"/>
  <c r="E138" i="3"/>
  <c r="E170" i="3"/>
  <c r="E202" i="3"/>
  <c r="E234" i="3"/>
  <c r="E266" i="3"/>
  <c r="E298" i="3"/>
  <c r="E47" i="3"/>
  <c r="E79" i="3"/>
  <c r="E157" i="3"/>
  <c r="E285" i="3"/>
  <c r="E107" i="3"/>
  <c r="E235" i="3"/>
  <c r="E328" i="3"/>
  <c r="E376" i="3"/>
  <c r="E408" i="3"/>
  <c r="E440" i="3"/>
  <c r="E472" i="3"/>
  <c r="E504" i="3"/>
  <c r="E165" i="3"/>
  <c r="E293" i="3"/>
  <c r="E115" i="3"/>
  <c r="E243" i="3"/>
  <c r="E343" i="3"/>
  <c r="E385" i="3"/>
  <c r="E417" i="3"/>
  <c r="E449" i="3"/>
  <c r="E481" i="3"/>
  <c r="E513" i="3"/>
  <c r="E173" i="3"/>
  <c r="E301" i="3"/>
  <c r="E89" i="3"/>
  <c r="E219" i="3"/>
  <c r="E326" i="3"/>
  <c r="E374" i="3"/>
  <c r="E406" i="3"/>
  <c r="E149" i="3"/>
  <c r="E277" i="3"/>
  <c r="E354" i="3"/>
  <c r="E474" i="3"/>
  <c r="E542" i="3"/>
  <c r="E574" i="3"/>
  <c r="E606" i="3"/>
  <c r="E638" i="3"/>
  <c r="E670" i="3"/>
  <c r="E702" i="3"/>
  <c r="E734" i="3"/>
  <c r="E766" i="3"/>
  <c r="E462" i="3"/>
  <c r="E411" i="3"/>
  <c r="E527" i="3"/>
  <c r="E1595" i="3"/>
  <c r="E1844" i="3"/>
  <c r="E1812" i="3"/>
  <c r="E1780" i="3"/>
  <c r="E1738" i="3"/>
  <c r="E1658" i="3"/>
  <c r="E1347" i="3"/>
  <c r="E1719" i="3"/>
  <c r="E1491" i="3"/>
  <c r="E1395" i="3"/>
  <c r="E1839" i="3"/>
  <c r="E1807" i="3"/>
  <c r="E1775" i="3"/>
  <c r="E1723" i="3"/>
  <c r="E1627" i="3"/>
  <c r="E1379" i="3"/>
  <c r="E48" i="3"/>
  <c r="E80" i="3"/>
  <c r="E112" i="3"/>
  <c r="E144" i="3"/>
  <c r="E176" i="3"/>
  <c r="E208" i="3"/>
  <c r="E240" i="3"/>
  <c r="E272" i="3"/>
  <c r="E304" i="3"/>
  <c r="E49" i="3"/>
  <c r="E81" i="3"/>
  <c r="E46" i="3"/>
  <c r="E78" i="3"/>
  <c r="E110" i="3"/>
  <c r="E142" i="3"/>
  <c r="E174" i="3"/>
  <c r="E206" i="3"/>
  <c r="E238" i="3"/>
  <c r="E270" i="3"/>
  <c r="E302" i="3"/>
  <c r="E51" i="3"/>
  <c r="E83" i="3"/>
  <c r="E183" i="3"/>
  <c r="E309" i="3"/>
  <c r="E113" i="3"/>
  <c r="E241" i="3"/>
  <c r="E337" i="3"/>
  <c r="E380" i="3"/>
  <c r="E412" i="3"/>
  <c r="E444" i="3"/>
  <c r="E476" i="3"/>
  <c r="E508" i="3"/>
  <c r="E191" i="3"/>
  <c r="E306" i="3"/>
  <c r="E121" i="3"/>
  <c r="E249" i="3"/>
  <c r="E352" i="3"/>
  <c r="E389" i="3"/>
  <c r="E421" i="3"/>
  <c r="E453" i="3"/>
  <c r="E485" i="3"/>
  <c r="E517" i="3"/>
  <c r="E199" i="3"/>
  <c r="E307" i="3"/>
  <c r="E97" i="3"/>
  <c r="E225" i="3"/>
  <c r="E335" i="3"/>
  <c r="E378" i="3"/>
  <c r="E410" i="3"/>
  <c r="E175" i="3"/>
  <c r="E303" i="3"/>
  <c r="E195" i="3"/>
  <c r="E499" i="3"/>
  <c r="E546" i="3"/>
  <c r="E578" i="3"/>
  <c r="E610" i="3"/>
  <c r="E642" i="3"/>
  <c r="E674" i="3"/>
  <c r="E706" i="3"/>
  <c r="E738" i="3"/>
  <c r="E99" i="3"/>
  <c r="E487" i="3"/>
  <c r="E443" i="3"/>
  <c r="E531" i="3"/>
  <c r="E563" i="3"/>
  <c r="E595" i="3"/>
  <c r="E627" i="3"/>
  <c r="E1563" i="3"/>
  <c r="E1840" i="3"/>
  <c r="E1808" i="3"/>
  <c r="E1776" i="3"/>
  <c r="E1729" i="3"/>
  <c r="E1619" i="3"/>
  <c r="E1207" i="3"/>
  <c r="E1710" i="3"/>
  <c r="E1459" i="3"/>
  <c r="E1860" i="3"/>
  <c r="E1835" i="3"/>
  <c r="E1803" i="3"/>
  <c r="E1771" i="3"/>
  <c r="E1714" i="3"/>
  <c r="E1615" i="3"/>
  <c r="E20" i="3"/>
  <c r="E52" i="3"/>
  <c r="E84" i="3"/>
  <c r="E116" i="3"/>
  <c r="E148" i="3"/>
  <c r="E180" i="3"/>
  <c r="E212" i="3"/>
  <c r="E244" i="3"/>
  <c r="E276" i="3"/>
  <c r="E21" i="3"/>
  <c r="E53" i="3"/>
  <c r="E85" i="3"/>
  <c r="E50" i="3"/>
  <c r="E82" i="3"/>
  <c r="E114" i="3"/>
  <c r="E146" i="3"/>
  <c r="E178" i="3"/>
  <c r="E210" i="3"/>
  <c r="E242" i="3"/>
  <c r="E274" i="3"/>
  <c r="E23" i="3"/>
  <c r="E55" i="3"/>
  <c r="E87" i="3"/>
  <c r="E189" i="3"/>
  <c r="E314" i="3"/>
  <c r="E139" i="3"/>
  <c r="E267" i="3"/>
  <c r="E342" i="3"/>
  <c r="E384" i="3"/>
  <c r="E416" i="3"/>
  <c r="E448" i="3"/>
  <c r="E480" i="3"/>
  <c r="E512" i="3"/>
  <c r="E197" i="3"/>
  <c r="E315" i="3"/>
  <c r="E147" i="3"/>
  <c r="E275" i="3"/>
  <c r="E361" i="3"/>
  <c r="E393" i="3"/>
  <c r="E425" i="3"/>
  <c r="E457" i="3"/>
  <c r="E489" i="3"/>
  <c r="E521" i="3"/>
  <c r="E205" i="3"/>
  <c r="E316" i="3"/>
  <c r="E123" i="3"/>
  <c r="E251" i="3"/>
  <c r="E344" i="3"/>
  <c r="E382" i="3"/>
  <c r="E414" i="3"/>
  <c r="E181" i="3"/>
  <c r="E308" i="3"/>
  <c r="E297" i="3"/>
  <c r="E506" i="3"/>
  <c r="E550" i="3"/>
  <c r="E582" i="3"/>
  <c r="E614" i="3"/>
  <c r="E646" i="3"/>
  <c r="E678" i="3"/>
  <c r="E710" i="3"/>
  <c r="E742" i="3"/>
  <c r="E201" i="3"/>
  <c r="E494" i="3"/>
  <c r="E450" i="3"/>
  <c r="E535" i="3"/>
  <c r="E567" i="3"/>
  <c r="E599" i="3"/>
  <c r="E631" i="3"/>
  <c r="E663" i="3"/>
  <c r="E695" i="3"/>
  <c r="E727" i="3"/>
  <c r="E759" i="3"/>
  <c r="E415" i="3"/>
  <c r="E169" i="3"/>
  <c r="E1499" i="3"/>
  <c r="E1832" i="3"/>
  <c r="E1800" i="3"/>
  <c r="E1768" i="3"/>
  <c r="E1706" i="3"/>
  <c r="E1559" i="3"/>
  <c r="E1433" i="3"/>
  <c r="E1687" i="3"/>
  <c r="E1342" i="3"/>
  <c r="E1859" i="3"/>
  <c r="E1827" i="3"/>
  <c r="E1795" i="3"/>
  <c r="E1763" i="3"/>
  <c r="E1691" i="3"/>
  <c r="E1551" i="3"/>
  <c r="E28" i="3"/>
  <c r="E60" i="3"/>
  <c r="E92" i="3"/>
  <c r="E124" i="3"/>
  <c r="E156" i="3"/>
  <c r="E188" i="3"/>
  <c r="E220" i="3"/>
  <c r="E252" i="3"/>
  <c r="E284" i="3"/>
  <c r="E29" i="3"/>
  <c r="E61" i="3"/>
  <c r="E26" i="3"/>
  <c r="E58" i="3"/>
  <c r="E90" i="3"/>
  <c r="E122" i="3"/>
  <c r="E154" i="3"/>
  <c r="E186" i="3"/>
  <c r="E218" i="3"/>
  <c r="E250" i="3"/>
  <c r="E282" i="3"/>
  <c r="E31" i="3"/>
  <c r="E63" i="3"/>
  <c r="E93" i="3"/>
  <c r="E221" i="3"/>
  <c r="E332" i="3"/>
  <c r="E171" i="3"/>
  <c r="E299" i="3"/>
  <c r="E360" i="3"/>
  <c r="E392" i="3"/>
  <c r="E424" i="3"/>
  <c r="E456" i="3"/>
  <c r="E488" i="3"/>
  <c r="E101" i="3"/>
  <c r="E229" i="3"/>
  <c r="E333" i="3"/>
  <c r="E179" i="3"/>
  <c r="E311" i="3"/>
  <c r="E369" i="3"/>
  <c r="E401" i="3"/>
  <c r="E433" i="3"/>
  <c r="E465" i="3"/>
  <c r="E497" i="3"/>
  <c r="E109" i="3"/>
  <c r="E237" i="3"/>
  <c r="E330" i="3"/>
  <c r="E155" i="3"/>
  <c r="E283" i="3"/>
  <c r="E358" i="3"/>
  <c r="E390" i="3"/>
  <c r="E422" i="3"/>
  <c r="E213" i="3"/>
  <c r="E322" i="3"/>
  <c r="E371" i="3"/>
  <c r="E526" i="3"/>
  <c r="E558" i="3"/>
  <c r="E590" i="3"/>
  <c r="E622" i="3"/>
  <c r="E654" i="3"/>
  <c r="E686" i="3"/>
  <c r="E718" i="3"/>
  <c r="E750" i="3"/>
  <c r="E407" i="3"/>
  <c r="E105" i="3"/>
  <c r="E482" i="3"/>
  <c r="E543" i="3"/>
  <c r="E575" i="3"/>
  <c r="E607" i="3"/>
  <c r="E639" i="3"/>
  <c r="E671" i="3"/>
  <c r="E703" i="3"/>
  <c r="E1654" i="3"/>
  <c r="E1730" i="3"/>
  <c r="E1777" i="3"/>
  <c r="E1809" i="3"/>
  <c r="E1841" i="3"/>
  <c r="E1734" i="3"/>
  <c r="E1571" i="3"/>
  <c r="E1735" i="3"/>
  <c r="E1575" i="3"/>
  <c r="E1699" i="3"/>
  <c r="E1766" i="3"/>
  <c r="E1798" i="3"/>
  <c r="E1830" i="3"/>
  <c r="E1862" i="3"/>
  <c r="E1515" i="3"/>
  <c r="E1695" i="3"/>
  <c r="E1447" i="3"/>
  <c r="E1364" i="3"/>
  <c r="E1179" i="3"/>
  <c r="E1414" i="3"/>
  <c r="E1267" i="3"/>
  <c r="E1646" i="3"/>
  <c r="E1614" i="3"/>
  <c r="E1582" i="3"/>
  <c r="E1550" i="3"/>
  <c r="E1518" i="3"/>
  <c r="E1486" i="3"/>
  <c r="E1454" i="3"/>
  <c r="E1394" i="3"/>
  <c r="E1330" i="3"/>
  <c r="E1103" i="3"/>
  <c r="E1404" i="3"/>
  <c r="E1195" i="3"/>
  <c r="E1661" i="3"/>
  <c r="E1629" i="3"/>
  <c r="E1597" i="3"/>
  <c r="E1565" i="3"/>
  <c r="E1533" i="3"/>
  <c r="E1501" i="3"/>
  <c r="E1469" i="3"/>
  <c r="E1426" i="3"/>
  <c r="E1366" i="3"/>
  <c r="E1255" i="3"/>
  <c r="E1444" i="3"/>
  <c r="E1360" i="3"/>
  <c r="E1091" i="3"/>
  <c r="E1724" i="3"/>
  <c r="E1692" i="3"/>
  <c r="E1660" i="3"/>
  <c r="E1628" i="3"/>
  <c r="E1596" i="3"/>
  <c r="E1564" i="3"/>
  <c r="E1532" i="3"/>
  <c r="E1500" i="3"/>
  <c r="E1468" i="3"/>
  <c r="E1425" i="3"/>
  <c r="E1359" i="3"/>
  <c r="E1183" i="3"/>
  <c r="E1038" i="3"/>
  <c r="E1306" i="3"/>
  <c r="E1274" i="3"/>
  <c r="E1242" i="3"/>
  <c r="E1210" i="3"/>
  <c r="E1178" i="3"/>
  <c r="E1146" i="3"/>
  <c r="E1114" i="3"/>
  <c r="E1082" i="3"/>
  <c r="E1032" i="3"/>
  <c r="E1010" i="3"/>
  <c r="E1377" i="3"/>
  <c r="E1345" i="3"/>
  <c r="E1313" i="3"/>
  <c r="E1281" i="3"/>
  <c r="E1249" i="3"/>
  <c r="E1217" i="3"/>
  <c r="E1185" i="3"/>
  <c r="E1153" i="3"/>
  <c r="E1121" i="3"/>
  <c r="E1089" i="3"/>
  <c r="E1052" i="3"/>
  <c r="E1328" i="3"/>
  <c r="E1296" i="3"/>
  <c r="E1264" i="3"/>
  <c r="E1232" i="3"/>
  <c r="E1200" i="3"/>
  <c r="E1168" i="3"/>
  <c r="E1136" i="3"/>
  <c r="E1104" i="3"/>
  <c r="E1072" i="3"/>
  <c r="E1028" i="3"/>
  <c r="E998" i="3"/>
  <c r="E966" i="3"/>
  <c r="E934" i="3"/>
  <c r="E902" i="3"/>
  <c r="E870" i="3"/>
  <c r="E838" i="3"/>
  <c r="E806" i="3"/>
  <c r="E774" i="3"/>
  <c r="E653" i="3"/>
  <c r="E1021" i="3"/>
  <c r="E989" i="3"/>
  <c r="E957" i="3"/>
  <c r="E925" i="3"/>
  <c r="E893" i="3"/>
  <c r="E861" i="3"/>
  <c r="E829" i="3"/>
  <c r="E797" i="3"/>
  <c r="E764" i="3"/>
  <c r="E613" i="3"/>
  <c r="E673" i="3"/>
  <c r="E1020" i="3"/>
  <c r="E988" i="3"/>
  <c r="E956" i="3"/>
  <c r="E924" i="3"/>
  <c r="E892" i="3"/>
  <c r="E860" i="3"/>
  <c r="E828" i="3"/>
  <c r="E796" i="3"/>
  <c r="E756" i="3"/>
  <c r="E605" i="3"/>
  <c r="E633" i="3"/>
  <c r="E1035" i="3"/>
  <c r="E1003" i="3"/>
  <c r="E971" i="3"/>
  <c r="E939" i="3"/>
  <c r="E907" i="3"/>
  <c r="E875" i="3"/>
  <c r="E843" i="3"/>
  <c r="E811" i="3"/>
  <c r="E779" i="3"/>
  <c r="E661" i="3"/>
  <c r="E729" i="3"/>
  <c r="E131" i="3"/>
  <c r="E399" i="3"/>
  <c r="E471" i="3"/>
  <c r="E696" i="3"/>
  <c r="E664" i="3"/>
  <c r="E632" i="3"/>
  <c r="E600" i="3"/>
  <c r="E568" i="3"/>
  <c r="E536" i="3"/>
  <c r="E451" i="3"/>
  <c r="E438" i="3"/>
  <c r="E755" i="3"/>
  <c r="E707" i="3"/>
  <c r="E643" i="3"/>
  <c r="E559" i="3"/>
  <c r="E375" i="3"/>
  <c r="E650" i="3"/>
  <c r="E418" i="3"/>
  <c r="E493" i="3"/>
  <c r="E223" i="3"/>
  <c r="E145" i="3"/>
  <c r="E214" i="3"/>
  <c r="E25" i="3"/>
  <c r="E56" i="3"/>
  <c r="E1424" i="3"/>
  <c r="E1531" i="3"/>
  <c r="F13" i="3"/>
  <c r="E8" i="3"/>
  <c r="F9" i="3"/>
  <c r="E9" i="3"/>
  <c r="F14" i="3"/>
  <c r="F8" i="3"/>
  <c r="E4" i="3"/>
  <c r="F3" i="3"/>
  <c r="E13" i="3"/>
  <c r="C35" i="1"/>
  <c r="C36" i="1"/>
  <c r="C37" i="1"/>
  <c r="C38" i="1"/>
  <c r="C39" i="1"/>
  <c r="C40" i="1"/>
  <c r="C41" i="1"/>
  <c r="C42" i="1"/>
  <c r="C43" i="1"/>
  <c r="C44" i="1"/>
  <c r="C45" i="1"/>
  <c r="C34" i="1"/>
  <c r="S99" i="1" l="1"/>
  <c r="R99" i="1"/>
  <c r="Q99" i="1"/>
  <c r="P100" i="1"/>
  <c r="S100" i="1" s="1"/>
  <c r="P99" i="1"/>
  <c r="Q100" i="1" l="1"/>
  <c r="R100" i="1"/>
  <c r="E25" i="1" l="1"/>
  <c r="S6" i="1"/>
  <c r="S13" i="1" s="1"/>
  <c r="S4" i="1"/>
  <c r="S14" i="1" s="1"/>
  <c r="S11" i="1"/>
  <c r="S15" i="1" l="1"/>
  <c r="S16" i="1" s="1"/>
  <c r="S19" i="1" s="1"/>
  <c r="S20" i="1" l="1"/>
  <c r="S17" i="1"/>
  <c r="S18" i="1"/>
  <c r="F53" i="1"/>
  <c r="E120" i="1" l="1"/>
  <c r="W131" i="1" l="1"/>
  <c r="O119" i="1"/>
  <c r="O120" i="1" s="1"/>
  <c r="P119" i="1"/>
  <c r="P120" i="1" s="1"/>
  <c r="C490" i="1"/>
  <c r="B490" i="1"/>
  <c r="B492" i="1" l="1"/>
  <c r="B493" i="1"/>
  <c r="AG380" i="3"/>
  <c r="C492" i="1"/>
  <c r="C493" i="1"/>
  <c r="D490" i="1"/>
  <c r="AF380" i="3"/>
  <c r="Q120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C494" i="1" l="1"/>
  <c r="B494" i="1"/>
  <c r="AK380" i="3"/>
  <c r="AJ380" i="3"/>
  <c r="C25" i="1"/>
  <c r="D25" i="1" s="1"/>
  <c r="J117" i="1"/>
  <c r="J118" i="1"/>
  <c r="Q129" i="1" s="1"/>
  <c r="B98" i="1"/>
  <c r="B4" i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T34" i="1" l="1"/>
  <c r="V34" i="1" s="1"/>
  <c r="E494" i="1"/>
  <c r="G494" i="1" s="1"/>
  <c r="J494" i="1" s="1"/>
  <c r="F25" i="1"/>
  <c r="J19" i="3"/>
  <c r="S111" i="1"/>
  <c r="V111" i="1" s="1"/>
  <c r="D120" i="1"/>
  <c r="V131" i="1" s="1"/>
  <c r="F75" i="1"/>
  <c r="G75" i="1"/>
  <c r="B30" i="1"/>
  <c r="B43" i="1"/>
  <c r="C70" i="1"/>
  <c r="B38" i="1"/>
  <c r="B102" i="1"/>
  <c r="C69" i="1"/>
  <c r="B37" i="1"/>
  <c r="B101" i="1"/>
  <c r="B44" i="1"/>
  <c r="B108" i="1"/>
  <c r="F108" i="1" s="1"/>
  <c r="B35" i="1"/>
  <c r="B99" i="1"/>
  <c r="B40" i="1"/>
  <c r="B45" i="1"/>
  <c r="B109" i="1"/>
  <c r="F109" i="1" s="1"/>
  <c r="B36" i="1"/>
  <c r="B100" i="1"/>
  <c r="B41" i="1"/>
  <c r="C71" i="1"/>
  <c r="B42" i="1"/>
  <c r="B106" i="1"/>
  <c r="B39" i="1"/>
  <c r="C73" i="1"/>
  <c r="C68" i="1"/>
  <c r="C67" i="1"/>
  <c r="C66" i="1"/>
  <c r="C65" i="1"/>
  <c r="C64" i="1"/>
  <c r="D34" i="1"/>
  <c r="E34" i="1" s="1"/>
  <c r="E6" i="1"/>
  <c r="E5" i="1"/>
  <c r="D5" i="1"/>
  <c r="D4" i="1"/>
  <c r="U34" i="1" l="1"/>
  <c r="T43" i="1"/>
  <c r="U43" i="1" s="1"/>
  <c r="F494" i="1"/>
  <c r="I494" i="1" s="1"/>
  <c r="D45" i="1"/>
  <c r="E45" i="1" s="1"/>
  <c r="T45" i="1"/>
  <c r="D37" i="1"/>
  <c r="E37" i="1" s="1"/>
  <c r="T37" i="1"/>
  <c r="D42" i="1"/>
  <c r="E42" i="1" s="1"/>
  <c r="T42" i="1"/>
  <c r="D35" i="1"/>
  <c r="F35" i="1" s="1"/>
  <c r="T35" i="1"/>
  <c r="D39" i="1"/>
  <c r="E39" i="1" s="1"/>
  <c r="T39" i="1"/>
  <c r="D40" i="1"/>
  <c r="E40" i="1" s="1"/>
  <c r="T40" i="1"/>
  <c r="D38" i="1"/>
  <c r="E38" i="1" s="1"/>
  <c r="T38" i="1"/>
  <c r="D41" i="1"/>
  <c r="F41" i="1" s="1"/>
  <c r="T41" i="1"/>
  <c r="D44" i="1"/>
  <c r="F44" i="1" s="1"/>
  <c r="T44" i="1"/>
  <c r="D36" i="1"/>
  <c r="F36" i="1" s="1"/>
  <c r="T36" i="1"/>
  <c r="U111" i="1"/>
  <c r="T111" i="1"/>
  <c r="M19" i="3"/>
  <c r="L19" i="3"/>
  <c r="B31" i="1"/>
  <c r="G3" i="1"/>
  <c r="H3" i="1" s="1"/>
  <c r="F34" i="1"/>
  <c r="D43" i="1"/>
  <c r="E43" i="1" s="1"/>
  <c r="V43" i="1" l="1"/>
  <c r="F40" i="1"/>
  <c r="F37" i="1"/>
  <c r="T46" i="1"/>
  <c r="E44" i="1"/>
  <c r="F45" i="1"/>
  <c r="F39" i="1"/>
  <c r="F38" i="1"/>
  <c r="F42" i="1"/>
  <c r="U35" i="1"/>
  <c r="V35" i="1"/>
  <c r="U38" i="1"/>
  <c r="V38" i="1"/>
  <c r="V36" i="1"/>
  <c r="U36" i="1"/>
  <c r="E41" i="1"/>
  <c r="U44" i="1"/>
  <c r="V44" i="1"/>
  <c r="U40" i="1"/>
  <c r="V40" i="1"/>
  <c r="V37" i="1"/>
  <c r="U37" i="1"/>
  <c r="E36" i="1"/>
  <c r="U41" i="1"/>
  <c r="V41" i="1"/>
  <c r="U39" i="1"/>
  <c r="V39" i="1"/>
  <c r="V45" i="1"/>
  <c r="U45" i="1"/>
  <c r="U42" i="1"/>
  <c r="V42" i="1"/>
  <c r="E35" i="1"/>
  <c r="W111" i="1"/>
  <c r="D46" i="1"/>
  <c r="B48" i="1" s="1"/>
  <c r="F43" i="1"/>
  <c r="H117" i="1" l="1"/>
  <c r="F46" i="1"/>
  <c r="B50" i="1" s="1"/>
  <c r="V46" i="1"/>
  <c r="U46" i="1"/>
  <c r="V48" i="1" s="1"/>
  <c r="E46" i="1"/>
  <c r="B49" i="1" s="1"/>
  <c r="E49" i="1" l="1"/>
  <c r="B60" i="1" s="1"/>
  <c r="D49" i="1"/>
  <c r="A60" i="1" s="1"/>
  <c r="U48" i="1"/>
  <c r="E64" i="1" l="1"/>
  <c r="D72" i="1"/>
  <c r="A59" i="1"/>
  <c r="B61" i="1"/>
  <c r="E67" i="1"/>
  <c r="E71" i="1"/>
  <c r="E68" i="1"/>
  <c r="B58" i="1"/>
  <c r="E74" i="1"/>
  <c r="E72" i="1"/>
  <c r="E66" i="1"/>
  <c r="E69" i="1"/>
  <c r="B57" i="1"/>
  <c r="E70" i="1"/>
  <c r="B59" i="1"/>
  <c r="E65" i="1"/>
  <c r="E73" i="1"/>
  <c r="E75" i="1"/>
  <c r="C60" i="1"/>
  <c r="B91" i="1" s="1"/>
  <c r="D75" i="1"/>
  <c r="D74" i="1"/>
  <c r="D67" i="1"/>
  <c r="D68" i="1"/>
  <c r="A58" i="1"/>
  <c r="D66" i="1"/>
  <c r="D69" i="1"/>
  <c r="D71" i="1"/>
  <c r="D70" i="1"/>
  <c r="D60" i="1"/>
  <c r="C91" i="1" s="1"/>
  <c r="D65" i="1"/>
  <c r="D64" i="1"/>
  <c r="A61" i="1"/>
  <c r="A57" i="1"/>
  <c r="D73" i="1"/>
  <c r="F74" i="1"/>
  <c r="C108" i="1" s="1"/>
  <c r="G74" i="1"/>
  <c r="D108" i="1" s="1"/>
  <c r="C109" i="1"/>
  <c r="D109" i="1"/>
  <c r="D57" i="1" l="1"/>
  <c r="G64" i="1"/>
  <c r="D98" i="1" s="1"/>
  <c r="G72" i="1"/>
  <c r="D106" i="1" s="1"/>
  <c r="C59" i="1"/>
  <c r="D89" i="1" s="1"/>
  <c r="C61" i="1"/>
  <c r="D91" i="1" s="1"/>
  <c r="D58" i="1"/>
  <c r="E88" i="1" s="1"/>
  <c r="C88" i="1"/>
  <c r="F67" i="1"/>
  <c r="C101" i="1" s="1"/>
  <c r="G68" i="1"/>
  <c r="D102" i="1" s="1"/>
  <c r="F69" i="1"/>
  <c r="C103" i="1" s="1"/>
  <c r="F73" i="1"/>
  <c r="C107" i="1" s="1"/>
  <c r="G71" i="1"/>
  <c r="D105" i="1" s="1"/>
  <c r="F65" i="1"/>
  <c r="C99" i="1" s="1"/>
  <c r="D59" i="1"/>
  <c r="E89" i="1" s="1"/>
  <c r="F70" i="1"/>
  <c r="C104" i="1" s="1"/>
  <c r="F66" i="1"/>
  <c r="C100" i="1" s="1"/>
  <c r="C58" i="1"/>
  <c r="B89" i="1" s="1"/>
  <c r="F68" i="1"/>
  <c r="C102" i="1" s="1"/>
  <c r="D90" i="1"/>
  <c r="F72" i="1"/>
  <c r="C106" i="1" s="1"/>
  <c r="G67" i="1"/>
  <c r="D101" i="1" s="1"/>
  <c r="G69" i="1"/>
  <c r="D103" i="1" s="1"/>
  <c r="G66" i="1"/>
  <c r="D100" i="1" s="1"/>
  <c r="F71" i="1"/>
  <c r="C105" i="1" s="1"/>
  <c r="G70" i="1"/>
  <c r="D104" i="1" s="1"/>
  <c r="G65" i="1"/>
  <c r="D99" i="1" s="1"/>
  <c r="E90" i="1"/>
  <c r="C57" i="1"/>
  <c r="F64" i="1"/>
  <c r="C98" i="1" s="1"/>
  <c r="D61" i="1"/>
  <c r="E91" i="1" s="1"/>
  <c r="G73" i="1"/>
  <c r="D107" i="1" s="1"/>
  <c r="B90" i="1" l="1"/>
  <c r="C89" i="1"/>
  <c r="G89" i="1" s="1"/>
  <c r="G91" i="1"/>
  <c r="C90" i="1"/>
  <c r="D79" i="1"/>
  <c r="D88" i="1"/>
  <c r="D78" i="1"/>
  <c r="S79" i="1"/>
  <c r="S78" i="1" s="1"/>
  <c r="D82" i="1"/>
  <c r="G58" i="1"/>
  <c r="E98" i="1" s="1"/>
  <c r="F98" i="1" s="1"/>
  <c r="B88" i="1"/>
  <c r="S80" i="1"/>
  <c r="S81" i="1" s="1"/>
  <c r="D83" i="1"/>
  <c r="G57" i="1"/>
  <c r="G78" i="1" s="1"/>
  <c r="T59" i="1"/>
  <c r="T60" i="1" s="1"/>
  <c r="G76" i="1"/>
  <c r="G90" i="1" l="1"/>
  <c r="G88" i="1"/>
  <c r="E99" i="1"/>
  <c r="F99" i="1" s="1"/>
  <c r="E105" i="1"/>
  <c r="F105" i="1" s="1"/>
  <c r="E100" i="1"/>
  <c r="F100" i="1" s="1"/>
  <c r="E106" i="1"/>
  <c r="F106" i="1" s="1"/>
  <c r="E101" i="1"/>
  <c r="F101" i="1" s="1"/>
  <c r="E108" i="1"/>
  <c r="E107" i="1"/>
  <c r="F107" i="1" s="1"/>
  <c r="E109" i="1"/>
  <c r="E102" i="1"/>
  <c r="F102" i="1" s="1"/>
  <c r="E104" i="1"/>
  <c r="F104" i="1" s="1"/>
  <c r="E103" i="1"/>
  <c r="F103" i="1" s="1"/>
  <c r="T67" i="1"/>
  <c r="U59" i="1"/>
  <c r="U60" i="1" s="1"/>
  <c r="P115" i="1" l="1"/>
  <c r="T68" i="1"/>
  <c r="T69" i="1"/>
  <c r="T66" i="1"/>
  <c r="T65" i="1"/>
  <c r="T70" i="1"/>
  <c r="T71" i="1"/>
  <c r="T79" i="1"/>
  <c r="E78" i="1" l="1"/>
  <c r="E79" i="1" s="1"/>
  <c r="B81" i="1"/>
  <c r="G108" i="1" s="1"/>
  <c r="H108" i="1" s="1"/>
  <c r="G103" i="1" l="1"/>
  <c r="H103" i="1" s="1"/>
  <c r="I103" i="1" s="1"/>
  <c r="G98" i="1"/>
  <c r="H98" i="1" s="1"/>
  <c r="I98" i="1" s="1"/>
  <c r="G99" i="1"/>
  <c r="H99" i="1" s="1"/>
  <c r="J99" i="1" s="1"/>
  <c r="G100" i="1"/>
  <c r="H100" i="1" s="1"/>
  <c r="I100" i="1" s="1"/>
  <c r="G104" i="1"/>
  <c r="H104" i="1" s="1"/>
  <c r="I104" i="1" s="1"/>
  <c r="G106" i="1"/>
  <c r="H106" i="1" s="1"/>
  <c r="I106" i="1" s="1"/>
  <c r="G105" i="1"/>
  <c r="H105" i="1" s="1"/>
  <c r="I105" i="1" s="1"/>
  <c r="G109" i="1"/>
  <c r="H109" i="1" s="1"/>
  <c r="I109" i="1" s="1"/>
  <c r="E82" i="1"/>
  <c r="E83" i="1" s="1"/>
  <c r="G102" i="1"/>
  <c r="H102" i="1" s="1"/>
  <c r="J102" i="1" s="1"/>
  <c r="G101" i="1"/>
  <c r="H101" i="1" s="1"/>
  <c r="I101" i="1" s="1"/>
  <c r="F110" i="1"/>
  <c r="J113" i="1" s="1"/>
  <c r="G107" i="1"/>
  <c r="H107" i="1" s="1"/>
  <c r="J107" i="1" s="1"/>
  <c r="J108" i="1"/>
  <c r="I108" i="1"/>
  <c r="J98" i="1" l="1"/>
  <c r="I99" i="1"/>
  <c r="J103" i="1"/>
  <c r="J109" i="1"/>
  <c r="J100" i="1"/>
  <c r="J104" i="1"/>
  <c r="J105" i="1"/>
  <c r="J106" i="1"/>
  <c r="F88" i="1"/>
  <c r="I88" i="1" s="1"/>
  <c r="F89" i="1"/>
  <c r="H89" i="1" s="1"/>
  <c r="F90" i="1"/>
  <c r="H90" i="1" s="1"/>
  <c r="J101" i="1"/>
  <c r="F91" i="1"/>
  <c r="I102" i="1"/>
  <c r="I107" i="1"/>
  <c r="H110" i="1"/>
  <c r="H91" i="1" l="1"/>
  <c r="I89" i="1"/>
  <c r="K89" i="1" s="1"/>
  <c r="J110" i="1"/>
  <c r="H88" i="1"/>
  <c r="K88" i="1" s="1"/>
  <c r="I90" i="1"/>
  <c r="J90" i="1" s="1"/>
  <c r="I91" i="1"/>
  <c r="I110" i="1"/>
  <c r="J91" i="1" l="1"/>
  <c r="L91" i="1"/>
  <c r="L88" i="1"/>
  <c r="L90" i="1"/>
  <c r="K90" i="1"/>
  <c r="J88" i="1"/>
  <c r="L89" i="1"/>
  <c r="J89" i="1"/>
  <c r="K91" i="1"/>
  <c r="L92" i="1" l="1"/>
  <c r="J92" i="1"/>
  <c r="B113" i="1" s="1"/>
  <c r="J116" i="1" s="1"/>
  <c r="K92" i="1"/>
  <c r="M92" i="1" l="1"/>
  <c r="N92" i="1"/>
  <c r="U117" i="1"/>
  <c r="V117" i="1" s="1"/>
  <c r="B115" i="1"/>
  <c r="D114" i="1"/>
  <c r="D115" i="1"/>
  <c r="B114" i="1"/>
  <c r="L119" i="1" l="1"/>
  <c r="I2" i="2"/>
  <c r="V132" i="1"/>
  <c r="J20" i="3"/>
  <c r="F115" i="1"/>
  <c r="H115" i="1" s="1"/>
  <c r="J115" i="1" s="1"/>
  <c r="F114" i="1"/>
  <c r="H114" i="1" s="1"/>
  <c r="J114" i="1" s="1"/>
  <c r="I20" i="3" l="1"/>
  <c r="H125" i="1"/>
  <c r="M112" i="1"/>
  <c r="N112" i="1" s="1"/>
  <c r="I495" i="1" s="1"/>
  <c r="H20" i="3"/>
  <c r="M111" i="1"/>
  <c r="P111" i="1" s="1"/>
  <c r="AA111" i="1" s="1"/>
  <c r="I125" i="1"/>
  <c r="M117" i="1"/>
  <c r="W132" i="1"/>
  <c r="N115" i="1"/>
  <c r="O117" i="1" l="1"/>
  <c r="O118" i="1" s="1"/>
  <c r="E118" i="1"/>
  <c r="L20" i="3"/>
  <c r="O112" i="1"/>
  <c r="J495" i="1" s="1"/>
  <c r="M20" i="3"/>
  <c r="U118" i="1"/>
  <c r="I3" i="2"/>
  <c r="Q2" i="2" s="1" a="1"/>
  <c r="N111" i="1"/>
  <c r="Y111" i="1" s="1"/>
  <c r="O111" i="1"/>
  <c r="Z111" i="1" s="1"/>
  <c r="P117" i="1"/>
  <c r="P121" i="1" s="1"/>
  <c r="M119" i="1"/>
  <c r="O121" i="1" l="1"/>
  <c r="Q2" i="2"/>
  <c r="S2" i="2" s="1"/>
  <c r="Q3" i="2"/>
  <c r="S3" i="2" s="1"/>
  <c r="Q111" i="1"/>
  <c r="AB111" i="1"/>
  <c r="P118" i="1"/>
  <c r="Q1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<sst xmlns="http://schemas.openxmlformats.org/spreadsheetml/2006/main" count="264" uniqueCount="176">
  <si>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</si>
  <si>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</si>
  <si>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</si>
  <si>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</si>
  <si>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</si>
  <si>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</si>
  <si>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</si>
  <si>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</si>
  <si>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</si>
  <si>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</si>
  <si>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</si>
  <si>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</si>
  <si>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</si>
  <si>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</si>
  <si>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</si>
  <si>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</si>
  <si>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</si>
  <si>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</si>
  <si>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</si>
  <si>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</si>
  <si>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</si>
  <si>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</si>
  <si>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</si>
  <si>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</si>
  <si>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</si>
  <si>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</si>
  <si>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</si>
  <si>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</si>
  <si>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</si>
  <si>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</si>
  <si>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</si>
  <si>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</si>
  <si>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</si>
  <si>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</si>
  <si>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</si>
  <si>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</si>
  <si>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</si>
  <si>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</si>
  <si>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</si>
  <si>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</si>
  <si>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</si>
  <si>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</si>
  <si>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</si>
  <si>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</si>
  <si>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</si>
  <si>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</si>
  <si>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</si>
  <si>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</si>
  <si>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</si>
  <si>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</si>
  <si>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</si>
  <si>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</si>
  <si>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</si>
  <si>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</si>
  <si>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</si>
  <si>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</si>
  <si>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</si>
  <si>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</si>
  <si>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</si>
  <si>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</si>
  <si>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</si>
  <si>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</si>
  <si>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</si>
  <si>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</si>
  <si>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</si>
  <si>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</si>
  <si>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</si>
  <si>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</si>
  <si>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</si>
  <si>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</si>
  <si>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</si>
  <si>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</si>
  <si>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</si>
  <si>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</si>
  <si>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</si>
  <si>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</si>
  <si>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</si>
  <si>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</si>
  <si>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</si>
  <si>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</si>
  <si>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</si>
  <si>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</si>
  <si>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</si>
  <si>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</si>
  <si>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</si>
  <si>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</si>
  <si>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</si>
  <si>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</si>
  <si>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</si>
  <si>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</si>
  <si>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</si>
  <si>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</si>
  <si>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</si>
  <si>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</si>
  <si>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</si>
  <si>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</si>
  <si>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Bar Layout Generator:</t>
  </si>
  <si>
    <t>XH:XB</t>
  </si>
  <si>
    <t>H</t>
  </si>
  <si>
    <t>B (inclusive of H bars)</t>
  </si>
  <si>
    <t>Bar Size</t>
  </si>
  <si>
    <t>Tie Bar</t>
  </si>
  <si>
    <t>1/2 Bar Ø</t>
  </si>
  <si>
    <t>Bar Ø (in)</t>
  </si>
  <si>
    <t>Total Bar Count (&lt;= 12)</t>
  </si>
  <si>
    <t>Tie Bar Ø (in) = C</t>
  </si>
  <si>
    <t>Cover to tie (in) = D</t>
  </si>
  <si>
    <t>E = max of two above</t>
  </si>
  <si>
    <t>XJ = B - X0 = End X coord</t>
  </si>
  <si>
    <t>X0, Y0= C+D+E= Bar Start X,Y coord</t>
  </si>
  <si>
    <t>YJ = H - Y0 = End Y Coord</t>
  </si>
  <si>
    <t>X Spacing</t>
  </si>
  <si>
    <t>Y Spacing</t>
  </si>
  <si>
    <t>Layout Calcs:</t>
  </si>
  <si>
    <t>Table A-3 in ACI SP-17(14)</t>
  </si>
  <si>
    <t>Pattern: (2:2 Min - 12 Total Bars Max)</t>
  </si>
  <si>
    <t>I.P. Total Iterations:</t>
  </si>
  <si>
    <t>I.P. Found:</t>
  </si>
  <si>
    <t>Global Tolerance</t>
  </si>
  <si>
    <t>NA_depth</t>
  </si>
  <si>
    <t>2*tie Ø  -Tie Bend Radius</t>
  </si>
  <si>
    <t>3D Unit Vector of Result:</t>
  </si>
  <si>
    <t>3D Unit Vector of applied Load:</t>
  </si>
  <si>
    <t>3D Difference Vector</t>
  </si>
  <si>
    <t>Pn</t>
  </si>
  <si>
    <t>Mxn</t>
  </si>
  <si>
    <t>Myn</t>
  </si>
  <si>
    <t>i</t>
  </si>
  <si>
    <t>k</t>
  </si>
  <si>
    <t>j</t>
  </si>
  <si>
    <t>Mcalc:</t>
  </si>
  <si>
    <t>: Mgoal</t>
  </si>
  <si>
    <t xml:space="preserve">theta,calc = </t>
  </si>
  <si>
    <t xml:space="preserve">Theta,goal = </t>
  </si>
  <si>
    <t>3D Unit Vector of max/min Pn:</t>
  </si>
  <si>
    <t>||V||</t>
  </si>
  <si>
    <t>radians</t>
  </si>
  <si>
    <t>Pnom</t>
  </si>
  <si>
    <t>Mnom</t>
  </si>
  <si>
    <t>max Pn</t>
  </si>
  <si>
    <t>x-axis</t>
  </si>
  <si>
    <t>p1</t>
  </si>
  <si>
    <t>p2</t>
  </si>
  <si>
    <t>q1</t>
  </si>
  <si>
    <t>q2</t>
  </si>
  <si>
    <t>r1</t>
  </si>
  <si>
    <t>z</t>
  </si>
  <si>
    <t>α</t>
  </si>
  <si>
    <t>β</t>
  </si>
  <si>
    <t>ϒ</t>
  </si>
  <si>
    <t>degrees</t>
  </si>
  <si>
    <t>y-axis</t>
  </si>
  <si>
    <t>z-axis</t>
  </si>
  <si>
    <t>Surface Coordinates</t>
  </si>
  <si>
    <t>Surface Projection Rotations</t>
  </si>
  <si>
    <t>na for -0.002</t>
  </si>
  <si>
    <t>na for 0.000</t>
  </si>
  <si>
    <t>na for -0.005</t>
  </si>
  <si>
    <t>P-M</t>
  </si>
  <si>
    <t>na for all -0.002</t>
  </si>
  <si>
    <t>na for 0.002</t>
  </si>
  <si>
    <t>na for 0.002 top</t>
  </si>
  <si>
    <t>na for all fy=60</t>
  </si>
  <si>
    <t>NA Angle</t>
  </si>
  <si>
    <t>NA Depth</t>
  </si>
  <si>
    <t>% of depth:</t>
  </si>
  <si>
    <t>P-M NA Range:</t>
  </si>
  <si>
    <t>min</t>
  </si>
  <si>
    <t>max</t>
  </si>
  <si>
    <t>ex</t>
  </si>
  <si>
    <t>ey</t>
  </si>
  <si>
    <t>xp,t</t>
  </si>
  <si>
    <t>yp,t</t>
  </si>
  <si>
    <t>M-M @ P</t>
  </si>
  <si>
    <t>Broyden</t>
  </si>
  <si>
    <t>Mgoal/Mcalc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</si>
</sst>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0"/>
    <numFmt numFmtId="166" formatCode="0.00000"/>
    <numFmt numFmtId="167" formatCode="0.0000"/>
    <numFmt numFmtId="168" formatCode="0.000000000"/>
    <numFmt numFmtId="169" formatCode="0.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7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  <xf numFmtId="0" fontId="0" fillId="2" borderId="0" xfId="0" applyFill="1" applyAlignment="1">
      <alignment horizontal="center"/>
    </xf>
    <xf numFmtId="0" fontId="8" fillId="0" borderId="3" xfId="0" applyFont="1" applyBorder="1" applyAlignment="1">
      <alignment horizontal="left"/>
    </xf>
    <xf numFmtId="0" fontId="0" fillId="2" borderId="7" xfId="0" applyFill="1" applyBorder="1"/>
    <xf numFmtId="0" fontId="0" fillId="0" borderId="0" xfId="0" applyFill="1" applyBorder="1"/>
    <xf numFmtId="0" fontId="0" fillId="0" borderId="10" xfId="0" applyBorder="1"/>
    <xf numFmtId="0" fontId="0" fillId="2" borderId="7" xfId="0" applyFill="1" applyBorder="1" applyProtection="1">
      <protection locked="0"/>
    </xf>
    <xf numFmtId="0" fontId="0" fillId="0" borderId="11" xfId="0" applyBorder="1"/>
    <xf numFmtId="0" fontId="0" fillId="0" borderId="2" xfId="0" applyBorder="1" applyAlignment="1">
      <alignment horizontal="center"/>
    </xf>
    <xf numFmtId="11" fontId="0" fillId="0" borderId="9" xfId="0" applyNumberFormat="1" applyBorder="1"/>
    <xf numFmtId="167" fontId="0" fillId="0" borderId="7" xfId="0" applyNumberFormat="1" applyBorder="1"/>
    <xf numFmtId="164" fontId="0" fillId="5" borderId="2" xfId="0" applyNumberFormat="1" applyFill="1" applyBorder="1" applyAlignment="1">
      <alignment horizontal="center"/>
    </xf>
    <xf numFmtId="0" fontId="0" fillId="5" borderId="2" xfId="0" applyFill="1" applyBorder="1"/>
    <xf numFmtId="0" fontId="1" fillId="0" borderId="0" xfId="0" applyFont="1"/>
    <xf numFmtId="165" fontId="0" fillId="0" borderId="0" xfId="0" applyNumberFormat="1" applyBorder="1" applyAlignment="1">
      <alignment horizontal="center"/>
    </xf>
    <xf numFmtId="165" fontId="0" fillId="0" borderId="0" xfId="0" applyNumberFormat="1"/>
    <xf numFmtId="165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13" xfId="0" applyBorder="1"/>
    <xf numFmtId="0" fontId="0" fillId="0" borderId="12" xfId="0" applyBorder="1"/>
    <xf numFmtId="166" fontId="0" fillId="0" borderId="13" xfId="0" applyNumberFormat="1" applyBorder="1" applyAlignment="1">
      <alignment horizontal="left"/>
    </xf>
    <xf numFmtId="166" fontId="0" fillId="0" borderId="13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Border="1" applyAlignment="1">
      <alignment horizontal="center"/>
    </xf>
    <xf numFmtId="0" fontId="9" fillId="0" borderId="0" xfId="0" applyFont="1"/>
    <xf numFmtId="164" fontId="0" fillId="2" borderId="0" xfId="0" applyNumberFormat="1" applyFill="1" applyAlignment="1" applyProtection="1">
      <alignment horizontal="center"/>
      <protection locked="0"/>
    </xf>
    <xf numFmtId="168" fontId="3" fillId="0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169" fontId="0" fillId="0" borderId="0" xfId="0" applyNumberFormat="1"/>
    <xf numFmtId="169" fontId="0" fillId="0" borderId="2" xfId="0" applyNumberFormat="1" applyBorder="1" applyAlignment="1">
      <alignment horizontal="center"/>
    </xf>
    <xf numFmtId="16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16</c:v>
                </c:pt>
                <c:pt idx="2">
                  <c:v>16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3.125</c:v>
                </c:pt>
                <c:pt idx="1">
                  <c:v>8</c:v>
                </c:pt>
                <c:pt idx="2">
                  <c:v>12.875</c:v>
                </c:pt>
                <c:pt idx="3">
                  <c:v>3.125</c:v>
                </c:pt>
                <c:pt idx="4">
                  <c:v>12.875</c:v>
                </c:pt>
                <c:pt idx="5">
                  <c:v>3.125</c:v>
                </c:pt>
                <c:pt idx="6">
                  <c:v>12.875</c:v>
                </c:pt>
                <c:pt idx="7">
                  <c:v>3.125</c:v>
                </c:pt>
                <c:pt idx="8">
                  <c:v>8</c:v>
                </c:pt>
                <c:pt idx="9">
                  <c:v>12.875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3.125</c:v>
                </c:pt>
                <c:pt idx="1">
                  <c:v>3.125</c:v>
                </c:pt>
                <c:pt idx="2">
                  <c:v>3.125</c:v>
                </c:pt>
                <c:pt idx="3">
                  <c:v>9.0416666666666679</c:v>
                </c:pt>
                <c:pt idx="4">
                  <c:v>9.0416666666666679</c:v>
                </c:pt>
                <c:pt idx="5">
                  <c:v>14.958333333333334</c:v>
                </c:pt>
                <c:pt idx="6">
                  <c:v>14.958333333333334</c:v>
                </c:pt>
                <c:pt idx="7">
                  <c:v>20.875</c:v>
                </c:pt>
                <c:pt idx="8">
                  <c:v>20.875</c:v>
                </c:pt>
                <c:pt idx="9">
                  <c:v>20.875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11.999999999999998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ser>
          <c:idx val="5"/>
          <c:order val="5"/>
          <c:tx>
            <c:v>PLASTIC CENTER (TENSION)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15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'Cross Section Analysis'!$U$48</c:f>
              <c:numCache>
                <c:formatCode>0.000</c:formatCode>
                <c:ptCount val="1"/>
                <c:pt idx="0">
                  <c:v>8.0000000000000018</c:v>
                </c:pt>
              </c:numCache>
            </c:numRef>
          </c:xVal>
          <c:yVal>
            <c:numRef>
              <c:f>'Cross Section Analysis'!$V$48</c:f>
              <c:numCache>
                <c:formatCode>0.000</c:formatCode>
                <c:ptCount val="1"/>
                <c:pt idx="0">
                  <c:v>12.000000000000004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3D-4E64-B0F0-F62C5824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7.9999999999999982</c:v>
                </c:pt>
                <c:pt idx="1">
                  <c:v>-8.0000000000000018</c:v>
                </c:pt>
                <c:pt idx="2">
                  <c:v>-7.9999999999999982</c:v>
                </c:pt>
                <c:pt idx="3">
                  <c:v>8.0000000000000018</c:v>
                </c:pt>
                <c:pt idx="4">
                  <c:v>7.9999999999999982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12</c:v>
                </c:pt>
                <c:pt idx="1">
                  <c:v>11.999999999999996</c:v>
                </c:pt>
                <c:pt idx="2">
                  <c:v>-12.000000000000004</c:v>
                </c:pt>
                <c:pt idx="3">
                  <c:v>-12</c:v>
                </c:pt>
                <c:pt idx="4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4.8749999999999991</c:v>
                </c:pt>
                <c:pt idx="1">
                  <c:v>-1.0873192537314001E-15</c:v>
                </c:pt>
                <c:pt idx="2">
                  <c:v>-4.8750000000000009</c:v>
                </c:pt>
                <c:pt idx="3">
                  <c:v>4.875</c:v>
                </c:pt>
                <c:pt idx="4">
                  <c:v>-4.875</c:v>
                </c:pt>
                <c:pt idx="5">
                  <c:v>4.875</c:v>
                </c:pt>
                <c:pt idx="6">
                  <c:v>-4.875</c:v>
                </c:pt>
                <c:pt idx="7">
                  <c:v>4.8750000000000009</c:v>
                </c:pt>
                <c:pt idx="8">
                  <c:v>1.0873192537314005E-15</c:v>
                </c:pt>
                <c:pt idx="9">
                  <c:v>-4.8749999999999991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8.8749999999999982</c:v>
                </c:pt>
                <c:pt idx="1">
                  <c:v>8.8749999999999982</c:v>
                </c:pt>
                <c:pt idx="2">
                  <c:v>8.8749999999999982</c:v>
                </c:pt>
                <c:pt idx="3">
                  <c:v>2.9583333333333308</c:v>
                </c:pt>
                <c:pt idx="4">
                  <c:v>2.9583333333333299</c:v>
                </c:pt>
                <c:pt idx="5">
                  <c:v>-2.9583333333333353</c:v>
                </c:pt>
                <c:pt idx="6">
                  <c:v>-2.9583333333333361</c:v>
                </c:pt>
                <c:pt idx="7">
                  <c:v>-8.8750000000000018</c:v>
                </c:pt>
                <c:pt idx="8">
                  <c:v>-8.8750000000000018</c:v>
                </c:pt>
                <c:pt idx="9">
                  <c:v>-8.8750000000000018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-8.0000000000000018</c:v>
                </c:pt>
                <c:pt idx="1">
                  <c:v>8.0000000000000018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-17.647506804911242</c:v>
                </c:pt>
                <c:pt idx="1">
                  <c:v>-17.647506804911242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-8.0000000000000018</c:v>
                </c:pt>
                <c:pt idx="1">
                  <c:v>8.0000000000000018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-7.2708794231923051</c:v>
                </c:pt>
                <c:pt idx="1">
                  <c:v>-7.2708794231923051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#N/A</c:v>
                </c:pt>
                <c:pt idx="1">
                  <c:v>-8.0000000000000018</c:v>
                </c:pt>
                <c:pt idx="2">
                  <c:v>#N/A</c:v>
                </c:pt>
                <c:pt idx="3">
                  <c:v>8.0000000000000018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#N/A</c:v>
                </c:pt>
                <c:pt idx="1">
                  <c:v>-7.2708794231923051</c:v>
                </c:pt>
                <c:pt idx="2">
                  <c:v>#N/A</c:v>
                </c:pt>
                <c:pt idx="3">
                  <c:v>-7.2708794231923051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12</c:v>
                </c:pt>
                <c:pt idx="1">
                  <c:v>-12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12</c:v>
                </c:pt>
                <c:pt idx="1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ser>
          <c:idx val="6"/>
          <c:order val="6"/>
          <c:tx>
            <c:v>Cc*e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'Cross Section Analysis'!$M$92</c:f>
              <c:numCache>
                <c:formatCode>0.0000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Analysis'!$N$92</c:f>
              <c:numCache>
                <c:formatCode>0.0000</c:formatCode>
                <c:ptCount val="1"/>
                <c:pt idx="0">
                  <c:v>2.3645602884038457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25-4AD2-BEDC-7F58BEF1C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-304.10279228703126</c:v>
                </c:pt>
                <c:pt idx="1">
                  <c:v>-304.04316241020837</c:v>
                </c:pt>
                <c:pt idx="2">
                  <c:v>-303.75000503496034</c:v>
                </c:pt>
                <c:pt idx="3">
                  <c:v>-303.41955858134827</c:v>
                </c:pt>
                <c:pt idx="4">
                  <c:v>-303.05324619571508</c:v>
                </c:pt>
                <c:pt idx="5">
                  <c:v>-302.65054467975017</c:v>
                </c:pt>
                <c:pt idx="6">
                  <c:v>-302.21084176424904</c:v>
                </c:pt>
                <c:pt idx="7">
                  <c:v>-301.73343246078866</c:v>
                </c:pt>
                <c:pt idx="8">
                  <c:v>-301.2175159192501</c:v>
                </c:pt>
                <c:pt idx="9">
                  <c:v>-300.66219142140005</c:v>
                </c:pt>
                <c:pt idx="10">
                  <c:v>-300.06645396661571</c:v>
                </c:pt>
                <c:pt idx="11">
                  <c:v>-299.42918918081222</c:v>
                </c:pt>
                <c:pt idx="12">
                  <c:v>-298.74916758640734</c:v>
                </c:pt>
                <c:pt idx="13">
                  <c:v>-298.02503817251818</c:v>
                </c:pt>
                <c:pt idx="14">
                  <c:v>-297.25532119708282</c:v>
                </c:pt>
                <c:pt idx="15">
                  <c:v>-296.43840071446971</c:v>
                </c:pt>
                <c:pt idx="16">
                  <c:v>-295.57251384575534</c:v>
                </c:pt>
                <c:pt idx="17">
                  <c:v>-294.65574366264872</c:v>
                </c:pt>
                <c:pt idx="18">
                  <c:v>-294.17117008350675</c:v>
                </c:pt>
                <c:pt idx="19">
                  <c:v>-293.14548837008181</c:v>
                </c:pt>
                <c:pt idx="20">
                  <c:v>-292.06214638338292</c:v>
                </c:pt>
                <c:pt idx="21">
                  <c:v>-290.91844851879364</c:v>
                </c:pt>
                <c:pt idx="22">
                  <c:v>-289.71150713733113</c:v>
                </c:pt>
                <c:pt idx="23">
                  <c:v>-288.43819174634314</c:v>
                </c:pt>
                <c:pt idx="24">
                  <c:v>-287.09510832536841</c:v>
                </c:pt>
                <c:pt idx="25">
                  <c:v>-285.67857632623418</c:v>
                </c:pt>
                <c:pt idx="26">
                  <c:v>-284.18460306522365</c:v>
                </c:pt>
                <c:pt idx="27">
                  <c:v>-282.6088551815352</c:v>
                </c:pt>
                <c:pt idx="28">
                  <c:v>-280.94662678160387</c:v>
                </c:pt>
                <c:pt idx="29">
                  <c:v>-279.19280383077484</c:v>
                </c:pt>
                <c:pt idx="30">
                  <c:v>-277.34307899917587</c:v>
                </c:pt>
                <c:pt idx="31">
                  <c:v>-275.46059532995514</c:v>
                </c:pt>
                <c:pt idx="32">
                  <c:v>-273.58138183572254</c:v>
                </c:pt>
                <c:pt idx="33">
                  <c:v>-271.70284879347849</c:v>
                </c:pt>
                <c:pt idx="34">
                  <c:v>-269.82244665973843</c:v>
                </c:pt>
                <c:pt idx="35">
                  <c:v>-267.68553734677971</c:v>
                </c:pt>
                <c:pt idx="36">
                  <c:v>-265.46152537112414</c:v>
                </c:pt>
                <c:pt idx="37">
                  <c:v>-263.23208831620252</c:v>
                </c:pt>
                <c:pt idx="38">
                  <c:v>-260.99458107179697</c:v>
                </c:pt>
                <c:pt idx="39">
                  <c:v>-258.74633009155167</c:v>
                </c:pt>
                <c:pt idx="40">
                  <c:v>-256.48461676512972</c:v>
                </c:pt>
                <c:pt idx="41">
                  <c:v>-254.20666095757062</c:v>
                </c:pt>
                <c:pt idx="42">
                  <c:v>-251.90960377369649</c:v>
                </c:pt>
                <c:pt idx="43">
                  <c:v>-249.590490517506</c:v>
                </c:pt>
                <c:pt idx="44">
                  <c:v>-247.24624918330522</c:v>
                </c:pt>
                <c:pt idx="45">
                  <c:v>-244.87367246139635</c:v>
                </c:pt>
                <c:pt idx="46">
                  <c:v>-242.46939401266678</c:v>
                </c:pt>
                <c:pt idx="47">
                  <c:v>-240.78766099846061</c:v>
                </c:pt>
                <c:pt idx="48">
                  <c:v>-238.27942746379264</c:v>
                </c:pt>
                <c:pt idx="49">
                  <c:v>-235.7275577070842</c:v>
                </c:pt>
                <c:pt idx="50">
                  <c:v>-233.12771750542737</c:v>
                </c:pt>
                <c:pt idx="51">
                  <c:v>-230.47525707769776</c:v>
                </c:pt>
                <c:pt idx="52">
                  <c:v>-227.76516595602939</c:v>
                </c:pt>
                <c:pt idx="53">
                  <c:v>-224.99202346835261</c:v>
                </c:pt>
                <c:pt idx="54">
                  <c:v>-222.14994147921664</c:v>
                </c:pt>
                <c:pt idx="55">
                  <c:v>-220.45508181140951</c:v>
                </c:pt>
                <c:pt idx="56">
                  <c:v>-217.4919079491041</c:v>
                </c:pt>
                <c:pt idx="57">
                  <c:v>-214.43988299918428</c:v>
                </c:pt>
                <c:pt idx="58">
                  <c:v>-211.29059495848568</c:v>
                </c:pt>
                <c:pt idx="59">
                  <c:v>-208.03472031468635</c:v>
                </c:pt>
                <c:pt idx="60">
                  <c:v>-204.6618813439417</c:v>
                </c:pt>
                <c:pt idx="61">
                  <c:v>-201.11957363993855</c:v>
                </c:pt>
                <c:pt idx="62">
                  <c:v>-197.32269677525611</c:v>
                </c:pt>
                <c:pt idx="63">
                  <c:v>-193.37356461643236</c:v>
                </c:pt>
                <c:pt idx="64">
                  <c:v>-189.25591199914408</c:v>
                </c:pt>
                <c:pt idx="65">
                  <c:v>-184.95120573287616</c:v>
                </c:pt>
                <c:pt idx="66">
                  <c:v>-180.4382090587566</c:v>
                </c:pt>
                <c:pt idx="67">
                  <c:v>-175.69244111666248</c:v>
                </c:pt>
                <c:pt idx="68">
                  <c:v>-170.68550053360264</c:v>
                </c:pt>
                <c:pt idx="69">
                  <c:v>-165.3842109935899</c:v>
                </c:pt>
                <c:pt idx="70">
                  <c:v>-159.7495311232355</c:v>
                </c:pt>
                <c:pt idx="71">
                  <c:v>-153.73514733249397</c:v>
                </c:pt>
                <c:pt idx="72">
                  <c:v>-147.30264339372485</c:v>
                </c:pt>
                <c:pt idx="73">
                  <c:v>-140.39861150881893</c:v>
                </c:pt>
                <c:pt idx="74">
                  <c:v>-132.92930350647063</c:v>
                </c:pt>
                <c:pt idx="75">
                  <c:v>-124.79731761801025</c:v>
                </c:pt>
                <c:pt idx="76">
                  <c:v>-115.95357507602914</c:v>
                </c:pt>
                <c:pt idx="77">
                  <c:v>-106.99246321347619</c:v>
                </c:pt>
                <c:pt idx="78">
                  <c:v>-98.07063744943359</c:v>
                </c:pt>
                <c:pt idx="79">
                  <c:v>-89.30597191637699</c:v>
                </c:pt>
                <c:pt idx="80">
                  <c:v>-80.827641848647986</c:v>
                </c:pt>
                <c:pt idx="81">
                  <c:v>-72.37738790304239</c:v>
                </c:pt>
                <c:pt idx="82">
                  <c:v>-63.948975996415733</c:v>
                </c:pt>
                <c:pt idx="83">
                  <c:v>-55.536193390849832</c:v>
                </c:pt>
                <c:pt idx="84">
                  <c:v>-47.132827139830347</c:v>
                </c:pt>
                <c:pt idx="85">
                  <c:v>-38.732642052473651</c:v>
                </c:pt>
                <c:pt idx="86">
                  <c:v>-30.329357989068079</c:v>
                </c:pt>
                <c:pt idx="87">
                  <c:v>-21.916626216964104</c:v>
                </c:pt>
                <c:pt idx="88">
                  <c:v>-13.488004616277975</c:v>
                </c:pt>
                <c:pt idx="89">
                  <c:v>-5.0369314260372526</c:v>
                </c:pt>
                <c:pt idx="90">
                  <c:v>1.0834329777212272E-13</c:v>
                </c:pt>
                <c:pt idx="91">
                  <c:v>5.0369314260371834</c:v>
                </c:pt>
                <c:pt idx="92">
                  <c:v>13.488004616277999</c:v>
                </c:pt>
                <c:pt idx="93">
                  <c:v>21.916626216964048</c:v>
                </c:pt>
                <c:pt idx="94">
                  <c:v>30.329357989068249</c:v>
                </c:pt>
                <c:pt idx="95">
                  <c:v>38.732642052473686</c:v>
                </c:pt>
                <c:pt idx="96">
                  <c:v>47.132827139830397</c:v>
                </c:pt>
                <c:pt idx="97">
                  <c:v>55.536193390849924</c:v>
                </c:pt>
                <c:pt idx="98">
                  <c:v>63.948975996415548</c:v>
                </c:pt>
                <c:pt idx="99">
                  <c:v>72.377387903042546</c:v>
                </c:pt>
                <c:pt idx="100">
                  <c:v>80.827641848648085</c:v>
                </c:pt>
                <c:pt idx="101">
                  <c:v>89.305971916376762</c:v>
                </c:pt>
                <c:pt idx="102">
                  <c:v>98.070637449433761</c:v>
                </c:pt>
                <c:pt idx="103">
                  <c:v>106.99246321347626</c:v>
                </c:pt>
                <c:pt idx="104">
                  <c:v>115.95357507602954</c:v>
                </c:pt>
                <c:pt idx="105">
                  <c:v>124.79731761801044</c:v>
                </c:pt>
                <c:pt idx="106">
                  <c:v>132.92930350647086</c:v>
                </c:pt>
                <c:pt idx="107">
                  <c:v>140.39861150881902</c:v>
                </c:pt>
                <c:pt idx="108">
                  <c:v>147.30264339372482</c:v>
                </c:pt>
                <c:pt idx="109">
                  <c:v>153.73514733249382</c:v>
                </c:pt>
                <c:pt idx="110">
                  <c:v>159.74953112323556</c:v>
                </c:pt>
                <c:pt idx="111">
                  <c:v>165.38421099359002</c:v>
                </c:pt>
                <c:pt idx="112">
                  <c:v>170.68550053360272</c:v>
                </c:pt>
                <c:pt idx="113">
                  <c:v>175.69244111666254</c:v>
                </c:pt>
                <c:pt idx="114">
                  <c:v>180.43820905875666</c:v>
                </c:pt>
                <c:pt idx="115">
                  <c:v>184.95120573287608</c:v>
                </c:pt>
                <c:pt idx="116">
                  <c:v>189.25591199914433</c:v>
                </c:pt>
                <c:pt idx="117">
                  <c:v>193.37356461643228</c:v>
                </c:pt>
                <c:pt idx="118">
                  <c:v>197.32269677525628</c:v>
                </c:pt>
                <c:pt idx="119">
                  <c:v>201.11957363993838</c:v>
                </c:pt>
                <c:pt idx="120">
                  <c:v>204.66188134394162</c:v>
                </c:pt>
                <c:pt idx="121">
                  <c:v>208.0347203146865</c:v>
                </c:pt>
                <c:pt idx="122">
                  <c:v>211.29059495848566</c:v>
                </c:pt>
                <c:pt idx="123">
                  <c:v>214.43988299918422</c:v>
                </c:pt>
                <c:pt idx="124">
                  <c:v>217.49190794910442</c:v>
                </c:pt>
                <c:pt idx="125">
                  <c:v>220.4550818114098</c:v>
                </c:pt>
                <c:pt idx="126">
                  <c:v>222.14994147921664</c:v>
                </c:pt>
                <c:pt idx="127">
                  <c:v>224.99202346835278</c:v>
                </c:pt>
                <c:pt idx="128">
                  <c:v>227.76516595602888</c:v>
                </c:pt>
                <c:pt idx="129">
                  <c:v>230.47525707769782</c:v>
                </c:pt>
                <c:pt idx="130">
                  <c:v>233.12771750542746</c:v>
                </c:pt>
                <c:pt idx="131">
                  <c:v>235.72755770708432</c:v>
                </c:pt>
                <c:pt idx="132">
                  <c:v>238.2794274637931</c:v>
                </c:pt>
                <c:pt idx="133">
                  <c:v>240.78766099846064</c:v>
                </c:pt>
                <c:pt idx="134">
                  <c:v>242.46939401266667</c:v>
                </c:pt>
                <c:pt idx="135">
                  <c:v>244.87367246139655</c:v>
                </c:pt>
                <c:pt idx="136">
                  <c:v>247.24624918330534</c:v>
                </c:pt>
                <c:pt idx="137">
                  <c:v>249.59049051750574</c:v>
                </c:pt>
                <c:pt idx="138">
                  <c:v>251.90960377369697</c:v>
                </c:pt>
                <c:pt idx="139">
                  <c:v>254.20666095757065</c:v>
                </c:pt>
                <c:pt idx="140">
                  <c:v>256.48461676513006</c:v>
                </c:pt>
                <c:pt idx="141">
                  <c:v>258.74633009155167</c:v>
                </c:pt>
                <c:pt idx="142">
                  <c:v>260.9945810717964</c:v>
                </c:pt>
                <c:pt idx="143">
                  <c:v>263.23208831620235</c:v>
                </c:pt>
                <c:pt idx="144">
                  <c:v>265.46152537112442</c:v>
                </c:pt>
                <c:pt idx="145">
                  <c:v>267.6855373467796</c:v>
                </c:pt>
                <c:pt idx="146">
                  <c:v>269.82244665973855</c:v>
                </c:pt>
                <c:pt idx="147">
                  <c:v>271.70284879347849</c:v>
                </c:pt>
                <c:pt idx="148">
                  <c:v>273.58138183572277</c:v>
                </c:pt>
                <c:pt idx="149">
                  <c:v>275.46059532995474</c:v>
                </c:pt>
                <c:pt idx="150">
                  <c:v>277.34307899917587</c:v>
                </c:pt>
                <c:pt idx="151">
                  <c:v>279.19280383077449</c:v>
                </c:pt>
                <c:pt idx="152">
                  <c:v>280.94662678160353</c:v>
                </c:pt>
                <c:pt idx="153">
                  <c:v>282.60885518153532</c:v>
                </c:pt>
                <c:pt idx="154">
                  <c:v>284.18460306522383</c:v>
                </c:pt>
                <c:pt idx="155">
                  <c:v>285.67857632623407</c:v>
                </c:pt>
                <c:pt idx="156">
                  <c:v>287.09510832536859</c:v>
                </c:pt>
                <c:pt idx="157">
                  <c:v>288.43819174634268</c:v>
                </c:pt>
                <c:pt idx="158">
                  <c:v>289.71150713733169</c:v>
                </c:pt>
                <c:pt idx="159">
                  <c:v>290.91844851879353</c:v>
                </c:pt>
                <c:pt idx="160">
                  <c:v>292.06214638338309</c:v>
                </c:pt>
                <c:pt idx="161">
                  <c:v>293.14548837008175</c:v>
                </c:pt>
                <c:pt idx="162">
                  <c:v>294.17117008350664</c:v>
                </c:pt>
                <c:pt idx="163">
                  <c:v>294.65574366264872</c:v>
                </c:pt>
                <c:pt idx="164">
                  <c:v>295.57251384575466</c:v>
                </c:pt>
                <c:pt idx="165">
                  <c:v>296.43840071446965</c:v>
                </c:pt>
                <c:pt idx="166">
                  <c:v>297.25532119708271</c:v>
                </c:pt>
                <c:pt idx="167">
                  <c:v>298.02503817251863</c:v>
                </c:pt>
                <c:pt idx="168">
                  <c:v>298.74916758640722</c:v>
                </c:pt>
                <c:pt idx="169">
                  <c:v>299.42918918081165</c:v>
                </c:pt>
                <c:pt idx="170">
                  <c:v>300.06645396661611</c:v>
                </c:pt>
                <c:pt idx="171">
                  <c:v>300.66219142140034</c:v>
                </c:pt>
                <c:pt idx="172">
                  <c:v>301.2175159192501</c:v>
                </c:pt>
                <c:pt idx="173">
                  <c:v>301.7334324607894</c:v>
                </c:pt>
                <c:pt idx="174">
                  <c:v>302.21084176424876</c:v>
                </c:pt>
                <c:pt idx="175">
                  <c:v>302.65054467975006</c:v>
                </c:pt>
                <c:pt idx="176">
                  <c:v>303.05324619571468</c:v>
                </c:pt>
                <c:pt idx="177">
                  <c:v>303.41955858134821</c:v>
                </c:pt>
                <c:pt idx="178">
                  <c:v>303.75000503496028</c:v>
                </c:pt>
                <c:pt idx="179">
                  <c:v>304.04316241020854</c:v>
                </c:pt>
                <c:pt idx="180">
                  <c:v>304.10279228703155</c:v>
                </c:pt>
                <c:pt idx="181">
                  <c:v>304.04316241020831</c:v>
                </c:pt>
                <c:pt idx="182">
                  <c:v>303.75000503496028</c:v>
                </c:pt>
                <c:pt idx="183">
                  <c:v>303.41955858134821</c:v>
                </c:pt>
                <c:pt idx="184">
                  <c:v>303.05324619571473</c:v>
                </c:pt>
                <c:pt idx="185">
                  <c:v>302.65054467975017</c:v>
                </c:pt>
                <c:pt idx="186">
                  <c:v>302.21084176424876</c:v>
                </c:pt>
                <c:pt idx="187">
                  <c:v>301.73343246078906</c:v>
                </c:pt>
                <c:pt idx="188">
                  <c:v>301.21751591925005</c:v>
                </c:pt>
                <c:pt idx="189">
                  <c:v>300.66219142140034</c:v>
                </c:pt>
                <c:pt idx="190">
                  <c:v>300.066453966616</c:v>
                </c:pt>
                <c:pt idx="191">
                  <c:v>299.42918918081187</c:v>
                </c:pt>
                <c:pt idx="192">
                  <c:v>298.749167586407</c:v>
                </c:pt>
                <c:pt idx="193">
                  <c:v>298.02503817251818</c:v>
                </c:pt>
                <c:pt idx="194">
                  <c:v>297.25532119708271</c:v>
                </c:pt>
                <c:pt idx="195">
                  <c:v>296.43840071446965</c:v>
                </c:pt>
                <c:pt idx="196">
                  <c:v>295.57251384575466</c:v>
                </c:pt>
                <c:pt idx="197">
                  <c:v>294.65574366264843</c:v>
                </c:pt>
                <c:pt idx="198">
                  <c:v>294.17117008350675</c:v>
                </c:pt>
                <c:pt idx="199">
                  <c:v>293.14548837008158</c:v>
                </c:pt>
                <c:pt idx="200">
                  <c:v>292.06214638338253</c:v>
                </c:pt>
                <c:pt idx="201">
                  <c:v>290.91844851879387</c:v>
                </c:pt>
                <c:pt idx="202">
                  <c:v>289.71150713733141</c:v>
                </c:pt>
                <c:pt idx="203">
                  <c:v>288.43819174634274</c:v>
                </c:pt>
                <c:pt idx="204">
                  <c:v>287.09510832536904</c:v>
                </c:pt>
                <c:pt idx="205">
                  <c:v>285.67857632623407</c:v>
                </c:pt>
                <c:pt idx="206">
                  <c:v>284.18460306522388</c:v>
                </c:pt>
                <c:pt idx="207">
                  <c:v>282.60885518153555</c:v>
                </c:pt>
                <c:pt idx="208">
                  <c:v>280.94662678160381</c:v>
                </c:pt>
                <c:pt idx="209">
                  <c:v>279.19280383077449</c:v>
                </c:pt>
                <c:pt idx="210">
                  <c:v>277.34307899917587</c:v>
                </c:pt>
                <c:pt idx="211">
                  <c:v>275.46059532995474</c:v>
                </c:pt>
                <c:pt idx="212">
                  <c:v>273.5813818357226</c:v>
                </c:pt>
                <c:pt idx="213">
                  <c:v>271.70284879347832</c:v>
                </c:pt>
                <c:pt idx="214">
                  <c:v>269.82244665973838</c:v>
                </c:pt>
                <c:pt idx="215">
                  <c:v>267.68553734677982</c:v>
                </c:pt>
                <c:pt idx="216">
                  <c:v>265.46152537112442</c:v>
                </c:pt>
                <c:pt idx="217">
                  <c:v>263.23208831620229</c:v>
                </c:pt>
                <c:pt idx="218">
                  <c:v>260.9945810717968</c:v>
                </c:pt>
                <c:pt idx="219">
                  <c:v>258.74633009155156</c:v>
                </c:pt>
                <c:pt idx="220">
                  <c:v>256.48461676513006</c:v>
                </c:pt>
                <c:pt idx="221">
                  <c:v>254.20666095757053</c:v>
                </c:pt>
                <c:pt idx="222">
                  <c:v>251.90960377369697</c:v>
                </c:pt>
                <c:pt idx="223">
                  <c:v>249.5904905175058</c:v>
                </c:pt>
                <c:pt idx="224">
                  <c:v>247.24624918330494</c:v>
                </c:pt>
                <c:pt idx="225">
                  <c:v>244.87367246139661</c:v>
                </c:pt>
                <c:pt idx="226">
                  <c:v>242.46939401266664</c:v>
                </c:pt>
                <c:pt idx="227">
                  <c:v>240.78766099846061</c:v>
                </c:pt>
                <c:pt idx="228">
                  <c:v>238.27942746379293</c:v>
                </c:pt>
                <c:pt idx="229">
                  <c:v>235.72755770708434</c:v>
                </c:pt>
                <c:pt idx="230">
                  <c:v>233.12771750542746</c:v>
                </c:pt>
                <c:pt idx="231">
                  <c:v>230.47525707769776</c:v>
                </c:pt>
                <c:pt idx="232">
                  <c:v>227.76516595602851</c:v>
                </c:pt>
                <c:pt idx="233">
                  <c:v>224.99202346835267</c:v>
                </c:pt>
                <c:pt idx="234">
                  <c:v>222.14994147921678</c:v>
                </c:pt>
                <c:pt idx="235">
                  <c:v>220.45508181140963</c:v>
                </c:pt>
                <c:pt idx="236">
                  <c:v>217.49190794910442</c:v>
                </c:pt>
                <c:pt idx="237">
                  <c:v>214.43988299918436</c:v>
                </c:pt>
                <c:pt idx="238">
                  <c:v>211.29059495848566</c:v>
                </c:pt>
                <c:pt idx="239">
                  <c:v>208.03472031468647</c:v>
                </c:pt>
                <c:pt idx="240">
                  <c:v>204.66188134394207</c:v>
                </c:pt>
                <c:pt idx="241">
                  <c:v>201.11957363993838</c:v>
                </c:pt>
                <c:pt idx="242">
                  <c:v>197.32269677525608</c:v>
                </c:pt>
                <c:pt idx="243">
                  <c:v>193.37356461643222</c:v>
                </c:pt>
                <c:pt idx="244">
                  <c:v>189.25591199914444</c:v>
                </c:pt>
                <c:pt idx="245">
                  <c:v>184.95120573287625</c:v>
                </c:pt>
                <c:pt idx="246">
                  <c:v>180.43820905875651</c:v>
                </c:pt>
                <c:pt idx="247">
                  <c:v>175.69244111666262</c:v>
                </c:pt>
                <c:pt idx="248">
                  <c:v>170.68550053360275</c:v>
                </c:pt>
                <c:pt idx="249">
                  <c:v>165.38421099358996</c:v>
                </c:pt>
                <c:pt idx="250">
                  <c:v>159.74953112323539</c:v>
                </c:pt>
                <c:pt idx="251">
                  <c:v>153.73514733249385</c:v>
                </c:pt>
                <c:pt idx="252">
                  <c:v>147.30264339372491</c:v>
                </c:pt>
                <c:pt idx="253">
                  <c:v>140.39861150881907</c:v>
                </c:pt>
                <c:pt idx="254">
                  <c:v>132.92930350647077</c:v>
                </c:pt>
                <c:pt idx="255">
                  <c:v>124.79731761801014</c:v>
                </c:pt>
                <c:pt idx="256">
                  <c:v>115.95357507602942</c:v>
                </c:pt>
                <c:pt idx="257">
                  <c:v>106.9924632134762</c:v>
                </c:pt>
                <c:pt idx="258">
                  <c:v>98.070637449433988</c:v>
                </c:pt>
                <c:pt idx="259">
                  <c:v>89.305971916376578</c:v>
                </c:pt>
                <c:pt idx="260">
                  <c:v>80.827641848648042</c:v>
                </c:pt>
                <c:pt idx="261">
                  <c:v>72.377387903042489</c:v>
                </c:pt>
                <c:pt idx="262">
                  <c:v>63.948975996415768</c:v>
                </c:pt>
                <c:pt idx="263">
                  <c:v>55.536193390849817</c:v>
                </c:pt>
                <c:pt idx="264">
                  <c:v>47.132827139830276</c:v>
                </c:pt>
                <c:pt idx="265">
                  <c:v>38.732642052473537</c:v>
                </c:pt>
                <c:pt idx="266">
                  <c:v>30.329357989068125</c:v>
                </c:pt>
                <c:pt idx="267">
                  <c:v>21.916626216964158</c:v>
                </c:pt>
                <c:pt idx="268">
                  <c:v>13.488004616277861</c:v>
                </c:pt>
                <c:pt idx="269">
                  <c:v>5.0369314260371771</c:v>
                </c:pt>
                <c:pt idx="270">
                  <c:v>9.8952291281160069E-14</c:v>
                </c:pt>
                <c:pt idx="271">
                  <c:v>-5.0369314260371372</c:v>
                </c:pt>
                <c:pt idx="272">
                  <c:v>-13.488004616278118</c:v>
                </c:pt>
                <c:pt idx="273">
                  <c:v>-21.916626216964232</c:v>
                </c:pt>
                <c:pt idx="274">
                  <c:v>-30.329357989068324</c:v>
                </c:pt>
                <c:pt idx="275">
                  <c:v>-38.732642052473651</c:v>
                </c:pt>
                <c:pt idx="276">
                  <c:v>-47.132827139830233</c:v>
                </c:pt>
                <c:pt idx="277">
                  <c:v>-55.536193390850066</c:v>
                </c:pt>
                <c:pt idx="278">
                  <c:v>-63.948975996415797</c:v>
                </c:pt>
                <c:pt idx="279">
                  <c:v>-72.377387903042404</c:v>
                </c:pt>
                <c:pt idx="280">
                  <c:v>-80.827641848647815</c:v>
                </c:pt>
                <c:pt idx="281">
                  <c:v>-89.30597191637699</c:v>
                </c:pt>
                <c:pt idx="282">
                  <c:v>-98.07063744943369</c:v>
                </c:pt>
                <c:pt idx="283">
                  <c:v>-106.99246321347631</c:v>
                </c:pt>
                <c:pt idx="284">
                  <c:v>-115.9535750760293</c:v>
                </c:pt>
                <c:pt idx="285">
                  <c:v>-124.79731761801025</c:v>
                </c:pt>
                <c:pt idx="286">
                  <c:v>-132.9293035064708</c:v>
                </c:pt>
                <c:pt idx="287">
                  <c:v>-140.39861150881885</c:v>
                </c:pt>
                <c:pt idx="288">
                  <c:v>-147.30264339372482</c:v>
                </c:pt>
                <c:pt idx="289">
                  <c:v>-153.7351473324938</c:v>
                </c:pt>
                <c:pt idx="290">
                  <c:v>-159.74953112323564</c:v>
                </c:pt>
                <c:pt idx="291">
                  <c:v>-165.3842109935899</c:v>
                </c:pt>
                <c:pt idx="292">
                  <c:v>-170.68550053360283</c:v>
                </c:pt>
                <c:pt idx="293">
                  <c:v>-175.69244111666254</c:v>
                </c:pt>
                <c:pt idx="294">
                  <c:v>-180.43820905875648</c:v>
                </c:pt>
                <c:pt idx="295">
                  <c:v>-184.95120573287628</c:v>
                </c:pt>
                <c:pt idx="296">
                  <c:v>-189.2559119991441</c:v>
                </c:pt>
                <c:pt idx="297">
                  <c:v>-193.3735646164323</c:v>
                </c:pt>
                <c:pt idx="298">
                  <c:v>-197.32269677525616</c:v>
                </c:pt>
                <c:pt idx="299">
                  <c:v>-201.11957363993855</c:v>
                </c:pt>
                <c:pt idx="300">
                  <c:v>-204.66188134394167</c:v>
                </c:pt>
                <c:pt idx="301">
                  <c:v>-208.0347203146865</c:v>
                </c:pt>
                <c:pt idx="302">
                  <c:v>-211.29059495848563</c:v>
                </c:pt>
                <c:pt idx="303">
                  <c:v>-214.43988299918428</c:v>
                </c:pt>
                <c:pt idx="304">
                  <c:v>-217.49190794910427</c:v>
                </c:pt>
                <c:pt idx="305">
                  <c:v>-220.45508181140949</c:v>
                </c:pt>
                <c:pt idx="306">
                  <c:v>-222.14994147921672</c:v>
                </c:pt>
                <c:pt idx="307">
                  <c:v>-224.99202346835267</c:v>
                </c:pt>
                <c:pt idx="308">
                  <c:v>-227.76516595602888</c:v>
                </c:pt>
                <c:pt idx="309">
                  <c:v>-230.47525707769785</c:v>
                </c:pt>
                <c:pt idx="310">
                  <c:v>-233.1277175054274</c:v>
                </c:pt>
                <c:pt idx="311">
                  <c:v>-235.7275577070842</c:v>
                </c:pt>
                <c:pt idx="312">
                  <c:v>-238.27942746379253</c:v>
                </c:pt>
                <c:pt idx="313">
                  <c:v>-240.78766099846075</c:v>
                </c:pt>
                <c:pt idx="314">
                  <c:v>-242.46939401266678</c:v>
                </c:pt>
                <c:pt idx="315">
                  <c:v>-244.87367246139638</c:v>
                </c:pt>
                <c:pt idx="316">
                  <c:v>-247.24624918330548</c:v>
                </c:pt>
                <c:pt idx="317">
                  <c:v>-249.59049051750617</c:v>
                </c:pt>
                <c:pt idx="318">
                  <c:v>-251.90960377369677</c:v>
                </c:pt>
                <c:pt idx="319">
                  <c:v>-254.20666095757065</c:v>
                </c:pt>
                <c:pt idx="320">
                  <c:v>-256.48461676512972</c:v>
                </c:pt>
                <c:pt idx="321">
                  <c:v>-258.74633009155195</c:v>
                </c:pt>
                <c:pt idx="322">
                  <c:v>-260.99458107179669</c:v>
                </c:pt>
                <c:pt idx="323">
                  <c:v>-263.23208831620258</c:v>
                </c:pt>
                <c:pt idx="324">
                  <c:v>-265.46152537112431</c:v>
                </c:pt>
                <c:pt idx="325">
                  <c:v>-267.68553734677965</c:v>
                </c:pt>
                <c:pt idx="326">
                  <c:v>-269.82244665973838</c:v>
                </c:pt>
                <c:pt idx="327">
                  <c:v>-271.70284879347889</c:v>
                </c:pt>
                <c:pt idx="328">
                  <c:v>-273.58138183572254</c:v>
                </c:pt>
                <c:pt idx="329">
                  <c:v>-275.46059532995497</c:v>
                </c:pt>
                <c:pt idx="330">
                  <c:v>-277.34307899917604</c:v>
                </c:pt>
                <c:pt idx="331">
                  <c:v>-279.19280383077466</c:v>
                </c:pt>
                <c:pt idx="332">
                  <c:v>-280.94662678160387</c:v>
                </c:pt>
                <c:pt idx="333">
                  <c:v>-282.60885518153515</c:v>
                </c:pt>
                <c:pt idx="334">
                  <c:v>-284.18460306522365</c:v>
                </c:pt>
                <c:pt idx="335">
                  <c:v>-285.67857632623446</c:v>
                </c:pt>
                <c:pt idx="336">
                  <c:v>-287.0951083253687</c:v>
                </c:pt>
                <c:pt idx="337">
                  <c:v>-288.43819174634262</c:v>
                </c:pt>
                <c:pt idx="338">
                  <c:v>-289.71150713733101</c:v>
                </c:pt>
                <c:pt idx="339">
                  <c:v>-290.91844851879375</c:v>
                </c:pt>
                <c:pt idx="340">
                  <c:v>-292.06214638338292</c:v>
                </c:pt>
                <c:pt idx="341">
                  <c:v>-293.14548837008192</c:v>
                </c:pt>
                <c:pt idx="342">
                  <c:v>-294.17117008350675</c:v>
                </c:pt>
                <c:pt idx="343">
                  <c:v>-294.65574366264849</c:v>
                </c:pt>
                <c:pt idx="344">
                  <c:v>-295.5725138457546</c:v>
                </c:pt>
                <c:pt idx="345">
                  <c:v>-296.43840071446982</c:v>
                </c:pt>
                <c:pt idx="346">
                  <c:v>-297.25532119708282</c:v>
                </c:pt>
                <c:pt idx="347">
                  <c:v>-298.02503817251801</c:v>
                </c:pt>
                <c:pt idx="348">
                  <c:v>-298.74916758640711</c:v>
                </c:pt>
                <c:pt idx="349">
                  <c:v>-299.42918918081193</c:v>
                </c:pt>
                <c:pt idx="350">
                  <c:v>-300.06645396661588</c:v>
                </c:pt>
                <c:pt idx="351">
                  <c:v>-300.66219142140005</c:v>
                </c:pt>
                <c:pt idx="352">
                  <c:v>-301.21751591924988</c:v>
                </c:pt>
                <c:pt idx="353">
                  <c:v>-301.73343246078895</c:v>
                </c:pt>
                <c:pt idx="354">
                  <c:v>-302.21084176424904</c:v>
                </c:pt>
                <c:pt idx="355">
                  <c:v>-302.65054467975023</c:v>
                </c:pt>
                <c:pt idx="356">
                  <c:v>-303.05324619571485</c:v>
                </c:pt>
                <c:pt idx="357">
                  <c:v>-303.41955858134855</c:v>
                </c:pt>
                <c:pt idx="358">
                  <c:v>-303.75000503496034</c:v>
                </c:pt>
                <c:pt idx="359">
                  <c:v>-304.04316241020854</c:v>
                </c:pt>
                <c:pt idx="360">
                  <c:v>-304.10279228703155</c:v>
                </c:pt>
                <c:pt idx="361">
                  <c:v>-304.10279228703126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-3.2638578827944657E-14</c:v>
                </c:pt>
                <c:pt idx="1">
                  <c:v>-2.401386889028096</c:v>
                </c:pt>
                <c:pt idx="2">
                  <c:v>-4.8947294768442235</c:v>
                </c:pt>
                <c:pt idx="3">
                  <c:v>-7.3876704227121763</c:v>
                </c:pt>
                <c:pt idx="4">
                  <c:v>-9.88092584987956</c:v>
                </c:pt>
                <c:pt idx="5">
                  <c:v>-12.376098670342206</c:v>
                </c:pt>
                <c:pt idx="6">
                  <c:v>-14.874794935808801</c:v>
                </c:pt>
                <c:pt idx="7">
                  <c:v>-17.378628110519294</c:v>
                </c:pt>
                <c:pt idx="8">
                  <c:v>-19.889223379767387</c:v>
                </c:pt>
                <c:pt idx="9">
                  <c:v>-22.408222009888004</c:v>
                </c:pt>
                <c:pt idx="10">
                  <c:v>-24.937285789162299</c:v>
                </c:pt>
                <c:pt idx="11">
                  <c:v>-27.478101574263572</c:v>
                </c:pt>
                <c:pt idx="12">
                  <c:v>-30.032385970237943</c:v>
                </c:pt>
                <c:pt idx="13">
                  <c:v>-32.601890172535335</c:v>
                </c:pt>
                <c:pt idx="14">
                  <c:v>-35.188405001122703</c:v>
                </c:pt>
                <c:pt idx="15">
                  <c:v>-37.793766164112668</c:v>
                </c:pt>
                <c:pt idx="16">
                  <c:v>-40.419859757055342</c:v>
                </c:pt>
                <c:pt idx="17">
                  <c:v>-43.068628101862892</c:v>
                </c:pt>
                <c:pt idx="18">
                  <c:v>-44.30205592049775</c:v>
                </c:pt>
                <c:pt idx="19">
                  <c:v>-47.00187141189005</c:v>
                </c:pt>
                <c:pt idx="20">
                  <c:v>-49.730597590578419</c:v>
                </c:pt>
                <c:pt idx="21">
                  <c:v>-52.4904665114992</c:v>
                </c:pt>
                <c:pt idx="22">
                  <c:v>-55.283801804885591</c:v>
                </c:pt>
                <c:pt idx="23">
                  <c:v>-58.113026910731207</c:v>
                </c:pt>
                <c:pt idx="24">
                  <c:v>-60.980674311662824</c:v>
                </c:pt>
                <c:pt idx="25">
                  <c:v>-63.889395514687038</c:v>
                </c:pt>
                <c:pt idx="26">
                  <c:v>-66.841971869992477</c:v>
                </c:pt>
                <c:pt idx="27">
                  <c:v>-69.841326325630405</c:v>
                </c:pt>
                <c:pt idx="28">
                  <c:v>-72.890536229062732</c:v>
                </c:pt>
                <c:pt idx="29">
                  <c:v>-75.992847300628156</c:v>
                </c:pt>
                <c:pt idx="30">
                  <c:v>-79.149555612848232</c:v>
                </c:pt>
                <c:pt idx="31">
                  <c:v>-82.249907573850024</c:v>
                </c:pt>
                <c:pt idx="32">
                  <c:v>-85.237788940340437</c:v>
                </c:pt>
                <c:pt idx="33">
                  <c:v>-88.12336169455638</c:v>
                </c:pt>
                <c:pt idx="34">
                  <c:v>-90.915770445906006</c:v>
                </c:pt>
                <c:pt idx="35">
                  <c:v>-93.688759843467622</c:v>
                </c:pt>
                <c:pt idx="36">
                  <c:v>-96.401357840516553</c:v>
                </c:pt>
                <c:pt idx="37">
                  <c:v>-99.038232171078363</c:v>
                </c:pt>
                <c:pt idx="38">
                  <c:v>-101.60590383566569</c:v>
                </c:pt>
                <c:pt idx="39">
                  <c:v>-104.11035795825251</c:v>
                </c:pt>
                <c:pt idx="40">
                  <c:v>-106.55710981828332</c:v>
                </c:pt>
                <c:pt idx="41">
                  <c:v>-108.9512623635032</c:v>
                </c:pt>
                <c:pt idx="42">
                  <c:v>-111.29755648007786</c:v>
                </c:pt>
                <c:pt idx="43">
                  <c:v>-113.60041550117488</c:v>
                </c:pt>
                <c:pt idx="44">
                  <c:v>-115.86398369618811</c:v>
                </c:pt>
                <c:pt idx="45">
                  <c:v>-118.09216181177968</c:v>
                </c:pt>
                <c:pt idx="46">
                  <c:v>-120.28863791321747</c:v>
                </c:pt>
                <c:pt idx="47">
                  <c:v>-121.65456064344905</c:v>
                </c:pt>
                <c:pt idx="48">
                  <c:v>-123.82520907782671</c:v>
                </c:pt>
                <c:pt idx="49">
                  <c:v>-125.97379265899306</c:v>
                </c:pt>
                <c:pt idx="50">
                  <c:v>-128.10344829380585</c:v>
                </c:pt>
                <c:pt idx="51">
                  <c:v>-130.2172185394098</c:v>
                </c:pt>
                <c:pt idx="52">
                  <c:v>-132.31807058565656</c:v>
                </c:pt>
                <c:pt idx="53">
                  <c:v>-134.40891513365489</c:v>
                </c:pt>
                <c:pt idx="54">
                  <c:v>-136.49262453757657</c:v>
                </c:pt>
                <c:pt idx="55">
                  <c:v>-137.74765115919681</c:v>
                </c:pt>
                <c:pt idx="56">
                  <c:v>-139.80070931539126</c:v>
                </c:pt>
                <c:pt idx="57">
                  <c:v>-141.85532291474863</c:v>
                </c:pt>
                <c:pt idx="58">
                  <c:v>-143.91435671351888</c:v>
                </c:pt>
                <c:pt idx="59">
                  <c:v>-145.98072911235951</c:v>
                </c:pt>
                <c:pt idx="60">
                  <c:v>-148.05743263475998</c:v>
                </c:pt>
                <c:pt idx="61">
                  <c:v>-150.13678715939119</c:v>
                </c:pt>
                <c:pt idx="62">
                  <c:v>-152.20106282046217</c:v>
                </c:pt>
                <c:pt idx="63">
                  <c:v>-154.28320813638632</c:v>
                </c:pt>
                <c:pt idx="64">
                  <c:v>-156.38676348956963</c:v>
                </c:pt>
                <c:pt idx="65">
                  <c:v>-158.51548131024916</c:v>
                </c:pt>
                <c:pt idx="66">
                  <c:v>-160.67336616272112</c:v>
                </c:pt>
                <c:pt idx="67">
                  <c:v>-162.8647210903257</c:v>
                </c:pt>
                <c:pt idx="68">
                  <c:v>-165.09420197518875</c:v>
                </c:pt>
                <c:pt idx="69">
                  <c:v>-167.36688191894382</c:v>
                </c:pt>
                <c:pt idx="70">
                  <c:v>-169.68832859489763</c:v>
                </c:pt>
                <c:pt idx="71">
                  <c:v>-172.06469630256782</c:v>
                </c:pt>
                <c:pt idx="72">
                  <c:v>-174.40051199695782</c:v>
                </c:pt>
                <c:pt idx="73">
                  <c:v>-176.68425033856593</c:v>
                </c:pt>
                <c:pt idx="74">
                  <c:v>-179.03297210200674</c:v>
                </c:pt>
                <c:pt idx="75">
                  <c:v>-181.45566904033907</c:v>
                </c:pt>
                <c:pt idx="76">
                  <c:v>-183.94351661511089</c:v>
                </c:pt>
                <c:pt idx="77">
                  <c:v>-186.32291305685808</c:v>
                </c:pt>
                <c:pt idx="78">
                  <c:v>-188.55419778535898</c:v>
                </c:pt>
                <c:pt idx="79">
                  <c:v>-190.50553421385104</c:v>
                </c:pt>
                <c:pt idx="80">
                  <c:v>-192.03291580506769</c:v>
                </c:pt>
                <c:pt idx="81">
                  <c:v>-193.41693436232595</c:v>
                </c:pt>
                <c:pt idx="82">
                  <c:v>-194.66097793276577</c:v>
                </c:pt>
                <c:pt idx="83">
                  <c:v>-195.76805938930124</c:v>
                </c:pt>
                <c:pt idx="84">
                  <c:v>-196.74083297985553</c:v>
                </c:pt>
                <c:pt idx="85">
                  <c:v>-197.58160813810264</c:v>
                </c:pt>
                <c:pt idx="86">
                  <c:v>-198.29236336033247</c:v>
                </c:pt>
                <c:pt idx="87">
                  <c:v>-198.87475566110851</c:v>
                </c:pt>
                <c:pt idx="88">
                  <c:v>-199.33013044516562</c:v>
                </c:pt>
                <c:pt idx="89">
                  <c:v>-199.65952882174093</c:v>
                </c:pt>
                <c:pt idx="90">
                  <c:v>-199.77811800993842</c:v>
                </c:pt>
                <c:pt idx="91">
                  <c:v>-199.65952882174099</c:v>
                </c:pt>
                <c:pt idx="92">
                  <c:v>-199.33013044516562</c:v>
                </c:pt>
                <c:pt idx="93">
                  <c:v>-198.87475566110851</c:v>
                </c:pt>
                <c:pt idx="94">
                  <c:v>-198.29236336033239</c:v>
                </c:pt>
                <c:pt idx="95">
                  <c:v>-197.58160813810261</c:v>
                </c:pt>
                <c:pt idx="96">
                  <c:v>-196.74083297985547</c:v>
                </c:pt>
                <c:pt idx="97">
                  <c:v>-195.76805938930116</c:v>
                </c:pt>
                <c:pt idx="98">
                  <c:v>-194.66097793276606</c:v>
                </c:pt>
                <c:pt idx="99">
                  <c:v>-193.41693436232586</c:v>
                </c:pt>
                <c:pt idx="100">
                  <c:v>-192.03291580506774</c:v>
                </c:pt>
                <c:pt idx="101">
                  <c:v>-190.50553421385121</c:v>
                </c:pt>
                <c:pt idx="102">
                  <c:v>-188.5541977853587</c:v>
                </c:pt>
                <c:pt idx="103">
                  <c:v>-186.32291305685783</c:v>
                </c:pt>
                <c:pt idx="104">
                  <c:v>-183.94351661511104</c:v>
                </c:pt>
                <c:pt idx="105">
                  <c:v>-181.45566904033893</c:v>
                </c:pt>
                <c:pt idx="106">
                  <c:v>-179.0329721020068</c:v>
                </c:pt>
                <c:pt idx="107">
                  <c:v>-176.68425033856582</c:v>
                </c:pt>
                <c:pt idx="108">
                  <c:v>-174.40051199695745</c:v>
                </c:pt>
                <c:pt idx="109">
                  <c:v>-172.06469630256754</c:v>
                </c:pt>
                <c:pt idx="110">
                  <c:v>-169.68832859489757</c:v>
                </c:pt>
                <c:pt idx="111">
                  <c:v>-167.36688191894393</c:v>
                </c:pt>
                <c:pt idx="112">
                  <c:v>-165.09420197518875</c:v>
                </c:pt>
                <c:pt idx="113">
                  <c:v>-162.86472109032579</c:v>
                </c:pt>
                <c:pt idx="114">
                  <c:v>-160.67336616272129</c:v>
                </c:pt>
                <c:pt idx="115">
                  <c:v>-158.51548131024899</c:v>
                </c:pt>
                <c:pt idx="116">
                  <c:v>-156.38676348956977</c:v>
                </c:pt>
                <c:pt idx="117">
                  <c:v>-154.28320813638612</c:v>
                </c:pt>
                <c:pt idx="118">
                  <c:v>-152.20106282046206</c:v>
                </c:pt>
                <c:pt idx="119">
                  <c:v>-150.13678715939105</c:v>
                </c:pt>
                <c:pt idx="120">
                  <c:v>-148.05743263476</c:v>
                </c:pt>
                <c:pt idx="121">
                  <c:v>-145.98072911235954</c:v>
                </c:pt>
                <c:pt idx="122">
                  <c:v>-143.91435671351869</c:v>
                </c:pt>
                <c:pt idx="123">
                  <c:v>-141.8553229147484</c:v>
                </c:pt>
                <c:pt idx="124">
                  <c:v>-139.80070931539132</c:v>
                </c:pt>
                <c:pt idx="125">
                  <c:v>-137.74765115919686</c:v>
                </c:pt>
                <c:pt idx="126">
                  <c:v>-136.49262453757652</c:v>
                </c:pt>
                <c:pt idx="127">
                  <c:v>-134.40891513365483</c:v>
                </c:pt>
                <c:pt idx="128">
                  <c:v>-132.31807058565636</c:v>
                </c:pt>
                <c:pt idx="129">
                  <c:v>-130.21721853940974</c:v>
                </c:pt>
                <c:pt idx="130">
                  <c:v>-128.10344829380574</c:v>
                </c:pt>
                <c:pt idx="131">
                  <c:v>-125.97379265899296</c:v>
                </c:pt>
                <c:pt idx="132">
                  <c:v>-123.82520907782666</c:v>
                </c:pt>
                <c:pt idx="133">
                  <c:v>-121.65456064344902</c:v>
                </c:pt>
                <c:pt idx="134">
                  <c:v>-120.28863791321743</c:v>
                </c:pt>
                <c:pt idx="135">
                  <c:v>-118.09216181177973</c:v>
                </c:pt>
                <c:pt idx="136">
                  <c:v>-115.86398369618806</c:v>
                </c:pt>
                <c:pt idx="137">
                  <c:v>-113.60041550117479</c:v>
                </c:pt>
                <c:pt idx="138">
                  <c:v>-111.297556480078</c:v>
                </c:pt>
                <c:pt idx="139">
                  <c:v>-108.95126236350325</c:v>
                </c:pt>
                <c:pt idx="140">
                  <c:v>-106.55710981828339</c:v>
                </c:pt>
                <c:pt idx="141">
                  <c:v>-104.11035795825252</c:v>
                </c:pt>
                <c:pt idx="142">
                  <c:v>-101.6059038356657</c:v>
                </c:pt>
                <c:pt idx="143">
                  <c:v>-99.038232171078377</c:v>
                </c:pt>
                <c:pt idx="144">
                  <c:v>-96.40135784051661</c:v>
                </c:pt>
                <c:pt idx="145">
                  <c:v>-93.688759843467494</c:v>
                </c:pt>
                <c:pt idx="146">
                  <c:v>-90.915770445906034</c:v>
                </c:pt>
                <c:pt idx="147">
                  <c:v>-88.123361694556337</c:v>
                </c:pt>
                <c:pt idx="148">
                  <c:v>-85.237788940340394</c:v>
                </c:pt>
                <c:pt idx="149">
                  <c:v>-82.249907573849981</c:v>
                </c:pt>
                <c:pt idx="150">
                  <c:v>-79.149555612848133</c:v>
                </c:pt>
                <c:pt idx="151">
                  <c:v>-75.992847300628029</c:v>
                </c:pt>
                <c:pt idx="152">
                  <c:v>-72.890536229062732</c:v>
                </c:pt>
                <c:pt idx="153">
                  <c:v>-69.841326325630376</c:v>
                </c:pt>
                <c:pt idx="154">
                  <c:v>-66.841971869992321</c:v>
                </c:pt>
                <c:pt idx="155">
                  <c:v>-63.889395514687024</c:v>
                </c:pt>
                <c:pt idx="156">
                  <c:v>-60.980674311662838</c:v>
                </c:pt>
                <c:pt idx="157">
                  <c:v>-58.113026910731122</c:v>
                </c:pt>
                <c:pt idx="158">
                  <c:v>-55.283801804885691</c:v>
                </c:pt>
                <c:pt idx="159">
                  <c:v>-52.490466511499264</c:v>
                </c:pt>
                <c:pt idx="160">
                  <c:v>-49.730597590578391</c:v>
                </c:pt>
                <c:pt idx="161">
                  <c:v>-47.001871411889923</c:v>
                </c:pt>
                <c:pt idx="162">
                  <c:v>-44.302055920497821</c:v>
                </c:pt>
                <c:pt idx="163">
                  <c:v>-43.068628101862842</c:v>
                </c:pt>
                <c:pt idx="164">
                  <c:v>-40.419859757055384</c:v>
                </c:pt>
                <c:pt idx="165">
                  <c:v>-37.79376616411264</c:v>
                </c:pt>
                <c:pt idx="166">
                  <c:v>-35.188405001122625</c:v>
                </c:pt>
                <c:pt idx="167">
                  <c:v>-32.601890172535363</c:v>
                </c:pt>
                <c:pt idx="168">
                  <c:v>-30.032385970238</c:v>
                </c:pt>
                <c:pt idx="169">
                  <c:v>-27.478101574263572</c:v>
                </c:pt>
                <c:pt idx="170">
                  <c:v>-24.937285789162321</c:v>
                </c:pt>
                <c:pt idx="171">
                  <c:v>-22.40822200988805</c:v>
                </c:pt>
                <c:pt idx="172">
                  <c:v>-19.889223379767337</c:v>
                </c:pt>
                <c:pt idx="173">
                  <c:v>-17.378628110519244</c:v>
                </c:pt>
                <c:pt idx="174">
                  <c:v>-14.87479493580876</c:v>
                </c:pt>
                <c:pt idx="175">
                  <c:v>-12.37609867034215</c:v>
                </c:pt>
                <c:pt idx="176">
                  <c:v>-9.880925849879457</c:v>
                </c:pt>
                <c:pt idx="177">
                  <c:v>-7.3876704227121142</c:v>
                </c:pt>
                <c:pt idx="178">
                  <c:v>-4.8947294768441978</c:v>
                </c:pt>
                <c:pt idx="179">
                  <c:v>-2.4013868890281747</c:v>
                </c:pt>
                <c:pt idx="180">
                  <c:v>0</c:v>
                </c:pt>
                <c:pt idx="181">
                  <c:v>2.4013868890281445</c:v>
                </c:pt>
                <c:pt idx="182">
                  <c:v>4.8947294768441978</c:v>
                </c:pt>
                <c:pt idx="183">
                  <c:v>7.3876704227121381</c:v>
                </c:pt>
                <c:pt idx="184">
                  <c:v>9.8809258498794854</c:v>
                </c:pt>
                <c:pt idx="185">
                  <c:v>12.376098670342161</c:v>
                </c:pt>
                <c:pt idx="186">
                  <c:v>14.874794935808783</c:v>
                </c:pt>
                <c:pt idx="187">
                  <c:v>17.37862811051917</c:v>
                </c:pt>
                <c:pt idx="188">
                  <c:v>19.889223379767383</c:v>
                </c:pt>
                <c:pt idx="189">
                  <c:v>22.408222009888121</c:v>
                </c:pt>
                <c:pt idx="190">
                  <c:v>24.937285789162367</c:v>
                </c:pt>
                <c:pt idx="191">
                  <c:v>27.478101574263565</c:v>
                </c:pt>
                <c:pt idx="192">
                  <c:v>30.032385970237986</c:v>
                </c:pt>
                <c:pt idx="193">
                  <c:v>32.601890172535349</c:v>
                </c:pt>
                <c:pt idx="194">
                  <c:v>35.188405001122625</c:v>
                </c:pt>
                <c:pt idx="195">
                  <c:v>37.793766164112689</c:v>
                </c:pt>
                <c:pt idx="196">
                  <c:v>40.419859757055413</c:v>
                </c:pt>
                <c:pt idx="197">
                  <c:v>43.068628101862807</c:v>
                </c:pt>
                <c:pt idx="198">
                  <c:v>44.302055920497764</c:v>
                </c:pt>
                <c:pt idx="199">
                  <c:v>47.001871411889965</c:v>
                </c:pt>
                <c:pt idx="200">
                  <c:v>49.730597590578448</c:v>
                </c:pt>
                <c:pt idx="201">
                  <c:v>52.490466511499292</c:v>
                </c:pt>
                <c:pt idx="202">
                  <c:v>55.283801804885542</c:v>
                </c:pt>
                <c:pt idx="203">
                  <c:v>58.113026910731051</c:v>
                </c:pt>
                <c:pt idx="204">
                  <c:v>60.980674311662803</c:v>
                </c:pt>
                <c:pt idx="205">
                  <c:v>63.889395514687024</c:v>
                </c:pt>
                <c:pt idx="206">
                  <c:v>66.841971869992506</c:v>
                </c:pt>
                <c:pt idx="207">
                  <c:v>69.841326325630391</c:v>
                </c:pt>
                <c:pt idx="208">
                  <c:v>72.890536229062732</c:v>
                </c:pt>
                <c:pt idx="209">
                  <c:v>75.992847300627972</c:v>
                </c:pt>
                <c:pt idx="210">
                  <c:v>79.149555612848303</c:v>
                </c:pt>
                <c:pt idx="211">
                  <c:v>82.249907573849981</c:v>
                </c:pt>
                <c:pt idx="212">
                  <c:v>85.237788940340437</c:v>
                </c:pt>
                <c:pt idx="213">
                  <c:v>88.123361694556351</c:v>
                </c:pt>
                <c:pt idx="214">
                  <c:v>90.915770445906062</c:v>
                </c:pt>
                <c:pt idx="215">
                  <c:v>93.688759843467565</c:v>
                </c:pt>
                <c:pt idx="216">
                  <c:v>96.401357840516653</c:v>
                </c:pt>
                <c:pt idx="217">
                  <c:v>99.038232171078434</c:v>
                </c:pt>
                <c:pt idx="218">
                  <c:v>101.6059038356657</c:v>
                </c:pt>
                <c:pt idx="219">
                  <c:v>104.11035795825245</c:v>
                </c:pt>
                <c:pt idx="220">
                  <c:v>106.55710981828344</c:v>
                </c:pt>
                <c:pt idx="221">
                  <c:v>108.95126236350335</c:v>
                </c:pt>
                <c:pt idx="222">
                  <c:v>111.29755648007806</c:v>
                </c:pt>
                <c:pt idx="223">
                  <c:v>113.60041550117477</c:v>
                </c:pt>
                <c:pt idx="224">
                  <c:v>115.86398369618786</c:v>
                </c:pt>
                <c:pt idx="225">
                  <c:v>118.09216181177968</c:v>
                </c:pt>
                <c:pt idx="226">
                  <c:v>120.28863791321743</c:v>
                </c:pt>
                <c:pt idx="227">
                  <c:v>121.6545606434489</c:v>
                </c:pt>
                <c:pt idx="228">
                  <c:v>123.82520907782656</c:v>
                </c:pt>
                <c:pt idx="229">
                  <c:v>125.97379265899293</c:v>
                </c:pt>
                <c:pt idx="230">
                  <c:v>128.10344829380574</c:v>
                </c:pt>
                <c:pt idx="231">
                  <c:v>130.21721853940969</c:v>
                </c:pt>
                <c:pt idx="232">
                  <c:v>132.31807058565627</c:v>
                </c:pt>
                <c:pt idx="233">
                  <c:v>134.40891513365494</c:v>
                </c:pt>
                <c:pt idx="234">
                  <c:v>136.49262453757652</c:v>
                </c:pt>
                <c:pt idx="235">
                  <c:v>137.74765115919681</c:v>
                </c:pt>
                <c:pt idx="236">
                  <c:v>139.80070931539143</c:v>
                </c:pt>
                <c:pt idx="237">
                  <c:v>141.85532291474868</c:v>
                </c:pt>
                <c:pt idx="238">
                  <c:v>143.91435671351869</c:v>
                </c:pt>
                <c:pt idx="239">
                  <c:v>145.9807291123596</c:v>
                </c:pt>
                <c:pt idx="240">
                  <c:v>148.05743263476009</c:v>
                </c:pt>
                <c:pt idx="241">
                  <c:v>150.13678715939113</c:v>
                </c:pt>
                <c:pt idx="242">
                  <c:v>152.20106282046203</c:v>
                </c:pt>
                <c:pt idx="243">
                  <c:v>154.28320813638612</c:v>
                </c:pt>
                <c:pt idx="244">
                  <c:v>156.38676348956974</c:v>
                </c:pt>
                <c:pt idx="245">
                  <c:v>158.51548131024924</c:v>
                </c:pt>
                <c:pt idx="246">
                  <c:v>160.67336616272132</c:v>
                </c:pt>
                <c:pt idx="247">
                  <c:v>162.86472109032567</c:v>
                </c:pt>
                <c:pt idx="248">
                  <c:v>165.09420197518875</c:v>
                </c:pt>
                <c:pt idx="249">
                  <c:v>167.36688191894382</c:v>
                </c:pt>
                <c:pt idx="250">
                  <c:v>169.68832859489763</c:v>
                </c:pt>
                <c:pt idx="251">
                  <c:v>172.06469630256777</c:v>
                </c:pt>
                <c:pt idx="252">
                  <c:v>174.40051199695759</c:v>
                </c:pt>
                <c:pt idx="253">
                  <c:v>176.68425033856585</c:v>
                </c:pt>
                <c:pt idx="254">
                  <c:v>179.03297210200685</c:v>
                </c:pt>
                <c:pt idx="255">
                  <c:v>181.45566904033885</c:v>
                </c:pt>
                <c:pt idx="256">
                  <c:v>183.94351661511104</c:v>
                </c:pt>
                <c:pt idx="257">
                  <c:v>186.32291305685786</c:v>
                </c:pt>
                <c:pt idx="258">
                  <c:v>188.55419778535858</c:v>
                </c:pt>
                <c:pt idx="259">
                  <c:v>190.50553421385112</c:v>
                </c:pt>
                <c:pt idx="260">
                  <c:v>192.03291580506774</c:v>
                </c:pt>
                <c:pt idx="261">
                  <c:v>193.41693436232589</c:v>
                </c:pt>
                <c:pt idx="262">
                  <c:v>194.66097793276577</c:v>
                </c:pt>
                <c:pt idx="263">
                  <c:v>195.7680593893011</c:v>
                </c:pt>
                <c:pt idx="264">
                  <c:v>196.74083297985536</c:v>
                </c:pt>
                <c:pt idx="265">
                  <c:v>197.5816081381025</c:v>
                </c:pt>
                <c:pt idx="266">
                  <c:v>198.29236336033236</c:v>
                </c:pt>
                <c:pt idx="267">
                  <c:v>198.87475566110822</c:v>
                </c:pt>
                <c:pt idx="268">
                  <c:v>199.33013044516559</c:v>
                </c:pt>
                <c:pt idx="269">
                  <c:v>199.65952882174105</c:v>
                </c:pt>
                <c:pt idx="270">
                  <c:v>199.77811800993842</c:v>
                </c:pt>
                <c:pt idx="271">
                  <c:v>199.65952882174082</c:v>
                </c:pt>
                <c:pt idx="272">
                  <c:v>199.33013044516559</c:v>
                </c:pt>
                <c:pt idx="273">
                  <c:v>198.87475566110842</c:v>
                </c:pt>
                <c:pt idx="274">
                  <c:v>198.29236336033216</c:v>
                </c:pt>
                <c:pt idx="275">
                  <c:v>197.58160813810255</c:v>
                </c:pt>
                <c:pt idx="276">
                  <c:v>196.7408329798553</c:v>
                </c:pt>
                <c:pt idx="277">
                  <c:v>195.76805938930104</c:v>
                </c:pt>
                <c:pt idx="278">
                  <c:v>194.66097793276575</c:v>
                </c:pt>
                <c:pt idx="279">
                  <c:v>193.41693436232586</c:v>
                </c:pt>
                <c:pt idx="280">
                  <c:v>192.03291580506789</c:v>
                </c:pt>
                <c:pt idx="281">
                  <c:v>190.50553421385104</c:v>
                </c:pt>
                <c:pt idx="282">
                  <c:v>188.55419778535872</c:v>
                </c:pt>
                <c:pt idx="283">
                  <c:v>186.32291305685803</c:v>
                </c:pt>
                <c:pt idx="284">
                  <c:v>183.94351661511089</c:v>
                </c:pt>
                <c:pt idx="285">
                  <c:v>181.45566904033885</c:v>
                </c:pt>
                <c:pt idx="286">
                  <c:v>179.03297210200674</c:v>
                </c:pt>
                <c:pt idx="287">
                  <c:v>176.68425033856579</c:v>
                </c:pt>
                <c:pt idx="288">
                  <c:v>174.40051199695782</c:v>
                </c:pt>
                <c:pt idx="289">
                  <c:v>172.06469630256771</c:v>
                </c:pt>
                <c:pt idx="290">
                  <c:v>169.68832859489723</c:v>
                </c:pt>
                <c:pt idx="291">
                  <c:v>167.36688191894382</c:v>
                </c:pt>
                <c:pt idx="292">
                  <c:v>165.09420197518884</c:v>
                </c:pt>
                <c:pt idx="293">
                  <c:v>162.86472109032565</c:v>
                </c:pt>
                <c:pt idx="294">
                  <c:v>160.67336616272132</c:v>
                </c:pt>
                <c:pt idx="295">
                  <c:v>158.51548131024893</c:v>
                </c:pt>
                <c:pt idx="296">
                  <c:v>156.38676348956963</c:v>
                </c:pt>
                <c:pt idx="297">
                  <c:v>154.28320813638629</c:v>
                </c:pt>
                <c:pt idx="298">
                  <c:v>152.2010628204622</c:v>
                </c:pt>
                <c:pt idx="299">
                  <c:v>150.13678715939105</c:v>
                </c:pt>
                <c:pt idx="300">
                  <c:v>148.05743263475998</c:v>
                </c:pt>
                <c:pt idx="301">
                  <c:v>145.98072911235957</c:v>
                </c:pt>
                <c:pt idx="302">
                  <c:v>143.9143567135188</c:v>
                </c:pt>
                <c:pt idx="303">
                  <c:v>141.85532291474854</c:v>
                </c:pt>
                <c:pt idx="304">
                  <c:v>139.80070931539117</c:v>
                </c:pt>
                <c:pt idx="305">
                  <c:v>137.74765115919672</c:v>
                </c:pt>
                <c:pt idx="306">
                  <c:v>136.49262453757646</c:v>
                </c:pt>
                <c:pt idx="307">
                  <c:v>134.40891513365483</c:v>
                </c:pt>
                <c:pt idx="308">
                  <c:v>132.31807058565641</c:v>
                </c:pt>
                <c:pt idx="309">
                  <c:v>130.21721853940971</c:v>
                </c:pt>
                <c:pt idx="310">
                  <c:v>128.10344829380591</c:v>
                </c:pt>
                <c:pt idx="311">
                  <c:v>125.97379265899312</c:v>
                </c:pt>
                <c:pt idx="312">
                  <c:v>123.8252090778267</c:v>
                </c:pt>
                <c:pt idx="313">
                  <c:v>121.65456064344907</c:v>
                </c:pt>
                <c:pt idx="314">
                  <c:v>120.2886379132175</c:v>
                </c:pt>
                <c:pt idx="315">
                  <c:v>118.09216181177972</c:v>
                </c:pt>
                <c:pt idx="316">
                  <c:v>115.86398369618813</c:v>
                </c:pt>
                <c:pt idx="317">
                  <c:v>113.60041550117485</c:v>
                </c:pt>
                <c:pt idx="318">
                  <c:v>111.2975564800778</c:v>
                </c:pt>
                <c:pt idx="319">
                  <c:v>108.95126236350318</c:v>
                </c:pt>
                <c:pt idx="320">
                  <c:v>106.55710981828332</c:v>
                </c:pt>
                <c:pt idx="321">
                  <c:v>104.11035795825269</c:v>
                </c:pt>
                <c:pt idx="322">
                  <c:v>101.60590383566571</c:v>
                </c:pt>
                <c:pt idx="323">
                  <c:v>99.038232171078391</c:v>
                </c:pt>
                <c:pt idx="324">
                  <c:v>96.401357840516624</c:v>
                </c:pt>
                <c:pt idx="325">
                  <c:v>93.688759843467679</c:v>
                </c:pt>
                <c:pt idx="326">
                  <c:v>90.915770445905963</c:v>
                </c:pt>
                <c:pt idx="327">
                  <c:v>88.123361694556166</c:v>
                </c:pt>
                <c:pt idx="328">
                  <c:v>85.237788940340437</c:v>
                </c:pt>
                <c:pt idx="329">
                  <c:v>82.249907573850038</c:v>
                </c:pt>
                <c:pt idx="330">
                  <c:v>79.149555612848303</c:v>
                </c:pt>
                <c:pt idx="331">
                  <c:v>75.992847300627929</c:v>
                </c:pt>
                <c:pt idx="332">
                  <c:v>72.890536229062775</c:v>
                </c:pt>
                <c:pt idx="333">
                  <c:v>69.841326325630305</c:v>
                </c:pt>
                <c:pt idx="334">
                  <c:v>66.841971869992491</c:v>
                </c:pt>
                <c:pt idx="335">
                  <c:v>63.889395514686946</c:v>
                </c:pt>
                <c:pt idx="336">
                  <c:v>60.980674311662803</c:v>
                </c:pt>
                <c:pt idx="337">
                  <c:v>58.113026910731129</c:v>
                </c:pt>
                <c:pt idx="338">
                  <c:v>55.283801804885591</c:v>
                </c:pt>
                <c:pt idx="339">
                  <c:v>52.490466511499299</c:v>
                </c:pt>
                <c:pt idx="340">
                  <c:v>49.730597590578242</c:v>
                </c:pt>
                <c:pt idx="341">
                  <c:v>47.001871411889994</c:v>
                </c:pt>
                <c:pt idx="342">
                  <c:v>44.302055920497736</c:v>
                </c:pt>
                <c:pt idx="343">
                  <c:v>43.068628101862892</c:v>
                </c:pt>
                <c:pt idx="344">
                  <c:v>40.419859757055391</c:v>
                </c:pt>
                <c:pt idx="345">
                  <c:v>37.79376616411264</c:v>
                </c:pt>
                <c:pt idx="346">
                  <c:v>35.188405001122725</c:v>
                </c:pt>
                <c:pt idx="347">
                  <c:v>32.601890172535299</c:v>
                </c:pt>
                <c:pt idx="348">
                  <c:v>30.032385970237986</c:v>
                </c:pt>
                <c:pt idx="349">
                  <c:v>27.47810157426348</c:v>
                </c:pt>
                <c:pt idx="350">
                  <c:v>24.937285789162292</c:v>
                </c:pt>
                <c:pt idx="351">
                  <c:v>22.408222009887997</c:v>
                </c:pt>
                <c:pt idx="352">
                  <c:v>19.889223379767383</c:v>
                </c:pt>
                <c:pt idx="353">
                  <c:v>17.378628110519223</c:v>
                </c:pt>
                <c:pt idx="354">
                  <c:v>14.874794935808863</c:v>
                </c:pt>
                <c:pt idx="355">
                  <c:v>12.376098670342218</c:v>
                </c:pt>
                <c:pt idx="356">
                  <c:v>9.8809258498795458</c:v>
                </c:pt>
                <c:pt idx="357">
                  <c:v>7.3876704227121941</c:v>
                </c:pt>
                <c:pt idx="358">
                  <c:v>4.8947294768441916</c:v>
                </c:pt>
                <c:pt idx="359">
                  <c:v>2.401386889028148</c:v>
                </c:pt>
                <c:pt idx="360">
                  <c:v>3.3408333458351464E-14</c:v>
                </c:pt>
                <c:pt idx="361">
                  <c:v>-3.2638578827944657E-14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-136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0.000000000</c:formatCode>
                <c:ptCount val="2"/>
                <c:pt idx="0" formatCode="General">
                  <c:v>0</c:v>
                </c:pt>
                <c:pt idx="1">
                  <c:v>-304.10279228703155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3.3408333458351464E-14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Analysis'!$B$494</c:f>
              <c:numCache>
                <c:formatCode>General</c:formatCode>
                <c:ptCount val="1"/>
                <c:pt idx="0">
                  <c:v>-1.6801259242377302</c:v>
                </c:pt>
              </c:numCache>
            </c:numRef>
          </c:xVal>
          <c:yVal>
            <c:numRef>
              <c:f>'Cross Section Analysis'!$C$494</c:f>
              <c:numCache>
                <c:formatCode>General</c:formatCode>
                <c:ptCount val="1"/>
                <c:pt idx="0">
                  <c:v>-1.7656430849821363E-15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2F-4000-BB9C-0E49DA086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77.313412202435771</c:v>
                </c:pt>
                <c:pt idx="5">
                  <c:v>99.327661744889369</c:v>
                </c:pt>
                <c:pt idx="6">
                  <c:v>121.63535125891097</c:v>
                </c:pt>
                <c:pt idx="7">
                  <c:v>143.11777917034814</c:v>
                </c:pt>
                <c:pt idx="8">
                  <c:v>164.6632115835728</c:v>
                </c:pt>
                <c:pt idx="9">
                  <c:v>183.82563668467517</c:v>
                </c:pt>
                <c:pt idx="10">
                  <c:v>201.91746270344436</c:v>
                </c:pt>
                <c:pt idx="11">
                  <c:v>219.33823598438309</c:v>
                </c:pt>
                <c:pt idx="12">
                  <c:v>237.70002106459447</c:v>
                </c:pt>
                <c:pt idx="13">
                  <c:v>256.08382953073186</c:v>
                </c:pt>
                <c:pt idx="14">
                  <c:v>274.42382319641632</c:v>
                </c:pt>
                <c:pt idx="15">
                  <c:v>291.46029307154959</c:v>
                </c:pt>
                <c:pt idx="16">
                  <c:v>307.14930738320078</c:v>
                </c:pt>
                <c:pt idx="17">
                  <c:v>321.71933921343486</c:v>
                </c:pt>
                <c:pt idx="18">
                  <c:v>331.51013895053416</c:v>
                </c:pt>
                <c:pt idx="19">
                  <c:v>336.62613667538665</c:v>
                </c:pt>
                <c:pt idx="20">
                  <c:v>341.83514407823549</c:v>
                </c:pt>
                <c:pt idx="21">
                  <c:v>347.12758422826164</c:v>
                </c:pt>
                <c:pt idx="22">
                  <c:v>352.37359729530743</c:v>
                </c:pt>
                <c:pt idx="23">
                  <c:v>357.16787599812272</c:v>
                </c:pt>
                <c:pt idx="24">
                  <c:v>361.90717034398824</c:v>
                </c:pt>
                <c:pt idx="25">
                  <c:v>364.35490757907928</c:v>
                </c:pt>
                <c:pt idx="26">
                  <c:v>366.95321190076839</c:v>
                </c:pt>
                <c:pt idx="27">
                  <c:v>369.01651170172426</c:v>
                </c:pt>
                <c:pt idx="28">
                  <c:v>370.28536527624226</c:v>
                </c:pt>
                <c:pt idx="29">
                  <c:v>371.56124213599321</c:v>
                </c:pt>
                <c:pt idx="30">
                  <c:v>370.79985745563573</c:v>
                </c:pt>
                <c:pt idx="31">
                  <c:v>372.03730305833932</c:v>
                </c:pt>
                <c:pt idx="32">
                  <c:v>373.76500241907041</c:v>
                </c:pt>
                <c:pt idx="33">
                  <c:v>378.28378728967238</c:v>
                </c:pt>
                <c:pt idx="34">
                  <c:v>382.73656553738061</c:v>
                </c:pt>
                <c:pt idx="35">
                  <c:v>387.09932116467178</c:v>
                </c:pt>
                <c:pt idx="36">
                  <c:v>391.34878748669718</c:v>
                </c:pt>
                <c:pt idx="37">
                  <c:v>395.46231702272144</c:v>
                </c:pt>
                <c:pt idx="38">
                  <c:v>399.41808116720688</c:v>
                </c:pt>
                <c:pt idx="39">
                  <c:v>403.19518059601114</c:v>
                </c:pt>
                <c:pt idx="40">
                  <c:v>406.77373177309101</c:v>
                </c:pt>
                <c:pt idx="41">
                  <c:v>410.13514522344019</c:v>
                </c:pt>
                <c:pt idx="42">
                  <c:v>413.03135106556419</c:v>
                </c:pt>
                <c:pt idx="43">
                  <c:v>415.86056017112207</c:v>
                </c:pt>
                <c:pt idx="44">
                  <c:v>418.41609577442205</c:v>
                </c:pt>
                <c:pt idx="45">
                  <c:v>420.68143530091646</c:v>
                </c:pt>
                <c:pt idx="46">
                  <c:v>422.64111603420025</c:v>
                </c:pt>
                <c:pt idx="47">
                  <c:v>423.87114016208909</c:v>
                </c:pt>
                <c:pt idx="48">
                  <c:v>425.1358122538964</c:v>
                </c:pt>
                <c:pt idx="49">
                  <c:v>426.05251237138697</c:v>
                </c:pt>
                <c:pt idx="50">
                  <c:v>426.60956719212692</c:v>
                </c:pt>
                <c:pt idx="51">
                  <c:v>426.79604895963075</c:v>
                </c:pt>
                <c:pt idx="52">
                  <c:v>426.60165942684205</c:v>
                </c:pt>
                <c:pt idx="53">
                  <c:v>426.01664220716435</c:v>
                </c:pt>
                <c:pt idx="54">
                  <c:v>425.03173499655134</c:v>
                </c:pt>
                <c:pt idx="55">
                  <c:v>423.63808230183059</c:v>
                </c:pt>
                <c:pt idx="56">
                  <c:v>421.82716651640055</c:v>
                </c:pt>
                <c:pt idx="57">
                  <c:v>419.59076649877267</c:v>
                </c:pt>
                <c:pt idx="58">
                  <c:v>416.92086620582444</c:v>
                </c:pt>
                <c:pt idx="59">
                  <c:v>413.80961074931668</c:v>
                </c:pt>
                <c:pt idx="60">
                  <c:v>410.24925329322724</c:v>
                </c:pt>
                <c:pt idx="61">
                  <c:v>406.21068274997856</c:v>
                </c:pt>
                <c:pt idx="62">
                  <c:v>401.65982637063996</c:v>
                </c:pt>
                <c:pt idx="63">
                  <c:v>396.63517726446344</c:v>
                </c:pt>
                <c:pt idx="64">
                  <c:v>391.12871296119113</c:v>
                </c:pt>
                <c:pt idx="65">
                  <c:v>385.05022934585224</c:v>
                </c:pt>
                <c:pt idx="66">
                  <c:v>378.27521623555515</c:v>
                </c:pt>
                <c:pt idx="67">
                  <c:v>370.98314705236083</c:v>
                </c:pt>
                <c:pt idx="68">
                  <c:v>363.15478942265406</c:v>
                </c:pt>
                <c:pt idx="69">
                  <c:v>354.77820305644514</c:v>
                </c:pt>
                <c:pt idx="70">
                  <c:v>345.84109021390276</c:v>
                </c:pt>
                <c:pt idx="71">
                  <c:v>336.24235750469762</c:v>
                </c:pt>
                <c:pt idx="72">
                  <c:v>325.98645549646096</c:v>
                </c:pt>
                <c:pt idx="73">
                  <c:v>315.12380074809266</c:v>
                </c:pt>
                <c:pt idx="74">
                  <c:v>303.63940175207023</c:v>
                </c:pt>
                <c:pt idx="75">
                  <c:v>291.59334087006613</c:v>
                </c:pt>
                <c:pt idx="76">
                  <c:v>70.328665909695403</c:v>
                </c:pt>
                <c:pt idx="77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-426.6</c:v>
                </c:pt>
                <c:pt idx="1">
                  <c:v>-426.5</c:v>
                </c:pt>
                <c:pt idx="2">
                  <c:v>-399.795072</c:v>
                </c:pt>
                <c:pt idx="3">
                  <c:v>-373.09014400000001</c:v>
                </c:pt>
                <c:pt idx="4">
                  <c:v>-346.38521600000001</c:v>
                </c:pt>
                <c:pt idx="5">
                  <c:v>-319.68028800000002</c:v>
                </c:pt>
                <c:pt idx="6">
                  <c:v>-292.97536000000002</c:v>
                </c:pt>
                <c:pt idx="7">
                  <c:v>-266.27043200000003</c:v>
                </c:pt>
                <c:pt idx="8">
                  <c:v>-239.56550400000003</c:v>
                </c:pt>
                <c:pt idx="9">
                  <c:v>-212.86057600000004</c:v>
                </c:pt>
                <c:pt idx="10">
                  <c:v>-186.15564800000004</c:v>
                </c:pt>
                <c:pt idx="11">
                  <c:v>-159.45072000000005</c:v>
                </c:pt>
                <c:pt idx="12">
                  <c:v>-132.74579200000005</c:v>
                </c:pt>
                <c:pt idx="13">
                  <c:v>-106.04086400000006</c:v>
                </c:pt>
                <c:pt idx="14">
                  <c:v>-79.335936000000061</c:v>
                </c:pt>
                <c:pt idx="15">
                  <c:v>-52.631008000000065</c:v>
                </c:pt>
                <c:pt idx="16">
                  <c:v>-25.926080000000066</c:v>
                </c:pt>
                <c:pt idx="17">
                  <c:v>0.77884799999993248</c:v>
                </c:pt>
                <c:pt idx="18">
                  <c:v>27.483775999999931</c:v>
                </c:pt>
                <c:pt idx="19">
                  <c:v>54.18870399999993</c:v>
                </c:pt>
                <c:pt idx="20">
                  <c:v>80.893631999999926</c:v>
                </c:pt>
                <c:pt idx="21">
                  <c:v>107.59855999999992</c:v>
                </c:pt>
                <c:pt idx="22">
                  <c:v>134.30348799999993</c:v>
                </c:pt>
                <c:pt idx="23">
                  <c:v>161.00841599999993</c:v>
                </c:pt>
                <c:pt idx="24">
                  <c:v>187.71334399999992</c:v>
                </c:pt>
                <c:pt idx="25">
                  <c:v>214.41827199999992</c:v>
                </c:pt>
                <c:pt idx="26">
                  <c:v>241.12319999999991</c:v>
                </c:pt>
                <c:pt idx="27">
                  <c:v>267.82812799999994</c:v>
                </c:pt>
                <c:pt idx="28">
                  <c:v>294.53305599999993</c:v>
                </c:pt>
                <c:pt idx="29">
                  <c:v>321.23798399999993</c:v>
                </c:pt>
                <c:pt idx="30">
                  <c:v>347.94291199999992</c:v>
                </c:pt>
                <c:pt idx="31">
                  <c:v>374.64783999999992</c:v>
                </c:pt>
                <c:pt idx="32">
                  <c:v>401.35276799999991</c:v>
                </c:pt>
                <c:pt idx="33">
                  <c:v>428.05769599999991</c:v>
                </c:pt>
                <c:pt idx="34">
                  <c:v>454.7626239999999</c:v>
                </c:pt>
                <c:pt idx="35">
                  <c:v>481.4675519999999</c:v>
                </c:pt>
                <c:pt idx="36">
                  <c:v>508.17247999999989</c:v>
                </c:pt>
                <c:pt idx="37">
                  <c:v>534.87740799999995</c:v>
                </c:pt>
                <c:pt idx="38">
                  <c:v>561.58233599999994</c:v>
                </c:pt>
                <c:pt idx="39">
                  <c:v>588.28726399999994</c:v>
                </c:pt>
                <c:pt idx="40">
                  <c:v>614.99219199999993</c:v>
                </c:pt>
                <c:pt idx="41">
                  <c:v>641.69711999999993</c:v>
                </c:pt>
                <c:pt idx="42">
                  <c:v>668.40204799999992</c:v>
                </c:pt>
                <c:pt idx="43">
                  <c:v>695.10697599999992</c:v>
                </c:pt>
                <c:pt idx="44">
                  <c:v>721.81190399999991</c:v>
                </c:pt>
                <c:pt idx="45">
                  <c:v>748.51683199999991</c:v>
                </c:pt>
                <c:pt idx="46">
                  <c:v>775.2217599999999</c:v>
                </c:pt>
                <c:pt idx="47">
                  <c:v>801.9266879999999</c:v>
                </c:pt>
                <c:pt idx="48">
                  <c:v>828.63161599999989</c:v>
                </c:pt>
                <c:pt idx="49">
                  <c:v>855.33654399999989</c:v>
                </c:pt>
                <c:pt idx="50">
                  <c:v>882.04147199999989</c:v>
                </c:pt>
                <c:pt idx="51">
                  <c:v>908.74639999999988</c:v>
                </c:pt>
                <c:pt idx="52">
                  <c:v>935.45132799999988</c:v>
                </c:pt>
                <c:pt idx="53">
                  <c:v>962.15625599999987</c:v>
                </c:pt>
                <c:pt idx="54">
                  <c:v>988.86118399999987</c:v>
                </c:pt>
                <c:pt idx="55">
                  <c:v>1015.5661119999999</c:v>
                </c:pt>
                <c:pt idx="56">
                  <c:v>1042.2710399999999</c:v>
                </c:pt>
                <c:pt idx="57">
                  <c:v>1068.975968</c:v>
                </c:pt>
                <c:pt idx="58">
                  <c:v>1095.6808960000001</c:v>
                </c:pt>
                <c:pt idx="59">
                  <c:v>1122.3858240000002</c:v>
                </c:pt>
                <c:pt idx="60">
                  <c:v>1149.0907520000003</c:v>
                </c:pt>
                <c:pt idx="61">
                  <c:v>1175.7956800000004</c:v>
                </c:pt>
                <c:pt idx="62">
                  <c:v>1202.5006080000005</c:v>
                </c:pt>
                <c:pt idx="63">
                  <c:v>1229.2055360000006</c:v>
                </c:pt>
                <c:pt idx="64">
                  <c:v>1255.9104640000007</c:v>
                </c:pt>
                <c:pt idx="65">
                  <c:v>1282.6153920000008</c:v>
                </c:pt>
                <c:pt idx="66">
                  <c:v>1309.3203200000009</c:v>
                </c:pt>
                <c:pt idx="67">
                  <c:v>1336.0252480000011</c:v>
                </c:pt>
                <c:pt idx="68">
                  <c:v>1362.7301760000012</c:v>
                </c:pt>
                <c:pt idx="69">
                  <c:v>1389.4351040000013</c:v>
                </c:pt>
                <c:pt idx="70">
                  <c:v>1416.1400320000014</c:v>
                </c:pt>
                <c:pt idx="71">
                  <c:v>1442.8449600000015</c:v>
                </c:pt>
                <c:pt idx="72">
                  <c:v>1469.5498880000016</c:v>
                </c:pt>
                <c:pt idx="73">
                  <c:v>1496.2548160000017</c:v>
                </c:pt>
                <c:pt idx="74">
                  <c:v>1522.9597440000018</c:v>
                </c:pt>
                <c:pt idx="75">
                  <c:v>1549.6646720000019</c:v>
                </c:pt>
                <c:pt idx="76">
                  <c:v>1576.369600000002</c:v>
                </c:pt>
                <c:pt idx="77">
                  <c:v>1576.369600000002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146.70037491431302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1576.3696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Analysis'!$W$130:$W$132</c:f>
              <c:numCache>
                <c:formatCode>General</c:formatCode>
                <c:ptCount val="3"/>
                <c:pt idx="0">
                  <c:v>0</c:v>
                </c:pt>
                <c:pt idx="1">
                  <c:v>146.70037491431302</c:v>
                </c:pt>
                <c:pt idx="2">
                  <c:v>304.10279228703155</c:v>
                </c:pt>
              </c:numCache>
            </c:numRef>
          </c:xVal>
          <c:yVal>
            <c:numRef>
              <c:f>'Cross Section Analysis'!$V$130:$V$132</c:f>
              <c:numCache>
                <c:formatCode>General</c:formatCode>
                <c:ptCount val="3"/>
                <c:pt idx="0">
                  <c:v>0</c:v>
                </c:pt>
                <c:pt idx="1">
                  <c:v>1576.3696</c:v>
                </c:pt>
                <c:pt idx="2">
                  <c:v>1576.3696005381112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ser>
          <c:idx val="3"/>
          <c:order val="3"/>
          <c:tx>
            <c:v>p_m_Nominal</c:v>
          </c:tx>
          <c:spPr>
            <a:ln w="15875" cap="rnd">
              <a:solidFill>
                <a:schemeClr val="accent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'Cross Section Analysis'!$U$129:$U$230</c:f>
              <c:numCache>
                <c:formatCode>General</c:formatCode>
                <c:ptCount val="102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85.903791336039745</c:v>
                </c:pt>
                <c:pt idx="5">
                  <c:v>110.36406860543265</c:v>
                </c:pt>
                <c:pt idx="6">
                  <c:v>135.15039028767885</c:v>
                </c:pt>
                <c:pt idx="7">
                  <c:v>159.01975463372014</c:v>
                </c:pt>
                <c:pt idx="8">
                  <c:v>182.95912398174752</c:v>
                </c:pt>
                <c:pt idx="9">
                  <c:v>204.25070742741684</c:v>
                </c:pt>
                <c:pt idx="10">
                  <c:v>224.35273633716039</c:v>
                </c:pt>
                <c:pt idx="11">
                  <c:v>243.70915109375898</c:v>
                </c:pt>
                <c:pt idx="12">
                  <c:v>264.11113451621605</c:v>
                </c:pt>
                <c:pt idx="13">
                  <c:v>284.53758836747983</c:v>
                </c:pt>
                <c:pt idx="14">
                  <c:v>304.91535910712929</c:v>
                </c:pt>
                <c:pt idx="15">
                  <c:v>323.84477007949954</c:v>
                </c:pt>
                <c:pt idx="16">
                  <c:v>341.27700820355648</c:v>
                </c:pt>
                <c:pt idx="17">
                  <c:v>357.46593245937208</c:v>
                </c:pt>
                <c:pt idx="18">
                  <c:v>372.47796421107347</c:v>
                </c:pt>
                <c:pt idx="19">
                  <c:v>388.39010888869166</c:v>
                </c:pt>
                <c:pt idx="20">
                  <c:v>405.21957492932779</c:v>
                </c:pt>
                <c:pt idx="21">
                  <c:v>422.97389284891511</c:v>
                </c:pt>
                <c:pt idx="22">
                  <c:v>440.99440738163543</c:v>
                </c:pt>
                <c:pt idx="23">
                  <c:v>457.1628054699047</c:v>
                </c:pt>
                <c:pt idx="24">
                  <c:v>473.95684530068434</c:v>
                </c:pt>
                <c:pt idx="25">
                  <c:v>489.2067502049797</c:v>
                </c:pt>
                <c:pt idx="26">
                  <c:v>503.60794400505432</c:v>
                </c:pt>
                <c:pt idx="27">
                  <c:v>517.23437950280152</c:v>
                </c:pt>
                <c:pt idx="28">
                  <c:v>529.38567948277137</c:v>
                </c:pt>
                <c:pt idx="29">
                  <c:v>541.94430640376868</c:v>
                </c:pt>
                <c:pt idx="30">
                  <c:v>553.73298972983127</c:v>
                </c:pt>
                <c:pt idx="31">
                  <c:v>566.92131285732546</c:v>
                </c:pt>
                <c:pt idx="32">
                  <c:v>575.02308064472379</c:v>
                </c:pt>
                <c:pt idx="33">
                  <c:v>581.97505736872665</c:v>
                </c:pt>
                <c:pt idx="34">
                  <c:v>588.82548544212398</c:v>
                </c:pt>
                <c:pt idx="35">
                  <c:v>595.53741717641822</c:v>
                </c:pt>
                <c:pt idx="36">
                  <c:v>602.07505767184182</c:v>
                </c:pt>
                <c:pt idx="37">
                  <c:v>608.40356465034063</c:v>
                </c:pt>
                <c:pt idx="38">
                  <c:v>614.48935564185672</c:v>
                </c:pt>
                <c:pt idx="39">
                  <c:v>620.30027784001709</c:v>
                </c:pt>
                <c:pt idx="40">
                  <c:v>625.80574118937079</c:v>
                </c:pt>
                <c:pt idx="41">
                  <c:v>630.9771464976003</c:v>
                </c:pt>
                <c:pt idx="42">
                  <c:v>635.4328477931756</c:v>
                </c:pt>
                <c:pt idx="43">
                  <c:v>639.78547718634161</c:v>
                </c:pt>
                <c:pt idx="44">
                  <c:v>643.7170704221877</c:v>
                </c:pt>
                <c:pt idx="45">
                  <c:v>647.20220815525613</c:v>
                </c:pt>
                <c:pt idx="46">
                  <c:v>650.21710159107727</c:v>
                </c:pt>
                <c:pt idx="47">
                  <c:v>652.10944640321395</c:v>
                </c:pt>
                <c:pt idx="48">
                  <c:v>654.05509577522525</c:v>
                </c:pt>
                <c:pt idx="49">
                  <c:v>655.46540364828763</c:v>
                </c:pt>
                <c:pt idx="50">
                  <c:v>656.32241106481058</c:v>
                </c:pt>
                <c:pt idx="51">
                  <c:v>656.60930609173954</c:v>
                </c:pt>
                <c:pt idx="52">
                  <c:v>656.31024527206466</c:v>
                </c:pt>
                <c:pt idx="53">
                  <c:v>655.41021878025276</c:v>
                </c:pt>
                <c:pt idx="54">
                  <c:v>653.89497691777126</c:v>
                </c:pt>
                <c:pt idx="55">
                  <c:v>651.75089584897012</c:v>
                </c:pt>
                <c:pt idx="56">
                  <c:v>648.96487156369324</c:v>
                </c:pt>
                <c:pt idx="57">
                  <c:v>645.52425615195796</c:v>
                </c:pt>
                <c:pt idx="58">
                  <c:v>641.41671723972979</c:v>
                </c:pt>
                <c:pt idx="59">
                  <c:v>636.63017038356418</c:v>
                </c:pt>
                <c:pt idx="60">
                  <c:v>631.15269737419578</c:v>
                </c:pt>
                <c:pt idx="61">
                  <c:v>624.93951192304382</c:v>
                </c:pt>
                <c:pt idx="62">
                  <c:v>617.93819441636913</c:v>
                </c:pt>
                <c:pt idx="63">
                  <c:v>610.20796502225141</c:v>
                </c:pt>
                <c:pt idx="64">
                  <c:v>601.73648147875554</c:v>
                </c:pt>
                <c:pt idx="65">
                  <c:v>592.38496822438799</c:v>
                </c:pt>
                <c:pt idx="66">
                  <c:v>581.9618711316233</c:v>
                </c:pt>
                <c:pt idx="67">
                  <c:v>570.74330315747818</c:v>
                </c:pt>
                <c:pt idx="68">
                  <c:v>558.69967603485236</c:v>
                </c:pt>
                <c:pt idx="69">
                  <c:v>545.81262008683859</c:v>
                </c:pt>
                <c:pt idx="70">
                  <c:v>532.06321571369654</c:v>
                </c:pt>
                <c:pt idx="71">
                  <c:v>517.29593462261175</c:v>
                </c:pt>
                <c:pt idx="72">
                  <c:v>501.51762384070918</c:v>
                </c:pt>
                <c:pt idx="73">
                  <c:v>484.80584730475795</c:v>
                </c:pt>
                <c:pt idx="74">
                  <c:v>467.13754115703114</c:v>
                </c:pt>
                <c:pt idx="75">
                  <c:v>448.60513980010177</c:v>
                </c:pt>
                <c:pt idx="76">
                  <c:v>108.19794755337753</c:v>
                </c:pt>
              </c:numCache>
            </c:numRef>
          </c:xVal>
          <c:yVal>
            <c:numRef>
              <c:f>'Cross Section Analysis'!$T$129:$T$230</c:f>
              <c:numCache>
                <c:formatCode>General</c:formatCode>
                <c:ptCount val="102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-384.87223182790717</c:v>
                </c:pt>
                <c:pt idx="5">
                  <c:v>-355.20028933069671</c:v>
                </c:pt>
                <c:pt idx="6">
                  <c:v>-325.52817778182288</c:v>
                </c:pt>
                <c:pt idx="7">
                  <c:v>-295.85603555557935</c:v>
                </c:pt>
                <c:pt idx="8">
                  <c:v>-266.18389333331311</c:v>
                </c:pt>
                <c:pt idx="9">
                  <c:v>-236.51175153729025</c:v>
                </c:pt>
                <c:pt idx="10">
                  <c:v>-206.83960842345044</c:v>
                </c:pt>
                <c:pt idx="11">
                  <c:v>-177.16746666668988</c:v>
                </c:pt>
                <c:pt idx="12">
                  <c:v>-147.49532444439501</c:v>
                </c:pt>
                <c:pt idx="13">
                  <c:v>-117.8231822252429</c:v>
                </c:pt>
                <c:pt idx="14">
                  <c:v>-88.151039999872808</c:v>
                </c:pt>
                <c:pt idx="15">
                  <c:v>-58.478896900816835</c:v>
                </c:pt>
                <c:pt idx="16">
                  <c:v>-28.806755555591849</c:v>
                </c:pt>
                <c:pt idx="17">
                  <c:v>0.86538666278008236</c:v>
                </c:pt>
                <c:pt idx="18">
                  <c:v>30.880204311618996</c:v>
                </c:pt>
                <c:pt idx="19">
                  <c:v>62.521457278692793</c:v>
                </c:pt>
                <c:pt idx="20">
                  <c:v>95.89325071269522</c:v>
                </c:pt>
                <c:pt idx="21">
                  <c:v>131.10851414853656</c:v>
                </c:pt>
                <c:pt idx="22">
                  <c:v>168.08037706128312</c:v>
                </c:pt>
                <c:pt idx="23">
                  <c:v>206.0853288026259</c:v>
                </c:pt>
                <c:pt idx="24">
                  <c:v>245.83106286210779</c:v>
                </c:pt>
                <c:pt idx="25">
                  <c:v>287.89200817073993</c:v>
                </c:pt>
                <c:pt idx="26">
                  <c:v>330.9183706961968</c:v>
                </c:pt>
                <c:pt idx="27">
                  <c:v>375.40302725386249</c:v>
                </c:pt>
                <c:pt idx="28">
                  <c:v>421.08491612787577</c:v>
                </c:pt>
                <c:pt idx="29">
                  <c:v>468.54482299775145</c:v>
                </c:pt>
                <c:pt idx="30">
                  <c:v>519.59963078775104</c:v>
                </c:pt>
                <c:pt idx="31">
                  <c:v>570.8993255939688</c:v>
                </c:pt>
                <c:pt idx="32">
                  <c:v>617.46579692437285</c:v>
                </c:pt>
                <c:pt idx="33">
                  <c:v>658.55030154291023</c:v>
                </c:pt>
                <c:pt idx="34">
                  <c:v>699.63480634538064</c:v>
                </c:pt>
                <c:pt idx="35">
                  <c:v>740.71931148897261</c:v>
                </c:pt>
                <c:pt idx="36">
                  <c:v>781.80381684457325</c:v>
                </c:pt>
                <c:pt idx="37">
                  <c:v>822.88831999999547</c:v>
                </c:pt>
                <c:pt idx="38">
                  <c:v>863.97282461536895</c:v>
                </c:pt>
                <c:pt idx="39">
                  <c:v>905.0573292300196</c:v>
                </c:pt>
                <c:pt idx="40">
                  <c:v>946.14183384527041</c:v>
                </c:pt>
                <c:pt idx="41">
                  <c:v>987.22633846094141</c:v>
                </c:pt>
                <c:pt idx="42">
                  <c:v>1028.3108430767343</c:v>
                </c:pt>
                <c:pt idx="43">
                  <c:v>1069.3953476922179</c:v>
                </c:pt>
                <c:pt idx="44">
                  <c:v>1110.4798523076354</c:v>
                </c:pt>
                <c:pt idx="45">
                  <c:v>1151.5643569230429</c:v>
                </c:pt>
                <c:pt idx="46">
                  <c:v>1192.6488615385235</c:v>
                </c:pt>
                <c:pt idx="47">
                  <c:v>1233.7333661538382</c:v>
                </c:pt>
                <c:pt idx="48">
                  <c:v>1274.8178707692264</c:v>
                </c:pt>
                <c:pt idx="49">
                  <c:v>1315.9023753846054</c:v>
                </c:pt>
                <c:pt idx="50">
                  <c:v>1356.9868799999845</c:v>
                </c:pt>
                <c:pt idx="51">
                  <c:v>1398.0713846153644</c:v>
                </c:pt>
                <c:pt idx="52">
                  <c:v>1439.1558892307485</c:v>
                </c:pt>
                <c:pt idx="53">
                  <c:v>1480.2403938461362</c:v>
                </c:pt>
                <c:pt idx="54">
                  <c:v>1521.3248984615216</c:v>
                </c:pt>
                <c:pt idx="55">
                  <c:v>1562.4094030768715</c:v>
                </c:pt>
                <c:pt idx="56">
                  <c:v>1603.4939076921808</c:v>
                </c:pt>
                <c:pt idx="57">
                  <c:v>1644.5784123073358</c:v>
                </c:pt>
                <c:pt idx="58">
                  <c:v>1685.6629169224061</c:v>
                </c:pt>
                <c:pt idx="59">
                  <c:v>1726.7474215384425</c:v>
                </c:pt>
                <c:pt idx="60">
                  <c:v>1767.831926153834</c:v>
                </c:pt>
                <c:pt idx="61">
                  <c:v>1808.9164307683998</c:v>
                </c:pt>
                <c:pt idx="62">
                  <c:v>1850.0009353844393</c:v>
                </c:pt>
                <c:pt idx="63">
                  <c:v>1891.085440000297</c:v>
                </c:pt>
                <c:pt idx="64">
                  <c:v>1932.1699446425141</c:v>
                </c:pt>
                <c:pt idx="65">
                  <c:v>1973.2544494822178</c:v>
                </c:pt>
                <c:pt idx="66">
                  <c:v>2014.3389538075362</c:v>
                </c:pt>
                <c:pt idx="67">
                  <c:v>2055.4234584615297</c:v>
                </c:pt>
                <c:pt idx="68">
                  <c:v>2096.5079632911857</c:v>
                </c:pt>
                <c:pt idx="69">
                  <c:v>2137.5924676923241</c:v>
                </c:pt>
                <c:pt idx="70">
                  <c:v>2178.6771688852564</c:v>
                </c:pt>
                <c:pt idx="71">
                  <c:v>2219.7616255766584</c:v>
                </c:pt>
                <c:pt idx="72">
                  <c:v>2260.8460293895869</c:v>
                </c:pt>
                <c:pt idx="73">
                  <c:v>2301.9305431241364</c:v>
                </c:pt>
                <c:pt idx="74">
                  <c:v>2343.0149746902021</c:v>
                </c:pt>
                <c:pt idx="75">
                  <c:v>2384.0994239070797</c:v>
                </c:pt>
                <c:pt idx="76">
                  <c:v>2896.3704153580024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16-485E-B13D-A7D42B135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Analysis'!$D$129:$D$489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-3.1336946402351917</c:v>
                </c:pt>
                <c:pt idx="2">
                  <c:v>-3.1254797127262632</c:v>
                </c:pt>
                <c:pt idx="3">
                  <c:v>-3.1172494269815614</c:v>
                </c:pt>
                <c:pt idx="4">
                  <c:v>-3.1089996130284834</c:v>
                </c:pt>
                <c:pt idx="5">
                  <c:v>-3.1007230519296303</c:v>
                </c:pt>
                <c:pt idx="6">
                  <c:v>-3.0924124177611372</c:v>
                </c:pt>
                <c:pt idx="7">
                  <c:v>-3.0840602500790579</c:v>
                </c:pt>
                <c:pt idx="8">
                  <c:v>-3.075658925342009</c:v>
                </c:pt>
                <c:pt idx="9">
                  <c:v>-3.0672006269504131</c:v>
                </c:pt>
                <c:pt idx="10">
                  <c:v>-3.0586773137047563</c:v>
                </c:pt>
                <c:pt idx="11">
                  <c:v>-3.0500806863734731</c:v>
                </c:pt>
                <c:pt idx="12">
                  <c:v>-3.041402152079117</c:v>
                </c:pt>
                <c:pt idx="13">
                  <c:v>-3.0326327861690938</c:v>
                </c:pt>
                <c:pt idx="14">
                  <c:v>-3.0237632911997774</c:v>
                </c:pt>
                <c:pt idx="15">
                  <c:v>-3.0147839528422589</c:v>
                </c:pt>
                <c:pt idx="16">
                  <c:v>-3.0056845911454824</c:v>
                </c:pt>
                <c:pt idx="17">
                  <c:v>-2.996454509287656</c:v>
                </c:pt>
                <c:pt idx="18">
                  <c:v>-2.9921163671312572</c:v>
                </c:pt>
                <c:pt idx="19">
                  <c:v>-2.9826094749155669</c:v>
                </c:pt>
                <c:pt idx="20">
                  <c:v>-2.9729361791385598</c:v>
                </c:pt>
                <c:pt idx="21">
                  <c:v>-2.9630830721110657</c:v>
                </c:pt>
                <c:pt idx="22">
                  <c:v>-2.9530358931688698</c:v>
                </c:pt>
                <c:pt idx="23">
                  <c:v>-2.9427794201199271</c:v>
                </c:pt>
                <c:pt idx="24">
                  <c:v>-2.9322973652585036</c:v>
                </c:pt>
                <c:pt idx="25">
                  <c:v>-2.9215722594557407</c:v>
                </c:pt>
                <c:pt idx="26">
                  <c:v>-2.9105853226611096</c:v>
                </c:pt>
                <c:pt idx="27">
                  <c:v>-2.8993163188980589</c:v>
                </c:pt>
                <c:pt idx="28">
                  <c:v>-2.8877433935412538</c:v>
                </c:pt>
                <c:pt idx="29">
                  <c:v>-2.8758428903215165</c:v>
                </c:pt>
                <c:pt idx="30">
                  <c:v>-2.8635974516435168</c:v>
                </c:pt>
                <c:pt idx="31">
                  <c:v>-2.8514295105496532</c:v>
                </c:pt>
                <c:pt idx="32">
                  <c:v>-2.8395618068190358</c:v>
                </c:pt>
                <c:pt idx="33">
                  <c:v>-2.8279602829676338</c:v>
                </c:pt>
                <c:pt idx="34">
                  <c:v>-2.8165936437790813</c:v>
                </c:pt>
                <c:pt idx="35">
                  <c:v>-2.8049217553998993</c:v>
                </c:pt>
                <c:pt idx="36">
                  <c:v>-2.7932545909416104</c:v>
                </c:pt>
                <c:pt idx="37">
                  <c:v>-2.7817359981132261</c:v>
                </c:pt>
                <c:pt idx="38">
                  <c:v>-2.7703419360888675</c:v>
                </c:pt>
                <c:pt idx="39">
                  <c:v>-2.759049510567626</c:v>
                </c:pt>
                <c:pt idx="40">
                  <c:v>-2.7478367534345058</c:v>
                </c:pt>
                <c:pt idx="41">
                  <c:v>-2.7366824208990823</c:v>
                </c:pt>
                <c:pt idx="42">
                  <c:v>-2.7255658053810974</c:v>
                </c:pt>
                <c:pt idx="43">
                  <c:v>-2.7144665580641378</c:v>
                </c:pt>
                <c:pt idx="44">
                  <c:v>-2.703364516202758</c:v>
                </c:pt>
                <c:pt idx="45">
                  <c:v>-2.6922395366295819</c:v>
                </c:pt>
                <c:pt idx="46">
                  <c:v>-2.6810713272735454</c:v>
                </c:pt>
                <c:pt idx="47">
                  <c:v>-2.6737651362716019</c:v>
                </c:pt>
                <c:pt idx="48">
                  <c:v>-2.6623379850776736</c:v>
                </c:pt>
                <c:pt idx="49">
                  <c:v>-2.6508019923309676</c:v>
                </c:pt>
                <c:pt idx="50">
                  <c:v>-2.6391341667981525</c:v>
                </c:pt>
                <c:pt idx="51">
                  <c:v>-2.6273103935836679</c:v>
                </c:pt>
                <c:pt idx="52">
                  <c:v>-2.6153051900626081</c:v>
                </c:pt>
                <c:pt idx="53">
                  <c:v>-2.6030914338727724</c:v>
                </c:pt>
                <c:pt idx="54">
                  <c:v>-2.5906400553533007</c:v>
                </c:pt>
                <c:pt idx="55">
                  <c:v>-2.5831133033058009</c:v>
                </c:pt>
                <c:pt idx="56">
                  <c:v>-2.5703056586333171</c:v>
                </c:pt>
                <c:pt idx="57">
                  <c:v>-2.5571646723152175</c:v>
                </c:pt>
                <c:pt idx="58">
                  <c:v>-2.5436501850812978</c:v>
                </c:pt>
                <c:pt idx="59">
                  <c:v>-2.5297177519262117</c:v>
                </c:pt>
                <c:pt idx="60">
                  <c:v>-2.5153178830677727</c:v>
                </c:pt>
                <c:pt idx="61">
                  <c:v>-2.5003320364642025</c:v>
                </c:pt>
                <c:pt idx="62">
                  <c:v>-2.4845790496863001</c:v>
                </c:pt>
                <c:pt idx="63">
                  <c:v>-2.4681637162470231</c:v>
                </c:pt>
                <c:pt idx="64">
                  <c:v>-2.4510051261922539</c:v>
                </c:pt>
                <c:pt idx="65">
                  <c:v>-2.4330104046913275</c:v>
                </c:pt>
                <c:pt idx="66">
                  <c:v>-2.4140722338912814</c:v>
                </c:pt>
                <c:pt idx="67">
                  <c:v>-2.3940657516130992</c:v>
                </c:pt>
                <c:pt idx="68">
                  <c:v>-2.3728446385484352</c:v>
                </c:pt>
                <c:pt idx="69">
                  <c:v>-2.3502361402285321</c:v>
                </c:pt>
                <c:pt idx="70">
                  <c:v>-2.3260346785457973</c:v>
                </c:pt>
                <c:pt idx="71">
                  <c:v>-2.2999935832656924</c:v>
                </c:pt>
                <c:pt idx="72">
                  <c:v>-2.2721603361126483</c:v>
                </c:pt>
                <c:pt idx="73">
                  <c:v>-2.2422543103803561</c:v>
                </c:pt>
                <c:pt idx="74">
                  <c:v>-2.209470487059344</c:v>
                </c:pt>
                <c:pt idx="75">
                  <c:v>-2.1732578337761028</c:v>
                </c:pt>
                <c:pt idx="76">
                  <c:v>-2.133252180224614</c:v>
                </c:pt>
                <c:pt idx="77">
                  <c:v>-2.0920527753069091</c:v>
                </c:pt>
                <c:pt idx="78">
                  <c:v>-2.0504093550174067</c:v>
                </c:pt>
                <c:pt idx="79">
                  <c:v>-2.0091608714088824</c:v>
                </c:pt>
                <c:pt idx="80">
                  <c:v>-1.9691934871467209</c:v>
                </c:pt>
                <c:pt idx="81">
                  <c:v>-1.9288689396822525</c:v>
                </c:pt>
                <c:pt idx="82">
                  <c:v>-1.8882037824683369</c:v>
                </c:pt>
                <c:pt idx="83">
                  <c:v>-1.8472175801709816</c:v>
                </c:pt>
                <c:pt idx="84">
                  <c:v>-1.8059328880820482</c:v>
                </c:pt>
                <c:pt idx="85">
                  <c:v>-1.7643751872728419</c:v>
                </c:pt>
                <c:pt idx="86">
                  <c:v>-1.7225727699590174</c:v>
                </c:pt>
                <c:pt idx="87">
                  <c:v>-1.6805565787911207</c:v>
                </c:pt>
                <c:pt idx="88">
                  <c:v>-1.6383599950089081</c:v>
                </c:pt>
                <c:pt idx="89">
                  <c:v>-1.5960185804427161</c:v>
                </c:pt>
                <c:pt idx="90">
                  <c:v>-1.5707963267948961</c:v>
                </c:pt>
                <c:pt idx="91">
                  <c:v>-1.5455740731470775</c:v>
                </c:pt>
                <c:pt idx="92">
                  <c:v>-1.5032326585808848</c:v>
                </c:pt>
                <c:pt idx="93">
                  <c:v>-1.4610360747986726</c:v>
                </c:pt>
                <c:pt idx="94">
                  <c:v>-1.4190198836307746</c:v>
                </c:pt>
                <c:pt idx="95">
                  <c:v>-1.377217466316951</c:v>
                </c:pt>
                <c:pt idx="96">
                  <c:v>-1.3356597655077447</c:v>
                </c:pt>
                <c:pt idx="97">
                  <c:v>-1.2943750734188111</c:v>
                </c:pt>
                <c:pt idx="98">
                  <c:v>-1.2533888711214576</c:v>
                </c:pt>
                <c:pt idx="99">
                  <c:v>-1.2127237139075397</c:v>
                </c:pt>
                <c:pt idx="100">
                  <c:v>-1.1723991664430717</c:v>
                </c:pt>
                <c:pt idx="101">
                  <c:v>-1.1324317821809118</c:v>
                </c:pt>
                <c:pt idx="102">
                  <c:v>-1.0911832985723851</c:v>
                </c:pt>
                <c:pt idx="103">
                  <c:v>-1.0495398782828831</c:v>
                </c:pt>
                <c:pt idx="104">
                  <c:v>-1.008340473365178</c:v>
                </c:pt>
                <c:pt idx="105">
                  <c:v>-0.96833481981368907</c:v>
                </c:pt>
                <c:pt idx="106">
                  <c:v>-0.93212216653044833</c:v>
                </c:pt>
                <c:pt idx="107">
                  <c:v>-0.89933834320943651</c:v>
                </c:pt>
                <c:pt idx="108">
                  <c:v>-0.869432317477144</c:v>
                </c:pt>
                <c:pt idx="109">
                  <c:v>-0.84159907032410053</c:v>
                </c:pt>
                <c:pt idx="110">
                  <c:v>-0.8155579750439953</c:v>
                </c:pt>
                <c:pt idx="111">
                  <c:v>-0.79135651336126112</c:v>
                </c:pt>
                <c:pt idx="112">
                  <c:v>-0.7687480150413577</c:v>
                </c:pt>
                <c:pt idx="113">
                  <c:v>-0.7475269019766938</c:v>
                </c:pt>
                <c:pt idx="114">
                  <c:v>-0.72752041969851211</c:v>
                </c:pt>
                <c:pt idx="115">
                  <c:v>-0.70858224889846522</c:v>
                </c:pt>
                <c:pt idx="116">
                  <c:v>-0.69058752739753915</c:v>
                </c:pt>
                <c:pt idx="117">
                  <c:v>-0.67342893734276976</c:v>
                </c:pt>
                <c:pt idx="118">
                  <c:v>-0.65701360390349239</c:v>
                </c:pt>
                <c:pt idx="119">
                  <c:v>-0.64126061712559057</c:v>
                </c:pt>
                <c:pt idx="120">
                  <c:v>-0.62627477052202063</c:v>
                </c:pt>
                <c:pt idx="121">
                  <c:v>-0.61187490166358105</c:v>
                </c:pt>
                <c:pt idx="122">
                  <c:v>-0.59794246850849486</c:v>
                </c:pt>
                <c:pt idx="123">
                  <c:v>-0.58442798127457507</c:v>
                </c:pt>
                <c:pt idx="124">
                  <c:v>-0.57128699495647584</c:v>
                </c:pt>
                <c:pt idx="125">
                  <c:v>-0.55847935028399165</c:v>
                </c:pt>
                <c:pt idx="126">
                  <c:v>-0.55095259823649212</c:v>
                </c:pt>
                <c:pt idx="127">
                  <c:v>-0.53850121971701992</c:v>
                </c:pt>
                <c:pt idx="128">
                  <c:v>-0.52628746352718547</c:v>
                </c:pt>
                <c:pt idx="129">
                  <c:v>-0.51428226000612487</c:v>
                </c:pt>
                <c:pt idx="130">
                  <c:v>-0.50245848679163985</c:v>
                </c:pt>
                <c:pt idx="131">
                  <c:v>-0.49079066125882476</c:v>
                </c:pt>
                <c:pt idx="132">
                  <c:v>-0.47925466851211823</c:v>
                </c:pt>
                <c:pt idx="133">
                  <c:v>-0.46782751731819094</c:v>
                </c:pt>
                <c:pt idx="134">
                  <c:v>-0.46052132631624759</c:v>
                </c:pt>
                <c:pt idx="135">
                  <c:v>-0.44935311696021113</c:v>
                </c:pt>
                <c:pt idx="136">
                  <c:v>-0.43822813738703481</c:v>
                </c:pt>
                <c:pt idx="137">
                  <c:v>-0.4271260955256555</c:v>
                </c:pt>
                <c:pt idx="138">
                  <c:v>-0.41602684820869529</c:v>
                </c:pt>
                <c:pt idx="139">
                  <c:v>-0.40491023269071097</c:v>
                </c:pt>
                <c:pt idx="140">
                  <c:v>-0.39375590015528711</c:v>
                </c:pt>
                <c:pt idx="141">
                  <c:v>-0.38254314302216719</c:v>
                </c:pt>
                <c:pt idx="142">
                  <c:v>-0.37125071750092642</c:v>
                </c:pt>
                <c:pt idx="143">
                  <c:v>-0.3598566554765672</c:v>
                </c:pt>
                <c:pt idx="144">
                  <c:v>-0.34833806264818273</c:v>
                </c:pt>
                <c:pt idx="145">
                  <c:v>-0.33667089818989371</c:v>
                </c:pt>
                <c:pt idx="146">
                  <c:v>-0.32499900981071178</c:v>
                </c:pt>
                <c:pt idx="147">
                  <c:v>-0.31363237062215926</c:v>
                </c:pt>
                <c:pt idx="148">
                  <c:v>-0.30203084677075698</c:v>
                </c:pt>
                <c:pt idx="149">
                  <c:v>-0.29016314304014007</c:v>
                </c:pt>
                <c:pt idx="150">
                  <c:v>-0.27799520194627614</c:v>
                </c:pt>
                <c:pt idx="151">
                  <c:v>-0.2657497632682766</c:v>
                </c:pt>
                <c:pt idx="152">
                  <c:v>-0.25384926004853947</c:v>
                </c:pt>
                <c:pt idx="153">
                  <c:v>-0.24227633469173393</c:v>
                </c:pt>
                <c:pt idx="154">
                  <c:v>-0.23100733092868284</c:v>
                </c:pt>
                <c:pt idx="155">
                  <c:v>-0.22002039413405258</c:v>
                </c:pt>
                <c:pt idx="156">
                  <c:v>-0.20929528833128927</c:v>
                </c:pt>
                <c:pt idx="157">
                  <c:v>-0.19881323346986593</c:v>
                </c:pt>
                <c:pt idx="158">
                  <c:v>-0.18855676042092318</c:v>
                </c:pt>
                <c:pt idx="159">
                  <c:v>-0.1785095814787277</c:v>
                </c:pt>
                <c:pt idx="160">
                  <c:v>-0.16865647445123327</c:v>
                </c:pt>
                <c:pt idx="161">
                  <c:v>-0.15898317867422562</c:v>
                </c:pt>
                <c:pt idx="162">
                  <c:v>-0.14947628645853636</c:v>
                </c:pt>
                <c:pt idx="163">
                  <c:v>-0.14513814430213712</c:v>
                </c:pt>
                <c:pt idx="164">
                  <c:v>-0.13590806244431106</c:v>
                </c:pt>
                <c:pt idx="165">
                  <c:v>-0.12680870074753425</c:v>
                </c:pt>
                <c:pt idx="166">
                  <c:v>-0.11782936239001558</c:v>
                </c:pt>
                <c:pt idx="167">
                  <c:v>-0.10895986742069937</c:v>
                </c:pt>
                <c:pt idx="168">
                  <c:v>-0.10019050151067643</c:v>
                </c:pt>
                <c:pt idx="169">
                  <c:v>-9.151196721632035E-2</c:v>
                </c:pt>
                <c:pt idx="170">
                  <c:v>-8.2915339885036993E-2</c:v>
                </c:pt>
                <c:pt idx="171">
                  <c:v>-7.4392026639379924E-2</c:v>
                </c:pt>
                <c:pt idx="172">
                  <c:v>-6.5933728247783846E-2</c:v>
                </c:pt>
                <c:pt idx="173">
                  <c:v>-5.753240351073495E-2</c:v>
                </c:pt>
                <c:pt idx="174">
                  <c:v>-4.9180235828655681E-2</c:v>
                </c:pt>
                <c:pt idx="175">
                  <c:v>-4.086960166016268E-2</c:v>
                </c:pt>
                <c:pt idx="176">
                  <c:v>-3.2593040561309558E-2</c:v>
                </c:pt>
                <c:pt idx="177">
                  <c:v>-2.4343226608231489E-2</c:v>
                </c:pt>
                <c:pt idx="178">
                  <c:v>-1.6112940863530004E-2</c:v>
                </c:pt>
                <c:pt idx="179">
                  <c:v>-7.8980133546017097E-3</c:v>
                </c:pt>
                <c:pt idx="180">
                  <c:v>0</c:v>
                </c:pt>
                <c:pt idx="181">
                  <c:v>7.898013354601616E-3</c:v>
                </c:pt>
                <c:pt idx="182">
                  <c:v>1.6112940863530004E-2</c:v>
                </c:pt>
                <c:pt idx="183">
                  <c:v>2.4343226608231568E-2</c:v>
                </c:pt>
                <c:pt idx="184">
                  <c:v>3.2593040561309648E-2</c:v>
                </c:pt>
                <c:pt idx="185">
                  <c:v>4.0869601660162701E-2</c:v>
                </c:pt>
                <c:pt idx="186">
                  <c:v>4.9180235828655758E-2</c:v>
                </c:pt>
                <c:pt idx="187">
                  <c:v>5.753240351073477E-2</c:v>
                </c:pt>
                <c:pt idx="188">
                  <c:v>6.5933728247784013E-2</c:v>
                </c:pt>
                <c:pt idx="189">
                  <c:v>7.439202663938016E-2</c:v>
                </c:pt>
                <c:pt idx="190">
                  <c:v>8.2915339885037187E-2</c:v>
                </c:pt>
                <c:pt idx="191">
                  <c:v>9.1511967216320267E-2</c:v>
                </c:pt>
                <c:pt idx="192">
                  <c:v>0.10019050151067646</c:v>
                </c:pt>
                <c:pt idx="193">
                  <c:v>0.10895986742069949</c:v>
                </c:pt>
                <c:pt idx="194">
                  <c:v>0.11782936239001558</c:v>
                </c:pt>
                <c:pt idx="195">
                  <c:v>0.12680870074753439</c:v>
                </c:pt>
                <c:pt idx="196">
                  <c:v>0.13590806244431114</c:v>
                </c:pt>
                <c:pt idx="197">
                  <c:v>0.14513814430213715</c:v>
                </c:pt>
                <c:pt idx="198">
                  <c:v>0.14947628645853611</c:v>
                </c:pt>
                <c:pt idx="199">
                  <c:v>0.15898317867422584</c:v>
                </c:pt>
                <c:pt idx="200">
                  <c:v>0.16865647445123377</c:v>
                </c:pt>
                <c:pt idx="201">
                  <c:v>0.17850958147872759</c:v>
                </c:pt>
                <c:pt idx="202">
                  <c:v>0.18855676042092284</c:v>
                </c:pt>
                <c:pt idx="203">
                  <c:v>0.19881323346986568</c:v>
                </c:pt>
                <c:pt idx="204">
                  <c:v>0.20929528833128885</c:v>
                </c:pt>
                <c:pt idx="205">
                  <c:v>0.22002039413405258</c:v>
                </c:pt>
                <c:pt idx="206">
                  <c:v>0.23100733092868342</c:v>
                </c:pt>
                <c:pt idx="207">
                  <c:v>0.24227633469173382</c:v>
                </c:pt>
                <c:pt idx="208">
                  <c:v>0.25384926004853925</c:v>
                </c:pt>
                <c:pt idx="209">
                  <c:v>0.26574976326827643</c:v>
                </c:pt>
                <c:pt idx="210">
                  <c:v>0.27799520194627675</c:v>
                </c:pt>
                <c:pt idx="211">
                  <c:v>0.29016314304014007</c:v>
                </c:pt>
                <c:pt idx="212">
                  <c:v>0.30203084677075726</c:v>
                </c:pt>
                <c:pt idx="213">
                  <c:v>0.31363237062215954</c:v>
                </c:pt>
                <c:pt idx="214">
                  <c:v>0.32499900981071211</c:v>
                </c:pt>
                <c:pt idx="215">
                  <c:v>0.33667089818989371</c:v>
                </c:pt>
                <c:pt idx="216">
                  <c:v>0.3483380626481829</c:v>
                </c:pt>
                <c:pt idx="217">
                  <c:v>0.35985665547656748</c:v>
                </c:pt>
                <c:pt idx="218">
                  <c:v>0.37125071750092592</c:v>
                </c:pt>
                <c:pt idx="219">
                  <c:v>0.38254314302216708</c:v>
                </c:pt>
                <c:pt idx="220">
                  <c:v>0.39375590015528728</c:v>
                </c:pt>
                <c:pt idx="221">
                  <c:v>0.40491023269071152</c:v>
                </c:pt>
                <c:pt idx="222">
                  <c:v>0.41602684820869545</c:v>
                </c:pt>
                <c:pt idx="223">
                  <c:v>0.42712609552565528</c:v>
                </c:pt>
                <c:pt idx="224">
                  <c:v>0.43822813738703476</c:v>
                </c:pt>
                <c:pt idx="225">
                  <c:v>0.44935311696021091</c:v>
                </c:pt>
                <c:pt idx="226">
                  <c:v>0.46052132631624759</c:v>
                </c:pt>
                <c:pt idx="227">
                  <c:v>0.46782751731819067</c:v>
                </c:pt>
                <c:pt idx="228">
                  <c:v>0.47925466851211823</c:v>
                </c:pt>
                <c:pt idx="229">
                  <c:v>0.4907906612588247</c:v>
                </c:pt>
                <c:pt idx="230">
                  <c:v>0.50245848679163985</c:v>
                </c:pt>
                <c:pt idx="231">
                  <c:v>0.51428226000612476</c:v>
                </c:pt>
                <c:pt idx="232">
                  <c:v>0.52628746352718592</c:v>
                </c:pt>
                <c:pt idx="233">
                  <c:v>0.53850121971702058</c:v>
                </c:pt>
                <c:pt idx="234">
                  <c:v>0.5509525982364919</c:v>
                </c:pt>
                <c:pt idx="235">
                  <c:v>0.55847935028399176</c:v>
                </c:pt>
                <c:pt idx="236">
                  <c:v>0.57128699495647617</c:v>
                </c:pt>
                <c:pt idx="237">
                  <c:v>0.58442798127457563</c:v>
                </c:pt>
                <c:pt idx="238">
                  <c:v>0.59794246850849486</c:v>
                </c:pt>
                <c:pt idx="239">
                  <c:v>0.61187490166358127</c:v>
                </c:pt>
                <c:pt idx="240">
                  <c:v>0.62627477052201985</c:v>
                </c:pt>
                <c:pt idx="241">
                  <c:v>0.6412606171255909</c:v>
                </c:pt>
                <c:pt idx="242">
                  <c:v>0.65701360390349273</c:v>
                </c:pt>
                <c:pt idx="243">
                  <c:v>0.67342893734276987</c:v>
                </c:pt>
                <c:pt idx="244">
                  <c:v>0.6905875273975387</c:v>
                </c:pt>
                <c:pt idx="245">
                  <c:v>0.70858224889846555</c:v>
                </c:pt>
                <c:pt idx="246">
                  <c:v>0.72752041969851267</c:v>
                </c:pt>
                <c:pt idx="247">
                  <c:v>0.74752690197669314</c:v>
                </c:pt>
                <c:pt idx="248">
                  <c:v>0.7687480150413577</c:v>
                </c:pt>
                <c:pt idx="249">
                  <c:v>0.791356513361261</c:v>
                </c:pt>
                <c:pt idx="250">
                  <c:v>0.81555797504399596</c:v>
                </c:pt>
                <c:pt idx="251">
                  <c:v>0.84159907032410108</c:v>
                </c:pt>
                <c:pt idx="252">
                  <c:v>0.86943231747714411</c:v>
                </c:pt>
                <c:pt idx="253">
                  <c:v>0.8993383432094364</c:v>
                </c:pt>
                <c:pt idx="254">
                  <c:v>0.93212216653044877</c:v>
                </c:pt>
                <c:pt idx="255">
                  <c:v>0.96833481981369007</c:v>
                </c:pt>
                <c:pt idx="256">
                  <c:v>1.0083404733651784</c:v>
                </c:pt>
                <c:pt idx="257">
                  <c:v>1.0495398782828833</c:v>
                </c:pt>
                <c:pt idx="258">
                  <c:v>1.0911832985723839</c:v>
                </c:pt>
                <c:pt idx="259">
                  <c:v>1.1324317821809124</c:v>
                </c:pt>
                <c:pt idx="260">
                  <c:v>1.172399166443072</c:v>
                </c:pt>
                <c:pt idx="261">
                  <c:v>1.21272371390754</c:v>
                </c:pt>
                <c:pt idx="262">
                  <c:v>1.2533888711214562</c:v>
                </c:pt>
                <c:pt idx="263">
                  <c:v>1.2943750734188113</c:v>
                </c:pt>
                <c:pt idx="264">
                  <c:v>1.3356597655077451</c:v>
                </c:pt>
                <c:pt idx="265">
                  <c:v>1.3772174663169516</c:v>
                </c:pt>
                <c:pt idx="266">
                  <c:v>1.4190198836307752</c:v>
                </c:pt>
                <c:pt idx="267">
                  <c:v>1.4610360747986719</c:v>
                </c:pt>
                <c:pt idx="268">
                  <c:v>1.5032326585808855</c:v>
                </c:pt>
                <c:pt idx="269">
                  <c:v>1.5455740731470775</c:v>
                </c:pt>
                <c:pt idx="270">
                  <c:v>1.5707963267948961</c:v>
                </c:pt>
                <c:pt idx="271">
                  <c:v>1.5960185804427154</c:v>
                </c:pt>
                <c:pt idx="272">
                  <c:v>1.6383599950089087</c:v>
                </c:pt>
                <c:pt idx="273">
                  <c:v>1.6805565787911214</c:v>
                </c:pt>
                <c:pt idx="274">
                  <c:v>1.722572769959019</c:v>
                </c:pt>
                <c:pt idx="275">
                  <c:v>1.7643751872728419</c:v>
                </c:pt>
                <c:pt idx="276">
                  <c:v>1.805932888082048</c:v>
                </c:pt>
                <c:pt idx="277">
                  <c:v>1.8472175801709829</c:v>
                </c:pt>
                <c:pt idx="278">
                  <c:v>1.8882037824683371</c:v>
                </c:pt>
                <c:pt idx="279">
                  <c:v>1.9288689396822527</c:v>
                </c:pt>
                <c:pt idx="280">
                  <c:v>1.96919348714672</c:v>
                </c:pt>
                <c:pt idx="281">
                  <c:v>2.0091608714088824</c:v>
                </c:pt>
                <c:pt idx="282">
                  <c:v>2.0504093550174076</c:v>
                </c:pt>
                <c:pt idx="283">
                  <c:v>2.09205277530691</c:v>
                </c:pt>
                <c:pt idx="284">
                  <c:v>2.1332521802246145</c:v>
                </c:pt>
                <c:pt idx="285">
                  <c:v>2.1732578337761037</c:v>
                </c:pt>
                <c:pt idx="286">
                  <c:v>2.2094704870593445</c:v>
                </c:pt>
                <c:pt idx="287">
                  <c:v>2.2422543103803561</c:v>
                </c:pt>
                <c:pt idx="288">
                  <c:v>2.2721603361126483</c:v>
                </c:pt>
                <c:pt idx="289">
                  <c:v>2.2999935832656919</c:v>
                </c:pt>
                <c:pt idx="290">
                  <c:v>2.326034678545799</c:v>
                </c:pt>
                <c:pt idx="291">
                  <c:v>2.3502361402285321</c:v>
                </c:pt>
                <c:pt idx="292">
                  <c:v>2.3728446385484352</c:v>
                </c:pt>
                <c:pt idx="293">
                  <c:v>2.3940657516131001</c:v>
                </c:pt>
                <c:pt idx="294">
                  <c:v>2.4140722338912806</c:v>
                </c:pt>
                <c:pt idx="295">
                  <c:v>2.4330104046913288</c:v>
                </c:pt>
                <c:pt idx="296">
                  <c:v>2.4510051261922539</c:v>
                </c:pt>
                <c:pt idx="297">
                  <c:v>2.4681637162470231</c:v>
                </c:pt>
                <c:pt idx="298">
                  <c:v>2.4845790496863001</c:v>
                </c:pt>
                <c:pt idx="299">
                  <c:v>2.500332036464203</c:v>
                </c:pt>
                <c:pt idx="300">
                  <c:v>2.5153178830677727</c:v>
                </c:pt>
                <c:pt idx="301">
                  <c:v>2.5297177519262117</c:v>
                </c:pt>
                <c:pt idx="302">
                  <c:v>2.5436501850812978</c:v>
                </c:pt>
                <c:pt idx="303">
                  <c:v>2.5571646723152179</c:v>
                </c:pt>
                <c:pt idx="304">
                  <c:v>2.5703056586333175</c:v>
                </c:pt>
                <c:pt idx="305">
                  <c:v>2.5831133033058014</c:v>
                </c:pt>
                <c:pt idx="306">
                  <c:v>2.5906400553533011</c:v>
                </c:pt>
                <c:pt idx="307">
                  <c:v>2.6030914338727729</c:v>
                </c:pt>
                <c:pt idx="308">
                  <c:v>2.6153051900626076</c:v>
                </c:pt>
                <c:pt idx="309">
                  <c:v>2.6273103935836684</c:v>
                </c:pt>
                <c:pt idx="310">
                  <c:v>2.6391341667981525</c:v>
                </c:pt>
                <c:pt idx="311">
                  <c:v>2.6508019923309676</c:v>
                </c:pt>
                <c:pt idx="312">
                  <c:v>2.6623379850776736</c:v>
                </c:pt>
                <c:pt idx="313">
                  <c:v>2.6737651362716024</c:v>
                </c:pt>
                <c:pt idx="314">
                  <c:v>2.6810713272735454</c:v>
                </c:pt>
                <c:pt idx="315">
                  <c:v>2.6922395366295815</c:v>
                </c:pt>
                <c:pt idx="316">
                  <c:v>2.7033645162027584</c:v>
                </c:pt>
                <c:pt idx="317">
                  <c:v>2.7144665580641383</c:v>
                </c:pt>
                <c:pt idx="318">
                  <c:v>2.7255658053810983</c:v>
                </c:pt>
                <c:pt idx="319">
                  <c:v>2.7366824208990823</c:v>
                </c:pt>
                <c:pt idx="320">
                  <c:v>2.7478367534345058</c:v>
                </c:pt>
                <c:pt idx="321">
                  <c:v>2.7590495105676256</c:v>
                </c:pt>
                <c:pt idx="322">
                  <c:v>2.770341936088867</c:v>
                </c:pt>
                <c:pt idx="323">
                  <c:v>2.7817359981132261</c:v>
                </c:pt>
                <c:pt idx="324">
                  <c:v>2.7932545909416104</c:v>
                </c:pt>
                <c:pt idx="325">
                  <c:v>2.8049217553998989</c:v>
                </c:pt>
                <c:pt idx="326">
                  <c:v>2.8165936437790813</c:v>
                </c:pt>
                <c:pt idx="327">
                  <c:v>2.8279602829676347</c:v>
                </c:pt>
                <c:pt idx="328">
                  <c:v>2.8395618068190358</c:v>
                </c:pt>
                <c:pt idx="329">
                  <c:v>2.8514295105496532</c:v>
                </c:pt>
                <c:pt idx="330">
                  <c:v>2.8635974516435168</c:v>
                </c:pt>
                <c:pt idx="331">
                  <c:v>2.875842890321517</c:v>
                </c:pt>
                <c:pt idx="332">
                  <c:v>2.8877433935412538</c:v>
                </c:pt>
                <c:pt idx="333">
                  <c:v>2.8993163188980593</c:v>
                </c:pt>
                <c:pt idx="334">
                  <c:v>2.9105853226611096</c:v>
                </c:pt>
                <c:pt idx="335">
                  <c:v>2.9215722594557412</c:v>
                </c:pt>
                <c:pt idx="336">
                  <c:v>2.932297365258504</c:v>
                </c:pt>
                <c:pt idx="337">
                  <c:v>2.9427794201199271</c:v>
                </c:pt>
                <c:pt idx="338">
                  <c:v>2.9530358931688698</c:v>
                </c:pt>
                <c:pt idx="339">
                  <c:v>2.9630830721110653</c:v>
                </c:pt>
                <c:pt idx="340">
                  <c:v>2.9729361791385602</c:v>
                </c:pt>
                <c:pt idx="341">
                  <c:v>2.9826094749155674</c:v>
                </c:pt>
                <c:pt idx="342">
                  <c:v>2.9921163671312572</c:v>
                </c:pt>
                <c:pt idx="343">
                  <c:v>2.9964545092876556</c:v>
                </c:pt>
                <c:pt idx="344">
                  <c:v>3.0056845911454819</c:v>
                </c:pt>
                <c:pt idx="345">
                  <c:v>3.0147839528422589</c:v>
                </c:pt>
                <c:pt idx="346">
                  <c:v>3.0237632911997774</c:v>
                </c:pt>
                <c:pt idx="347">
                  <c:v>3.0326327861690938</c:v>
                </c:pt>
                <c:pt idx="348">
                  <c:v>3.0414021520791166</c:v>
                </c:pt>
                <c:pt idx="349">
                  <c:v>3.0500806863734731</c:v>
                </c:pt>
                <c:pt idx="350">
                  <c:v>3.0586773137047563</c:v>
                </c:pt>
                <c:pt idx="351">
                  <c:v>3.0672006269504135</c:v>
                </c:pt>
                <c:pt idx="352">
                  <c:v>3.075658925342009</c:v>
                </c:pt>
                <c:pt idx="353">
                  <c:v>3.0840602500790579</c:v>
                </c:pt>
                <c:pt idx="354">
                  <c:v>3.0924124177611372</c:v>
                </c:pt>
                <c:pt idx="355">
                  <c:v>3.1007230519296303</c:v>
                </c:pt>
                <c:pt idx="356">
                  <c:v>3.1089996130284834</c:v>
                </c:pt>
                <c:pt idx="357">
                  <c:v>3.1172494269815614</c:v>
                </c:pt>
                <c:pt idx="358">
                  <c:v>3.1254797127262632</c:v>
                </c:pt>
                <c:pt idx="359">
                  <c:v>3.1336946402351913</c:v>
                </c:pt>
                <c:pt idx="360">
                  <c:v>3.1415926535897931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-3.1066860685499065</c:v>
                </c:pt>
                <c:pt idx="3">
                  <c:v>-3.0892327760299634</c:v>
                </c:pt>
                <c:pt idx="4">
                  <c:v>-3.0717794835100198</c:v>
                </c:pt>
                <c:pt idx="5">
                  <c:v>-3.0543261909900767</c:v>
                </c:pt>
                <c:pt idx="6">
                  <c:v>-3.0368728984701332</c:v>
                </c:pt>
                <c:pt idx="7">
                  <c:v>-3.0194196059501901</c:v>
                </c:pt>
                <c:pt idx="8">
                  <c:v>-3.0019663134302466</c:v>
                </c:pt>
                <c:pt idx="9">
                  <c:v>-2.9845130209103035</c:v>
                </c:pt>
                <c:pt idx="10">
                  <c:v>-2.9670597283903604</c:v>
                </c:pt>
                <c:pt idx="11">
                  <c:v>-2.9496064358704168</c:v>
                </c:pt>
                <c:pt idx="12">
                  <c:v>-2.9321531433504737</c:v>
                </c:pt>
                <c:pt idx="13">
                  <c:v>-2.9146998508305302</c:v>
                </c:pt>
                <c:pt idx="14">
                  <c:v>-2.8972465583105871</c:v>
                </c:pt>
                <c:pt idx="15">
                  <c:v>-2.8797932657906435</c:v>
                </c:pt>
                <c:pt idx="16">
                  <c:v>-2.8623399732707004</c:v>
                </c:pt>
                <c:pt idx="17">
                  <c:v>-2.8448866807507569</c:v>
                </c:pt>
                <c:pt idx="18">
                  <c:v>-2.8274333882308138</c:v>
                </c:pt>
                <c:pt idx="19">
                  <c:v>-2.8099800957108707</c:v>
                </c:pt>
                <c:pt idx="20">
                  <c:v>-2.7925268031909272</c:v>
                </c:pt>
                <c:pt idx="21">
                  <c:v>-2.7750735106709841</c:v>
                </c:pt>
                <c:pt idx="22">
                  <c:v>-2.7576202181510405</c:v>
                </c:pt>
                <c:pt idx="23">
                  <c:v>-2.7401669256310974</c:v>
                </c:pt>
                <c:pt idx="24">
                  <c:v>-2.7227136331111539</c:v>
                </c:pt>
                <c:pt idx="25">
                  <c:v>-2.7052603405912108</c:v>
                </c:pt>
                <c:pt idx="26">
                  <c:v>-2.6878070480712672</c:v>
                </c:pt>
                <c:pt idx="27">
                  <c:v>-2.6703537555513241</c:v>
                </c:pt>
                <c:pt idx="28">
                  <c:v>-2.6529004630313811</c:v>
                </c:pt>
                <c:pt idx="29">
                  <c:v>-2.6354471705114375</c:v>
                </c:pt>
                <c:pt idx="30">
                  <c:v>-2.6179938779914944</c:v>
                </c:pt>
                <c:pt idx="31">
                  <c:v>-2.6005405854715509</c:v>
                </c:pt>
                <c:pt idx="32">
                  <c:v>-2.5830872929516078</c:v>
                </c:pt>
                <c:pt idx="33">
                  <c:v>-2.5656340004316642</c:v>
                </c:pt>
                <c:pt idx="34">
                  <c:v>-2.5481807079117211</c:v>
                </c:pt>
                <c:pt idx="35">
                  <c:v>-2.5307274153917776</c:v>
                </c:pt>
                <c:pt idx="36">
                  <c:v>-2.5132741228718345</c:v>
                </c:pt>
                <c:pt idx="37">
                  <c:v>-2.4958208303518914</c:v>
                </c:pt>
                <c:pt idx="38">
                  <c:v>-2.4783675378319479</c:v>
                </c:pt>
                <c:pt idx="39">
                  <c:v>-2.4609142453120048</c:v>
                </c:pt>
                <c:pt idx="40">
                  <c:v>-2.4434609527920612</c:v>
                </c:pt>
                <c:pt idx="41">
                  <c:v>-2.4260076602721181</c:v>
                </c:pt>
                <c:pt idx="42">
                  <c:v>-2.4085543677521746</c:v>
                </c:pt>
                <c:pt idx="43">
                  <c:v>-2.3911010752322315</c:v>
                </c:pt>
                <c:pt idx="44">
                  <c:v>-2.3736477827122879</c:v>
                </c:pt>
                <c:pt idx="45">
                  <c:v>-2.3561944901923448</c:v>
                </c:pt>
                <c:pt idx="46">
                  <c:v>-2.3387411976724017</c:v>
                </c:pt>
                <c:pt idx="47">
                  <c:v>-2.3212879051524582</c:v>
                </c:pt>
                <c:pt idx="48">
                  <c:v>-2.3038346126325147</c:v>
                </c:pt>
                <c:pt idx="49">
                  <c:v>-2.2863813201125716</c:v>
                </c:pt>
                <c:pt idx="50">
                  <c:v>-2.2689280275926285</c:v>
                </c:pt>
                <c:pt idx="51">
                  <c:v>-2.2514747350726849</c:v>
                </c:pt>
                <c:pt idx="52">
                  <c:v>-2.2340214425527418</c:v>
                </c:pt>
                <c:pt idx="53">
                  <c:v>-2.2165681500327983</c:v>
                </c:pt>
                <c:pt idx="54">
                  <c:v>-2.1991148575128552</c:v>
                </c:pt>
                <c:pt idx="55">
                  <c:v>-2.1816615649929121</c:v>
                </c:pt>
                <c:pt idx="56">
                  <c:v>-2.1642082724729685</c:v>
                </c:pt>
                <c:pt idx="57">
                  <c:v>-2.146754979953025</c:v>
                </c:pt>
                <c:pt idx="58">
                  <c:v>-2.1293016874330819</c:v>
                </c:pt>
                <c:pt idx="59">
                  <c:v>-2.1118483949131388</c:v>
                </c:pt>
                <c:pt idx="60">
                  <c:v>-2.0943951023931957</c:v>
                </c:pt>
                <c:pt idx="61">
                  <c:v>-2.0769418098732522</c:v>
                </c:pt>
                <c:pt idx="62">
                  <c:v>-2.0594885173533086</c:v>
                </c:pt>
                <c:pt idx="63">
                  <c:v>-2.0420352248333655</c:v>
                </c:pt>
                <c:pt idx="64">
                  <c:v>-2.0245819323134224</c:v>
                </c:pt>
                <c:pt idx="65">
                  <c:v>-2.0071286397934789</c:v>
                </c:pt>
                <c:pt idx="66">
                  <c:v>-1.9896753472735356</c:v>
                </c:pt>
                <c:pt idx="67">
                  <c:v>-1.9722220547535922</c:v>
                </c:pt>
                <c:pt idx="68">
                  <c:v>-1.9547687622336489</c:v>
                </c:pt>
                <c:pt idx="69">
                  <c:v>-1.9373154697137058</c:v>
                </c:pt>
                <c:pt idx="70">
                  <c:v>-1.9198621771937625</c:v>
                </c:pt>
                <c:pt idx="71">
                  <c:v>-1.9024088846738192</c:v>
                </c:pt>
                <c:pt idx="72">
                  <c:v>-1.8849555921538759</c:v>
                </c:pt>
                <c:pt idx="73">
                  <c:v>-1.8675022996339325</c:v>
                </c:pt>
                <c:pt idx="74">
                  <c:v>-1.8500490071139892</c:v>
                </c:pt>
                <c:pt idx="75">
                  <c:v>-1.8325957145940459</c:v>
                </c:pt>
                <c:pt idx="76">
                  <c:v>-1.8151424220741026</c:v>
                </c:pt>
                <c:pt idx="77">
                  <c:v>-1.7976891295541593</c:v>
                </c:pt>
                <c:pt idx="78">
                  <c:v>-1.7802358370342162</c:v>
                </c:pt>
                <c:pt idx="79">
                  <c:v>-1.7627825445142729</c:v>
                </c:pt>
                <c:pt idx="80">
                  <c:v>-1.7453292519943295</c:v>
                </c:pt>
                <c:pt idx="81">
                  <c:v>-1.7278759594743862</c:v>
                </c:pt>
                <c:pt idx="82">
                  <c:v>-1.7104226669544429</c:v>
                </c:pt>
                <c:pt idx="83">
                  <c:v>-1.6929693744344996</c:v>
                </c:pt>
                <c:pt idx="84">
                  <c:v>-1.6755160819145563</c:v>
                </c:pt>
                <c:pt idx="85">
                  <c:v>-1.6580627893946129</c:v>
                </c:pt>
                <c:pt idx="86">
                  <c:v>-1.6406094968746696</c:v>
                </c:pt>
                <c:pt idx="87">
                  <c:v>-1.6231562043547265</c:v>
                </c:pt>
                <c:pt idx="88">
                  <c:v>-1.6057029118347832</c:v>
                </c:pt>
                <c:pt idx="89">
                  <c:v>-1.5882496193148399</c:v>
                </c:pt>
                <c:pt idx="90">
                  <c:v>-1.5707963267948966</c:v>
                </c:pt>
                <c:pt idx="91">
                  <c:v>-1.5533430342749532</c:v>
                </c:pt>
                <c:pt idx="92">
                  <c:v>-1.5358897417550099</c:v>
                </c:pt>
                <c:pt idx="93">
                  <c:v>-1.5184364492350666</c:v>
                </c:pt>
                <c:pt idx="94">
                  <c:v>-1.5009831567151233</c:v>
                </c:pt>
                <c:pt idx="95">
                  <c:v>-1.48352986419518</c:v>
                </c:pt>
                <c:pt idx="96">
                  <c:v>-1.4660765716752366</c:v>
                </c:pt>
                <c:pt idx="97">
                  <c:v>-1.4486232791552935</c:v>
                </c:pt>
                <c:pt idx="98">
                  <c:v>-1.4311699866353502</c:v>
                </c:pt>
                <c:pt idx="99">
                  <c:v>-1.4137166941154069</c:v>
                </c:pt>
                <c:pt idx="100">
                  <c:v>-1.3962634015954636</c:v>
                </c:pt>
                <c:pt idx="101">
                  <c:v>-1.3788101090755203</c:v>
                </c:pt>
                <c:pt idx="102">
                  <c:v>-1.3613568165555769</c:v>
                </c:pt>
                <c:pt idx="103">
                  <c:v>-1.3439035240356336</c:v>
                </c:pt>
                <c:pt idx="104">
                  <c:v>-1.3264502315156903</c:v>
                </c:pt>
                <c:pt idx="105">
                  <c:v>-1.308996938995747</c:v>
                </c:pt>
                <c:pt idx="106">
                  <c:v>-1.2915436464758039</c:v>
                </c:pt>
                <c:pt idx="107">
                  <c:v>-1.2740903539558606</c:v>
                </c:pt>
                <c:pt idx="108">
                  <c:v>-1.2566370614359172</c:v>
                </c:pt>
                <c:pt idx="109">
                  <c:v>-1.2391837689159739</c:v>
                </c:pt>
                <c:pt idx="110">
                  <c:v>-1.2217304763960306</c:v>
                </c:pt>
                <c:pt idx="111">
                  <c:v>-1.2042771838760873</c:v>
                </c:pt>
                <c:pt idx="112">
                  <c:v>-1.186823891356144</c:v>
                </c:pt>
                <c:pt idx="113">
                  <c:v>-1.1693705988362006</c:v>
                </c:pt>
                <c:pt idx="114">
                  <c:v>-1.1519173063162573</c:v>
                </c:pt>
                <c:pt idx="115">
                  <c:v>-1.1344640137963142</c:v>
                </c:pt>
                <c:pt idx="116">
                  <c:v>-1.1170107212763707</c:v>
                </c:pt>
                <c:pt idx="117">
                  <c:v>-1.0995574287564276</c:v>
                </c:pt>
                <c:pt idx="118">
                  <c:v>-1.082104136236484</c:v>
                </c:pt>
                <c:pt idx="119">
                  <c:v>-1.064650843716541</c:v>
                </c:pt>
                <c:pt idx="120">
                  <c:v>-1.0471975511965979</c:v>
                </c:pt>
                <c:pt idx="121">
                  <c:v>-1.0297442586766543</c:v>
                </c:pt>
                <c:pt idx="122">
                  <c:v>-1.0122909661567112</c:v>
                </c:pt>
                <c:pt idx="123">
                  <c:v>-0.99483767363676767</c:v>
                </c:pt>
                <c:pt idx="124">
                  <c:v>-0.97738438111682457</c:v>
                </c:pt>
                <c:pt idx="125">
                  <c:v>-0.95993108859688103</c:v>
                </c:pt>
                <c:pt idx="126">
                  <c:v>-0.94247779607693793</c:v>
                </c:pt>
                <c:pt idx="127">
                  <c:v>-0.92502450355699439</c:v>
                </c:pt>
                <c:pt idx="128">
                  <c:v>-0.9075712110370513</c:v>
                </c:pt>
                <c:pt idx="129">
                  <c:v>-0.8901179185171082</c:v>
                </c:pt>
                <c:pt idx="130">
                  <c:v>-0.87266462599716466</c:v>
                </c:pt>
                <c:pt idx="131">
                  <c:v>-0.85521133347722156</c:v>
                </c:pt>
                <c:pt idx="132">
                  <c:v>-0.83775804095727802</c:v>
                </c:pt>
                <c:pt idx="133">
                  <c:v>-0.82030474843733492</c:v>
                </c:pt>
                <c:pt idx="134">
                  <c:v>-0.80285145591739138</c:v>
                </c:pt>
                <c:pt idx="135">
                  <c:v>-0.78539816339744828</c:v>
                </c:pt>
                <c:pt idx="136">
                  <c:v>-0.76794487087750474</c:v>
                </c:pt>
                <c:pt idx="137">
                  <c:v>-0.75049157835756164</c:v>
                </c:pt>
                <c:pt idx="138">
                  <c:v>-0.73303828583761854</c:v>
                </c:pt>
                <c:pt idx="139">
                  <c:v>-0.715584993317675</c:v>
                </c:pt>
                <c:pt idx="140">
                  <c:v>-0.6981317007977319</c:v>
                </c:pt>
                <c:pt idx="141">
                  <c:v>-0.68067840827778836</c:v>
                </c:pt>
                <c:pt idx="142">
                  <c:v>-0.66322511575784526</c:v>
                </c:pt>
                <c:pt idx="143">
                  <c:v>-0.64577182323790172</c:v>
                </c:pt>
                <c:pt idx="144">
                  <c:v>-0.62831853071795862</c:v>
                </c:pt>
                <c:pt idx="145">
                  <c:v>-0.61086523819801508</c:v>
                </c:pt>
                <c:pt idx="146">
                  <c:v>-0.59341194567807198</c:v>
                </c:pt>
                <c:pt idx="147">
                  <c:v>-0.57595865315812889</c:v>
                </c:pt>
                <c:pt idx="148">
                  <c:v>-0.55850536063818534</c:v>
                </c:pt>
                <c:pt idx="149">
                  <c:v>-0.54105206811824225</c:v>
                </c:pt>
                <c:pt idx="150">
                  <c:v>-0.5235987755982987</c:v>
                </c:pt>
                <c:pt idx="151">
                  <c:v>-0.50614548307835561</c:v>
                </c:pt>
                <c:pt idx="152">
                  <c:v>-0.48869219055841207</c:v>
                </c:pt>
                <c:pt idx="153">
                  <c:v>-0.47123889803846897</c:v>
                </c:pt>
                <c:pt idx="154">
                  <c:v>-0.45378560551852543</c:v>
                </c:pt>
                <c:pt idx="155">
                  <c:v>-0.43633231299858233</c:v>
                </c:pt>
                <c:pt idx="156">
                  <c:v>-0.41887902047863923</c:v>
                </c:pt>
                <c:pt idx="157">
                  <c:v>-0.40142572795869569</c:v>
                </c:pt>
                <c:pt idx="158">
                  <c:v>-0.38397243543875259</c:v>
                </c:pt>
                <c:pt idx="159">
                  <c:v>-0.36651914291880905</c:v>
                </c:pt>
                <c:pt idx="160">
                  <c:v>-0.34906585039886595</c:v>
                </c:pt>
                <c:pt idx="161">
                  <c:v>-0.33161255787892241</c:v>
                </c:pt>
                <c:pt idx="162">
                  <c:v>-0.31415926535897931</c:v>
                </c:pt>
                <c:pt idx="163">
                  <c:v>-0.29670597283903577</c:v>
                </c:pt>
                <c:pt idx="164">
                  <c:v>-0.27925268031909267</c:v>
                </c:pt>
                <c:pt idx="165">
                  <c:v>-0.26179938779914957</c:v>
                </c:pt>
                <c:pt idx="166">
                  <c:v>-0.24434609527920603</c:v>
                </c:pt>
                <c:pt idx="167">
                  <c:v>-0.22689280275926293</c:v>
                </c:pt>
                <c:pt idx="168">
                  <c:v>-0.20943951023931939</c:v>
                </c:pt>
                <c:pt idx="169">
                  <c:v>-0.1919862177193763</c:v>
                </c:pt>
                <c:pt idx="170">
                  <c:v>-0.17453292519943275</c:v>
                </c:pt>
                <c:pt idx="171">
                  <c:v>-0.15707963267948966</c:v>
                </c:pt>
                <c:pt idx="172">
                  <c:v>-0.13962634015954611</c:v>
                </c:pt>
                <c:pt idx="173">
                  <c:v>-0.12217304763960302</c:v>
                </c:pt>
                <c:pt idx="174">
                  <c:v>-0.10471975511965992</c:v>
                </c:pt>
                <c:pt idx="175">
                  <c:v>-8.7266462599716377E-2</c:v>
                </c:pt>
                <c:pt idx="176">
                  <c:v>-6.9813170079773279E-2</c:v>
                </c:pt>
                <c:pt idx="177">
                  <c:v>-5.2359877559829737E-2</c:v>
                </c:pt>
                <c:pt idx="178">
                  <c:v>-3.490658503988664E-2</c:v>
                </c:pt>
                <c:pt idx="179">
                  <c:v>-1.7453292519943098E-2</c:v>
                </c:pt>
                <c:pt idx="180">
                  <c:v>0</c:v>
                </c:pt>
                <c:pt idx="181">
                  <c:v>1.7453292519943542E-2</c:v>
                </c:pt>
                <c:pt idx="182">
                  <c:v>3.490658503988664E-2</c:v>
                </c:pt>
                <c:pt idx="183">
                  <c:v>5.2359877559829737E-2</c:v>
                </c:pt>
                <c:pt idx="184">
                  <c:v>6.9813170079773279E-2</c:v>
                </c:pt>
                <c:pt idx="185">
                  <c:v>8.7266462599716377E-2</c:v>
                </c:pt>
                <c:pt idx="186">
                  <c:v>0.10471975511965992</c:v>
                </c:pt>
                <c:pt idx="187">
                  <c:v>0.12217304763960302</c:v>
                </c:pt>
                <c:pt idx="188">
                  <c:v>0.13962634015954656</c:v>
                </c:pt>
                <c:pt idx="189">
                  <c:v>0.15707963267948966</c:v>
                </c:pt>
                <c:pt idx="190">
                  <c:v>0.1745329251994332</c:v>
                </c:pt>
                <c:pt idx="191">
                  <c:v>0.1919862177193763</c:v>
                </c:pt>
                <c:pt idx="192">
                  <c:v>0.20943951023931984</c:v>
                </c:pt>
                <c:pt idx="193">
                  <c:v>0.22689280275926293</c:v>
                </c:pt>
                <c:pt idx="194">
                  <c:v>0.24434609527920603</c:v>
                </c:pt>
                <c:pt idx="195">
                  <c:v>0.26179938779914957</c:v>
                </c:pt>
                <c:pt idx="196">
                  <c:v>0.27925268031909267</c:v>
                </c:pt>
                <c:pt idx="197">
                  <c:v>0.29670597283903621</c:v>
                </c:pt>
                <c:pt idx="198">
                  <c:v>0.31415926535897931</c:v>
                </c:pt>
                <c:pt idx="199">
                  <c:v>0.33161255787892285</c:v>
                </c:pt>
                <c:pt idx="200">
                  <c:v>0.34906585039886595</c:v>
                </c:pt>
                <c:pt idx="201">
                  <c:v>0.36651914291880949</c:v>
                </c:pt>
                <c:pt idx="202">
                  <c:v>0.38397243543875259</c:v>
                </c:pt>
                <c:pt idx="203">
                  <c:v>0.40142572795869569</c:v>
                </c:pt>
                <c:pt idx="204">
                  <c:v>0.41887902047863923</c:v>
                </c:pt>
                <c:pt idx="205">
                  <c:v>0.43633231299858233</c:v>
                </c:pt>
                <c:pt idx="206">
                  <c:v>0.45378560551852587</c:v>
                </c:pt>
                <c:pt idx="207">
                  <c:v>0.47123889803846897</c:v>
                </c:pt>
                <c:pt idx="208">
                  <c:v>0.48869219055841251</c:v>
                </c:pt>
                <c:pt idx="209">
                  <c:v>0.50614548307835561</c:v>
                </c:pt>
                <c:pt idx="210">
                  <c:v>0.52359877559829915</c:v>
                </c:pt>
                <c:pt idx="211">
                  <c:v>0.54105206811824225</c:v>
                </c:pt>
                <c:pt idx="212">
                  <c:v>0.55850536063818534</c:v>
                </c:pt>
                <c:pt idx="213">
                  <c:v>0.57595865315812889</c:v>
                </c:pt>
                <c:pt idx="214">
                  <c:v>0.59341194567807198</c:v>
                </c:pt>
                <c:pt idx="215">
                  <c:v>0.61086523819801553</c:v>
                </c:pt>
                <c:pt idx="216">
                  <c:v>0.62831853071795862</c:v>
                </c:pt>
                <c:pt idx="217">
                  <c:v>0.64577182323790217</c:v>
                </c:pt>
                <c:pt idx="218">
                  <c:v>0.66322511575784526</c:v>
                </c:pt>
                <c:pt idx="219">
                  <c:v>0.6806784082777888</c:v>
                </c:pt>
                <c:pt idx="220">
                  <c:v>0.6981317007977319</c:v>
                </c:pt>
                <c:pt idx="221">
                  <c:v>0.715584993317675</c:v>
                </c:pt>
                <c:pt idx="222">
                  <c:v>0.73303828583761854</c:v>
                </c:pt>
                <c:pt idx="223">
                  <c:v>0.75049157835756164</c:v>
                </c:pt>
                <c:pt idx="224">
                  <c:v>0.76794487087750518</c:v>
                </c:pt>
                <c:pt idx="225">
                  <c:v>0.78539816339744828</c:v>
                </c:pt>
                <c:pt idx="226">
                  <c:v>0.80285145591739182</c:v>
                </c:pt>
                <c:pt idx="227">
                  <c:v>0.82030474843733492</c:v>
                </c:pt>
                <c:pt idx="228">
                  <c:v>0.83775804095727846</c:v>
                </c:pt>
                <c:pt idx="229">
                  <c:v>0.85521133347722156</c:v>
                </c:pt>
                <c:pt idx="230">
                  <c:v>0.87266462599716466</c:v>
                </c:pt>
                <c:pt idx="231">
                  <c:v>0.89011791851710775</c:v>
                </c:pt>
                <c:pt idx="232">
                  <c:v>0.90757121103705174</c:v>
                </c:pt>
                <c:pt idx="233">
                  <c:v>0.92502450355699484</c:v>
                </c:pt>
                <c:pt idx="234">
                  <c:v>0.94247779607693793</c:v>
                </c:pt>
                <c:pt idx="235">
                  <c:v>0.95993108859688103</c:v>
                </c:pt>
                <c:pt idx="236">
                  <c:v>0.97738438111682502</c:v>
                </c:pt>
                <c:pt idx="237">
                  <c:v>0.99483767363676812</c:v>
                </c:pt>
                <c:pt idx="238">
                  <c:v>1.0122909661567112</c:v>
                </c:pt>
                <c:pt idx="239">
                  <c:v>1.0297442586766543</c:v>
                </c:pt>
                <c:pt idx="240">
                  <c:v>1.0471975511965974</c:v>
                </c:pt>
                <c:pt idx="241">
                  <c:v>1.0646508437165414</c:v>
                </c:pt>
                <c:pt idx="242">
                  <c:v>1.0821041362364845</c:v>
                </c:pt>
                <c:pt idx="243">
                  <c:v>1.0995574287564276</c:v>
                </c:pt>
                <c:pt idx="244">
                  <c:v>1.1170107212763707</c:v>
                </c:pt>
                <c:pt idx="245">
                  <c:v>1.1344640137963147</c:v>
                </c:pt>
                <c:pt idx="246">
                  <c:v>1.1519173063162578</c:v>
                </c:pt>
                <c:pt idx="247">
                  <c:v>1.1693705988362009</c:v>
                </c:pt>
                <c:pt idx="248">
                  <c:v>1.186823891356144</c:v>
                </c:pt>
                <c:pt idx="249">
                  <c:v>1.2042771838760871</c:v>
                </c:pt>
                <c:pt idx="250">
                  <c:v>1.2217304763960311</c:v>
                </c:pt>
                <c:pt idx="251">
                  <c:v>1.2391837689159741</c:v>
                </c:pt>
                <c:pt idx="252">
                  <c:v>1.2566370614359172</c:v>
                </c:pt>
                <c:pt idx="253">
                  <c:v>1.2740903539558603</c:v>
                </c:pt>
                <c:pt idx="254">
                  <c:v>1.2915436464758043</c:v>
                </c:pt>
                <c:pt idx="255">
                  <c:v>1.3089969389957474</c:v>
                </c:pt>
                <c:pt idx="256">
                  <c:v>1.3264502315156905</c:v>
                </c:pt>
                <c:pt idx="257">
                  <c:v>1.3439035240356336</c:v>
                </c:pt>
                <c:pt idx="258">
                  <c:v>1.3613568165555767</c:v>
                </c:pt>
                <c:pt idx="259">
                  <c:v>1.3788101090755207</c:v>
                </c:pt>
                <c:pt idx="260">
                  <c:v>1.3962634015954638</c:v>
                </c:pt>
                <c:pt idx="261">
                  <c:v>1.4137166941154069</c:v>
                </c:pt>
                <c:pt idx="262">
                  <c:v>1.43116998663535</c:v>
                </c:pt>
                <c:pt idx="263">
                  <c:v>1.448623279155294</c:v>
                </c:pt>
                <c:pt idx="264">
                  <c:v>1.4660765716752371</c:v>
                </c:pt>
                <c:pt idx="265">
                  <c:v>1.4835298641951802</c:v>
                </c:pt>
                <c:pt idx="266">
                  <c:v>1.5009831567151233</c:v>
                </c:pt>
                <c:pt idx="267">
                  <c:v>1.5184364492350664</c:v>
                </c:pt>
                <c:pt idx="268">
                  <c:v>1.5358897417550104</c:v>
                </c:pt>
                <c:pt idx="269">
                  <c:v>1.5533430342749535</c:v>
                </c:pt>
                <c:pt idx="270">
                  <c:v>1.5707963267948966</c:v>
                </c:pt>
                <c:pt idx="271">
                  <c:v>1.5882496193148397</c:v>
                </c:pt>
                <c:pt idx="272">
                  <c:v>1.6057029118347836</c:v>
                </c:pt>
                <c:pt idx="273">
                  <c:v>1.6231562043547267</c:v>
                </c:pt>
                <c:pt idx="274">
                  <c:v>1.6406094968746698</c:v>
                </c:pt>
                <c:pt idx="275">
                  <c:v>1.6580627893946129</c:v>
                </c:pt>
                <c:pt idx="276">
                  <c:v>1.675516081914556</c:v>
                </c:pt>
                <c:pt idx="277">
                  <c:v>1.6929693744345</c:v>
                </c:pt>
                <c:pt idx="278">
                  <c:v>1.7104226669544431</c:v>
                </c:pt>
                <c:pt idx="279">
                  <c:v>1.7278759594743862</c:v>
                </c:pt>
                <c:pt idx="280">
                  <c:v>1.7453292519943293</c:v>
                </c:pt>
                <c:pt idx="281">
                  <c:v>1.7627825445142733</c:v>
                </c:pt>
                <c:pt idx="282">
                  <c:v>1.7802358370342164</c:v>
                </c:pt>
                <c:pt idx="283">
                  <c:v>1.7976891295541595</c:v>
                </c:pt>
                <c:pt idx="284">
                  <c:v>1.8151424220741026</c:v>
                </c:pt>
                <c:pt idx="285">
                  <c:v>1.8325957145940457</c:v>
                </c:pt>
                <c:pt idx="286">
                  <c:v>1.8500490071139897</c:v>
                </c:pt>
                <c:pt idx="287">
                  <c:v>1.8675022996339328</c:v>
                </c:pt>
                <c:pt idx="288">
                  <c:v>1.8849555921538759</c:v>
                </c:pt>
                <c:pt idx="289">
                  <c:v>1.902408884673819</c:v>
                </c:pt>
                <c:pt idx="290">
                  <c:v>1.919862177193763</c:v>
                </c:pt>
                <c:pt idx="291">
                  <c:v>1.9373154697137061</c:v>
                </c:pt>
                <c:pt idx="292">
                  <c:v>1.9547687622336491</c:v>
                </c:pt>
                <c:pt idx="293">
                  <c:v>1.9722220547535922</c:v>
                </c:pt>
                <c:pt idx="294">
                  <c:v>1.9896753472735353</c:v>
                </c:pt>
                <c:pt idx="295">
                  <c:v>2.0071286397934793</c:v>
                </c:pt>
                <c:pt idx="296">
                  <c:v>2.0245819323134224</c:v>
                </c:pt>
                <c:pt idx="297">
                  <c:v>2.0420352248333655</c:v>
                </c:pt>
                <c:pt idx="298">
                  <c:v>2.0594885173533086</c:v>
                </c:pt>
                <c:pt idx="299">
                  <c:v>2.0769418098732526</c:v>
                </c:pt>
                <c:pt idx="300">
                  <c:v>2.0943951023931957</c:v>
                </c:pt>
                <c:pt idx="301">
                  <c:v>2.1118483949131388</c:v>
                </c:pt>
                <c:pt idx="302">
                  <c:v>2.1293016874330819</c:v>
                </c:pt>
                <c:pt idx="303">
                  <c:v>2.146754979953025</c:v>
                </c:pt>
                <c:pt idx="304">
                  <c:v>2.164208272472969</c:v>
                </c:pt>
                <c:pt idx="305">
                  <c:v>2.1816615649929121</c:v>
                </c:pt>
                <c:pt idx="306">
                  <c:v>2.1991148575128552</c:v>
                </c:pt>
                <c:pt idx="307">
                  <c:v>2.2165681500327983</c:v>
                </c:pt>
                <c:pt idx="308">
                  <c:v>2.2340214425527423</c:v>
                </c:pt>
                <c:pt idx="309">
                  <c:v>2.2514747350726854</c:v>
                </c:pt>
                <c:pt idx="310">
                  <c:v>2.2689280275926285</c:v>
                </c:pt>
                <c:pt idx="311">
                  <c:v>2.2863813201125716</c:v>
                </c:pt>
                <c:pt idx="312">
                  <c:v>2.3038346126325147</c:v>
                </c:pt>
                <c:pt idx="313">
                  <c:v>2.3212879051524586</c:v>
                </c:pt>
                <c:pt idx="314">
                  <c:v>2.3387411976724017</c:v>
                </c:pt>
                <c:pt idx="315">
                  <c:v>2.3561944901923448</c:v>
                </c:pt>
                <c:pt idx="316">
                  <c:v>2.3736477827122879</c:v>
                </c:pt>
                <c:pt idx="317">
                  <c:v>2.3911010752322319</c:v>
                </c:pt>
                <c:pt idx="318">
                  <c:v>2.408554367752175</c:v>
                </c:pt>
                <c:pt idx="319">
                  <c:v>2.4260076602721181</c:v>
                </c:pt>
                <c:pt idx="320">
                  <c:v>2.4434609527920612</c:v>
                </c:pt>
                <c:pt idx="321">
                  <c:v>2.4609142453120043</c:v>
                </c:pt>
                <c:pt idx="322">
                  <c:v>2.4783675378319483</c:v>
                </c:pt>
                <c:pt idx="323">
                  <c:v>2.4958208303518914</c:v>
                </c:pt>
                <c:pt idx="324">
                  <c:v>2.5132741228718345</c:v>
                </c:pt>
                <c:pt idx="325">
                  <c:v>2.5307274153917776</c:v>
                </c:pt>
                <c:pt idx="326">
                  <c:v>2.5481807079117216</c:v>
                </c:pt>
                <c:pt idx="327">
                  <c:v>2.5656340004316647</c:v>
                </c:pt>
                <c:pt idx="328">
                  <c:v>2.5830872929516078</c:v>
                </c:pt>
                <c:pt idx="329">
                  <c:v>2.6005405854715509</c:v>
                </c:pt>
                <c:pt idx="330">
                  <c:v>2.617993877991494</c:v>
                </c:pt>
                <c:pt idx="331">
                  <c:v>2.635447170511438</c:v>
                </c:pt>
                <c:pt idx="332">
                  <c:v>2.6529004630313811</c:v>
                </c:pt>
                <c:pt idx="333">
                  <c:v>2.6703537555513241</c:v>
                </c:pt>
                <c:pt idx="334">
                  <c:v>2.6878070480712672</c:v>
                </c:pt>
                <c:pt idx="335">
                  <c:v>2.7052603405912112</c:v>
                </c:pt>
                <c:pt idx="336">
                  <c:v>2.7227136331111543</c:v>
                </c:pt>
                <c:pt idx="337">
                  <c:v>2.7401669256310974</c:v>
                </c:pt>
                <c:pt idx="338">
                  <c:v>2.7576202181510405</c:v>
                </c:pt>
                <c:pt idx="339">
                  <c:v>2.7750735106709836</c:v>
                </c:pt>
                <c:pt idx="340">
                  <c:v>2.7925268031909276</c:v>
                </c:pt>
                <c:pt idx="341">
                  <c:v>2.8099800957108707</c:v>
                </c:pt>
                <c:pt idx="342">
                  <c:v>2.8274333882308138</c:v>
                </c:pt>
                <c:pt idx="343">
                  <c:v>2.8448866807507569</c:v>
                </c:pt>
                <c:pt idx="344">
                  <c:v>2.8623399732707009</c:v>
                </c:pt>
                <c:pt idx="345">
                  <c:v>2.879793265790644</c:v>
                </c:pt>
                <c:pt idx="346">
                  <c:v>2.8972465583105871</c:v>
                </c:pt>
                <c:pt idx="347">
                  <c:v>2.9146998508305302</c:v>
                </c:pt>
                <c:pt idx="348">
                  <c:v>2.9321531433504733</c:v>
                </c:pt>
                <c:pt idx="349">
                  <c:v>2.9496064358704173</c:v>
                </c:pt>
                <c:pt idx="350">
                  <c:v>2.9670597283903604</c:v>
                </c:pt>
                <c:pt idx="351">
                  <c:v>2.9845130209103035</c:v>
                </c:pt>
                <c:pt idx="352">
                  <c:v>3.0019663134302466</c:v>
                </c:pt>
                <c:pt idx="353">
                  <c:v>3.0194196059501905</c:v>
                </c:pt>
                <c:pt idx="354">
                  <c:v>3.0368728984701336</c:v>
                </c:pt>
                <c:pt idx="355">
                  <c:v>3.0543261909900767</c:v>
                </c:pt>
                <c:pt idx="356">
                  <c:v>3.0717794835100198</c:v>
                </c:pt>
                <c:pt idx="357">
                  <c:v>3.0892327760299629</c:v>
                </c:pt>
                <c:pt idx="358">
                  <c:v>3.1066860685499069</c:v>
                </c:pt>
                <c:pt idx="359">
                  <c:v>3.12413936106985</c:v>
                </c:pt>
                <c:pt idx="360">
                  <c:v>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3.1415926535897931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-356.85840734641022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ser>
          <c:idx val="1"/>
          <c:order val="2"/>
          <c:tx>
            <c:v>equal angle 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Analysis'!$F$261:$F$262</c:f>
              <c:numCache>
                <c:formatCode>General</c:formatCode>
                <c:ptCount val="2"/>
                <c:pt idx="0">
                  <c:v>-3.1415926535897931</c:v>
                </c:pt>
                <c:pt idx="1">
                  <c:v>3.1415926535897931</c:v>
                </c:pt>
              </c:numCache>
            </c:numRef>
          </c:xVal>
          <c:yVal>
            <c:numRef>
              <c:f>'Cross Section Analysis'!$G$261:$G$262</c:f>
              <c:numCache>
                <c:formatCode>General</c:formatCode>
                <c:ptCount val="2"/>
                <c:pt idx="0">
                  <c:v>-3.1415926535897931</c:v>
                </c:pt>
                <c:pt idx="1">
                  <c:v>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E-5949-8F55-96BF063D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.16"/>
          <c:min val="-3.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0.78539800000000004"/>
        <c:minorUnit val="8.7200000000000027E-2"/>
      </c:valAx>
      <c:valAx>
        <c:axId val="1892693248"/>
        <c:scaling>
          <c:orientation val="minMax"/>
          <c:max val="3.16"/>
          <c:min val="-3.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;[Red]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0.78539809999999999"/>
        <c:minorUnit val="8.7260000000000032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Analysis'!$AC$48:$AC$148</c:f>
              <c:numCache>
                <c:formatCode>General</c:formatCode>
                <c:ptCount val="101"/>
                <c:pt idx="0">
                  <c:v>1E-4</c:v>
                </c:pt>
                <c:pt idx="1">
                  <c:v>0.84846400599152683</c:v>
                </c:pt>
                <c:pt idx="2">
                  <c:v>1.6968280119830537</c:v>
                </c:pt>
                <c:pt idx="3">
                  <c:v>2.5451920179745806</c:v>
                </c:pt>
                <c:pt idx="4">
                  <c:v>3.3935560239661076</c:v>
                </c:pt>
                <c:pt idx="5">
                  <c:v>4.2419200299576341</c:v>
                </c:pt>
                <c:pt idx="6">
                  <c:v>5.0902840359491615</c:v>
                </c:pt>
                <c:pt idx="7">
                  <c:v>5.938648041940688</c:v>
                </c:pt>
                <c:pt idx="8">
                  <c:v>6.7870120479322145</c:v>
                </c:pt>
                <c:pt idx="9">
                  <c:v>7.6353760539237419</c:v>
                </c:pt>
                <c:pt idx="10">
                  <c:v>8.4837400599152684</c:v>
                </c:pt>
                <c:pt idx="11">
                  <c:v>9.3321040659067958</c:v>
                </c:pt>
                <c:pt idx="12">
                  <c:v>10.180468071898321</c:v>
                </c:pt>
                <c:pt idx="13">
                  <c:v>11.028832077889849</c:v>
                </c:pt>
                <c:pt idx="14">
                  <c:v>11.877196083881376</c:v>
                </c:pt>
                <c:pt idx="15">
                  <c:v>12.725560089872902</c:v>
                </c:pt>
                <c:pt idx="16">
                  <c:v>13.573924095864429</c:v>
                </c:pt>
                <c:pt idx="17">
                  <c:v>14.422288101855957</c:v>
                </c:pt>
                <c:pt idx="18">
                  <c:v>15.270652107847484</c:v>
                </c:pt>
                <c:pt idx="19">
                  <c:v>16.11901611383901</c:v>
                </c:pt>
                <c:pt idx="20">
                  <c:v>16.967380119830537</c:v>
                </c:pt>
                <c:pt idx="21">
                  <c:v>17.815744125822064</c:v>
                </c:pt>
                <c:pt idx="22">
                  <c:v>18.664108131813592</c:v>
                </c:pt>
                <c:pt idx="23">
                  <c:v>19.512472137805116</c:v>
                </c:pt>
                <c:pt idx="24">
                  <c:v>20.360836143796643</c:v>
                </c:pt>
                <c:pt idx="25">
                  <c:v>21.20920014978817</c:v>
                </c:pt>
                <c:pt idx="26">
                  <c:v>22.057564155779698</c:v>
                </c:pt>
                <c:pt idx="27">
                  <c:v>22.905928161771225</c:v>
                </c:pt>
                <c:pt idx="28">
                  <c:v>23.754292167762753</c:v>
                </c:pt>
                <c:pt idx="29">
                  <c:v>24.60265617375428</c:v>
                </c:pt>
                <c:pt idx="30">
                  <c:v>25.451020179745804</c:v>
                </c:pt>
                <c:pt idx="31">
                  <c:v>26.299384185737331</c:v>
                </c:pt>
                <c:pt idx="32">
                  <c:v>27.147748191728859</c:v>
                </c:pt>
                <c:pt idx="33">
                  <c:v>27.996112197720386</c:v>
                </c:pt>
                <c:pt idx="34">
                  <c:v>28.844476203711913</c:v>
                </c:pt>
                <c:pt idx="35">
                  <c:v>29.692840209703441</c:v>
                </c:pt>
                <c:pt idx="36">
                  <c:v>30.541204215694965</c:v>
                </c:pt>
                <c:pt idx="37">
                  <c:v>31.389568221686492</c:v>
                </c:pt>
                <c:pt idx="38">
                  <c:v>32.237932227678023</c:v>
                </c:pt>
                <c:pt idx="39">
                  <c:v>33.086296233669543</c:v>
                </c:pt>
                <c:pt idx="40">
                  <c:v>33.934660239661071</c:v>
                </c:pt>
                <c:pt idx="41">
                  <c:v>34.783024245652598</c:v>
                </c:pt>
                <c:pt idx="42">
                  <c:v>35.631388251644125</c:v>
                </c:pt>
                <c:pt idx="43">
                  <c:v>36.479752257635653</c:v>
                </c:pt>
                <c:pt idx="44">
                  <c:v>37.32811626362718</c:v>
                </c:pt>
                <c:pt idx="45">
                  <c:v>38.176480269618708</c:v>
                </c:pt>
                <c:pt idx="46">
                  <c:v>39.024844275610235</c:v>
                </c:pt>
                <c:pt idx="47">
                  <c:v>39.873208281601762</c:v>
                </c:pt>
                <c:pt idx="48">
                  <c:v>40.72157228759329</c:v>
                </c:pt>
                <c:pt idx="49">
                  <c:v>41.569936293584817</c:v>
                </c:pt>
                <c:pt idx="50">
                  <c:v>42.418300299576345</c:v>
                </c:pt>
                <c:pt idx="51">
                  <c:v>43.266664305567872</c:v>
                </c:pt>
                <c:pt idx="52">
                  <c:v>44.115028311559392</c:v>
                </c:pt>
                <c:pt idx="53">
                  <c:v>44.96339231755092</c:v>
                </c:pt>
                <c:pt idx="54">
                  <c:v>45.811756323542447</c:v>
                </c:pt>
                <c:pt idx="55">
                  <c:v>46.660120329533974</c:v>
                </c:pt>
                <c:pt idx="56">
                  <c:v>47.508484335525502</c:v>
                </c:pt>
                <c:pt idx="57">
                  <c:v>48.356848341517029</c:v>
                </c:pt>
                <c:pt idx="58">
                  <c:v>49.205212347508557</c:v>
                </c:pt>
                <c:pt idx="59">
                  <c:v>50.053576353500084</c:v>
                </c:pt>
                <c:pt idx="60">
                  <c:v>50.901940359491611</c:v>
                </c:pt>
                <c:pt idx="61">
                  <c:v>51.750304365483139</c:v>
                </c:pt>
                <c:pt idx="62">
                  <c:v>52.598668371474666</c:v>
                </c:pt>
                <c:pt idx="63">
                  <c:v>53.447032377466194</c:v>
                </c:pt>
                <c:pt idx="64">
                  <c:v>54.295396383457721</c:v>
                </c:pt>
                <c:pt idx="65">
                  <c:v>55.143760389449241</c:v>
                </c:pt>
                <c:pt idx="66">
                  <c:v>55.992124395440769</c:v>
                </c:pt>
                <c:pt idx="67">
                  <c:v>56.840488401432296</c:v>
                </c:pt>
                <c:pt idx="68">
                  <c:v>57.688852407423823</c:v>
                </c:pt>
                <c:pt idx="69">
                  <c:v>58.537216413415351</c:v>
                </c:pt>
                <c:pt idx="70">
                  <c:v>59.385580419406878</c:v>
                </c:pt>
                <c:pt idx="71">
                  <c:v>60.233944425398406</c:v>
                </c:pt>
                <c:pt idx="72">
                  <c:v>61.082308431389933</c:v>
                </c:pt>
                <c:pt idx="73">
                  <c:v>61.93067243738146</c:v>
                </c:pt>
                <c:pt idx="74">
                  <c:v>62.779036443372988</c:v>
                </c:pt>
                <c:pt idx="75">
                  <c:v>63.627400449364515</c:v>
                </c:pt>
                <c:pt idx="76">
                  <c:v>64.475764455356043</c:v>
                </c:pt>
                <c:pt idx="77">
                  <c:v>65.32412846134757</c:v>
                </c:pt>
                <c:pt idx="78">
                  <c:v>66.172492467339097</c:v>
                </c:pt>
                <c:pt idx="79">
                  <c:v>67.020856473330625</c:v>
                </c:pt>
                <c:pt idx="80">
                  <c:v>67.869220479322152</c:v>
                </c:pt>
                <c:pt idx="81">
                  <c:v>68.717584485313679</c:v>
                </c:pt>
                <c:pt idx="82">
                  <c:v>69.565948491305207</c:v>
                </c:pt>
                <c:pt idx="83">
                  <c:v>70.414312497296734</c:v>
                </c:pt>
                <c:pt idx="84">
                  <c:v>71.262676503288247</c:v>
                </c:pt>
                <c:pt idx="85">
                  <c:v>72.111040509279775</c:v>
                </c:pt>
                <c:pt idx="86">
                  <c:v>72.959404515271302</c:v>
                </c:pt>
                <c:pt idx="87">
                  <c:v>73.80776852126283</c:v>
                </c:pt>
                <c:pt idx="88">
                  <c:v>74.656132527254357</c:v>
                </c:pt>
                <c:pt idx="89">
                  <c:v>75.504496533245884</c:v>
                </c:pt>
                <c:pt idx="90">
                  <c:v>76.352860539237412</c:v>
                </c:pt>
                <c:pt idx="91">
                  <c:v>77.201224545228939</c:v>
                </c:pt>
                <c:pt idx="92">
                  <c:v>78.049588551220467</c:v>
                </c:pt>
                <c:pt idx="93">
                  <c:v>78.897952557211994</c:v>
                </c:pt>
                <c:pt idx="94">
                  <c:v>79.746316563203521</c:v>
                </c:pt>
                <c:pt idx="95">
                  <c:v>80.594680569195049</c:v>
                </c:pt>
                <c:pt idx="96">
                  <c:v>81.443044575186576</c:v>
                </c:pt>
                <c:pt idx="97">
                  <c:v>82.291408581178104</c:v>
                </c:pt>
                <c:pt idx="98">
                  <c:v>83.139772587169631</c:v>
                </c:pt>
                <c:pt idx="99">
                  <c:v>83.988136593161158</c:v>
                </c:pt>
                <c:pt idx="100">
                  <c:v>84.836500599152686</c:v>
                </c:pt>
              </c:numCache>
            </c:numRef>
          </c:xVal>
          <c:yVal>
            <c:numRef>
              <c:f>'Cross Section Analysis'!$AD$48:$AD$148</c:f>
              <c:numCache>
                <c:formatCode>General</c:formatCode>
                <c:ptCount val="101"/>
                <c:pt idx="0">
                  <c:v>-511.47999996574822</c:v>
                </c:pt>
                <c:pt idx="1">
                  <c:v>-509.0142463865194</c:v>
                </c:pt>
                <c:pt idx="2">
                  <c:v>-501.61814796708427</c:v>
                </c:pt>
                <c:pt idx="3">
                  <c:v>-481.14919045340156</c:v>
                </c:pt>
                <c:pt idx="4">
                  <c:v>-423.92395872645216</c:v>
                </c:pt>
                <c:pt idx="5">
                  <c:v>-377.75538272001813</c:v>
                </c:pt>
                <c:pt idx="6">
                  <c:v>-334.65011918820323</c:v>
                </c:pt>
                <c:pt idx="7">
                  <c:v>-273.62580501049058</c:v>
                </c:pt>
                <c:pt idx="8">
                  <c:v>-209.88208545196227</c:v>
                </c:pt>
                <c:pt idx="9">
                  <c:v>-147.15584362017046</c:v>
                </c:pt>
                <c:pt idx="10">
                  <c:v>-71.527273923512126</c:v>
                </c:pt>
                <c:pt idx="11">
                  <c:v>8.0394099633140996</c:v>
                </c:pt>
                <c:pt idx="12">
                  <c:v>85.994597556448355</c:v>
                </c:pt>
                <c:pt idx="13">
                  <c:v>156.79029312164562</c:v>
                </c:pt>
                <c:pt idx="14">
                  <c:v>225.26442853695733</c:v>
                </c:pt>
                <c:pt idx="15">
                  <c:v>289.74523792278285</c:v>
                </c:pt>
                <c:pt idx="16">
                  <c:v>357.56913058445247</c:v>
                </c:pt>
                <c:pt idx="17">
                  <c:v>420.94762248794086</c:v>
                </c:pt>
                <c:pt idx="18">
                  <c:v>480.52826342919457</c:v>
                </c:pt>
                <c:pt idx="19">
                  <c:v>554.50569764896204</c:v>
                </c:pt>
                <c:pt idx="20">
                  <c:v>631.19785127691489</c:v>
                </c:pt>
                <c:pt idx="21">
                  <c:v>709.57150994149004</c:v>
                </c:pt>
                <c:pt idx="22">
                  <c:v>786.36741593930969</c:v>
                </c:pt>
                <c:pt idx="23">
                  <c:v>861.79136204179383</c:v>
                </c:pt>
                <c:pt idx="24">
                  <c:v>936.0148423935816</c:v>
                </c:pt>
                <c:pt idx="25">
                  <c:v>1005.6735372055418</c:v>
                </c:pt>
                <c:pt idx="26">
                  <c:v>1077.9060894488857</c:v>
                </c:pt>
                <c:pt idx="27">
                  <c:v>1149.3079589557024</c:v>
                </c:pt>
                <c:pt idx="28">
                  <c:v>1218.723444480265</c:v>
                </c:pt>
                <c:pt idx="29">
                  <c:v>1283.9609792646324</c:v>
                </c:pt>
                <c:pt idx="30">
                  <c:v>1345.0392487446311</c:v>
                </c:pt>
                <c:pt idx="31">
                  <c:v>1402.0161682514208</c:v>
                </c:pt>
                <c:pt idx="32">
                  <c:v>1446.9038</c:v>
                </c:pt>
                <c:pt idx="33">
                  <c:v>1446.9038</c:v>
                </c:pt>
                <c:pt idx="34">
                  <c:v>1446.9038</c:v>
                </c:pt>
                <c:pt idx="35">
                  <c:v>1446.9038</c:v>
                </c:pt>
                <c:pt idx="36">
                  <c:v>1446.9038</c:v>
                </c:pt>
                <c:pt idx="37">
                  <c:v>1446.9038</c:v>
                </c:pt>
                <c:pt idx="38">
                  <c:v>1446.9038</c:v>
                </c:pt>
                <c:pt idx="39">
                  <c:v>1446.9038</c:v>
                </c:pt>
                <c:pt idx="40">
                  <c:v>1446.9038</c:v>
                </c:pt>
                <c:pt idx="41">
                  <c:v>1446.9038</c:v>
                </c:pt>
                <c:pt idx="42">
                  <c:v>1446.9038</c:v>
                </c:pt>
                <c:pt idx="43">
                  <c:v>1446.9038</c:v>
                </c:pt>
                <c:pt idx="44">
                  <c:v>1446.9038</c:v>
                </c:pt>
                <c:pt idx="45">
                  <c:v>1446.9038</c:v>
                </c:pt>
                <c:pt idx="46">
                  <c:v>1446.9038</c:v>
                </c:pt>
                <c:pt idx="47">
                  <c:v>1446.9038</c:v>
                </c:pt>
                <c:pt idx="48">
                  <c:v>1446.9038</c:v>
                </c:pt>
                <c:pt idx="49">
                  <c:v>1446.9038</c:v>
                </c:pt>
                <c:pt idx="50">
                  <c:v>1446.9038</c:v>
                </c:pt>
                <c:pt idx="51">
                  <c:v>1446.9038</c:v>
                </c:pt>
                <c:pt idx="52">
                  <c:v>1446.9038</c:v>
                </c:pt>
                <c:pt idx="53">
                  <c:v>1446.9038</c:v>
                </c:pt>
                <c:pt idx="54">
                  <c:v>1446.9038</c:v>
                </c:pt>
                <c:pt idx="55">
                  <c:v>1446.9038</c:v>
                </c:pt>
                <c:pt idx="56">
                  <c:v>1446.9038</c:v>
                </c:pt>
                <c:pt idx="57">
                  <c:v>1446.9038</c:v>
                </c:pt>
                <c:pt idx="58">
                  <c:v>1446.9038</c:v>
                </c:pt>
                <c:pt idx="59">
                  <c:v>1446.9038</c:v>
                </c:pt>
                <c:pt idx="60">
                  <c:v>1446.9038</c:v>
                </c:pt>
                <c:pt idx="61">
                  <c:v>1446.9038</c:v>
                </c:pt>
                <c:pt idx="62">
                  <c:v>1446.9038</c:v>
                </c:pt>
                <c:pt idx="63">
                  <c:v>1446.9038</c:v>
                </c:pt>
                <c:pt idx="64">
                  <c:v>1446.9038</c:v>
                </c:pt>
                <c:pt idx="65">
                  <c:v>1446.9038</c:v>
                </c:pt>
                <c:pt idx="66">
                  <c:v>1446.9038</c:v>
                </c:pt>
                <c:pt idx="67">
                  <c:v>1446.9038</c:v>
                </c:pt>
                <c:pt idx="68">
                  <c:v>1446.9038</c:v>
                </c:pt>
                <c:pt idx="69">
                  <c:v>1446.9038</c:v>
                </c:pt>
                <c:pt idx="70">
                  <c:v>1446.9038</c:v>
                </c:pt>
                <c:pt idx="71">
                  <c:v>1446.9038</c:v>
                </c:pt>
                <c:pt idx="72">
                  <c:v>1446.9038</c:v>
                </c:pt>
                <c:pt idx="73">
                  <c:v>1446.9038</c:v>
                </c:pt>
                <c:pt idx="74">
                  <c:v>1446.9038</c:v>
                </c:pt>
                <c:pt idx="75">
                  <c:v>1446.9038</c:v>
                </c:pt>
                <c:pt idx="76">
                  <c:v>1446.9038</c:v>
                </c:pt>
                <c:pt idx="77">
                  <c:v>1446.9038</c:v>
                </c:pt>
                <c:pt idx="78">
                  <c:v>1446.9038</c:v>
                </c:pt>
                <c:pt idx="79">
                  <c:v>1446.9038</c:v>
                </c:pt>
                <c:pt idx="80">
                  <c:v>1446.9038</c:v>
                </c:pt>
                <c:pt idx="81">
                  <c:v>1446.9038</c:v>
                </c:pt>
                <c:pt idx="82">
                  <c:v>1446.9038</c:v>
                </c:pt>
                <c:pt idx="83">
                  <c:v>1446.9038</c:v>
                </c:pt>
                <c:pt idx="84">
                  <c:v>1446.9038</c:v>
                </c:pt>
                <c:pt idx="85">
                  <c:v>1446.9038</c:v>
                </c:pt>
                <c:pt idx="86">
                  <c:v>1446.9038</c:v>
                </c:pt>
                <c:pt idx="87">
                  <c:v>1446.9038</c:v>
                </c:pt>
                <c:pt idx="88">
                  <c:v>1446.9038</c:v>
                </c:pt>
                <c:pt idx="89">
                  <c:v>1446.9038</c:v>
                </c:pt>
                <c:pt idx="90">
                  <c:v>1446.9038</c:v>
                </c:pt>
                <c:pt idx="91">
                  <c:v>1446.9038</c:v>
                </c:pt>
                <c:pt idx="92">
                  <c:v>1446.9038</c:v>
                </c:pt>
                <c:pt idx="93">
                  <c:v>1446.9038</c:v>
                </c:pt>
                <c:pt idx="94">
                  <c:v>1446.9038</c:v>
                </c:pt>
                <c:pt idx="95">
                  <c:v>1446.9038</c:v>
                </c:pt>
                <c:pt idx="96">
                  <c:v>1446.9038</c:v>
                </c:pt>
                <c:pt idx="97">
                  <c:v>1446.9038</c:v>
                </c:pt>
                <c:pt idx="98">
                  <c:v>1446.9038</c:v>
                </c:pt>
                <c:pt idx="99">
                  <c:v>1446.9038</c:v>
                </c:pt>
                <c:pt idx="100">
                  <c:v>1446.9038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B-4D23-8828-3B2517DC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50384"/>
        <c:axId val="1211906656"/>
      </c:scatterChart>
      <c:valAx>
        <c:axId val="121445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906656"/>
        <c:crosses val="autoZero"/>
        <c:crossBetween val="midCat"/>
      </c:valAx>
      <c:valAx>
        <c:axId val="1211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5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04F-4BD7-8B04-DD0A481FA8C3}"/>
              </c:ext>
            </c:extLst>
          </c:dPt>
          <c:xVal>
            <c:numRef>
              <c:f>'Cross Section Analysis'!$U$79:$U$80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'Cross Section Analysis'!$S$79:$S$80</c:f>
              <c:numCache>
                <c:formatCode>0.000</c:formatCode>
                <c:ptCount val="2"/>
                <c:pt idx="0">
                  <c:v>-12.000000000000004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4F-4BD7-8B04-DD0A481FA8C3}"/>
            </c:ext>
          </c:extLst>
        </c:ser>
        <c:ser>
          <c:idx val="1"/>
          <c:order val="1"/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'Cross Section Analysis'!$T$78:$T$81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5.7146526776164234E-4</c:v>
                </c:pt>
                <c:pt idx="2" formatCode="General">
                  <c:v>3.0000000000000001E-3</c:v>
                </c:pt>
                <c:pt idx="3" formatCode="General">
                  <c:v>0</c:v>
                </c:pt>
              </c:numCache>
            </c:numRef>
          </c:xVal>
          <c:yVal>
            <c:numRef>
              <c:f>'Cross Section Analysis'!$S$78:$S$81</c:f>
              <c:numCache>
                <c:formatCode>0.000</c:formatCode>
                <c:ptCount val="4"/>
                <c:pt idx="0">
                  <c:v>-12.000000000000004</c:v>
                </c:pt>
                <c:pt idx="1">
                  <c:v>-12.000000000000004</c:v>
                </c:pt>
                <c:pt idx="2">
                  <c:v>12</c:v>
                </c:pt>
                <c:pt idx="3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4F-4BD7-8B04-DD0A481FA8C3}"/>
            </c:ext>
          </c:extLst>
        </c:ser>
        <c:ser>
          <c:idx val="2"/>
          <c:order val="2"/>
          <c:tx>
            <c:strRef>
              <c:f>'Cross Section Analysis'!$A$98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Analysis'!$F$98</c:f>
              <c:numCache>
                <c:formatCode>0.000000</c:formatCode>
                <c:ptCount val="1"/>
                <c:pt idx="0">
                  <c:v>2.6837845400731301E-3</c:v>
                </c:pt>
              </c:numCache>
            </c:numRef>
          </c:xVal>
          <c:yVal>
            <c:numRef>
              <c:f>'Cross Section Analysis'!$D$98</c:f>
              <c:numCache>
                <c:formatCode>General</c:formatCode>
                <c:ptCount val="1"/>
                <c:pt idx="0">
                  <c:v>8.8749999999999982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4F-4BD7-8B04-DD0A481FA8C3}"/>
            </c:ext>
          </c:extLst>
        </c:ser>
        <c:ser>
          <c:idx val="3"/>
          <c:order val="3"/>
          <c:tx>
            <c:strRef>
              <c:f>'Cross Section Analysis'!$A$99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Analysis'!$F$99</c:f>
              <c:numCache>
                <c:formatCode>0.000000</c:formatCode>
                <c:ptCount val="1"/>
                <c:pt idx="0">
                  <c:v>2.6837845400731301E-3</c:v>
                </c:pt>
              </c:numCache>
            </c:numRef>
          </c:xVal>
          <c:yVal>
            <c:numRef>
              <c:f>'Cross Section Analysis'!$D$99</c:f>
              <c:numCache>
                <c:formatCode>General</c:formatCode>
                <c:ptCount val="1"/>
                <c:pt idx="0">
                  <c:v>8.8749999999999982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4F-4BD7-8B04-DD0A481FA8C3}"/>
            </c:ext>
          </c:extLst>
        </c:ser>
        <c:ser>
          <c:idx val="4"/>
          <c:order val="4"/>
          <c:tx>
            <c:strRef>
              <c:f>'Cross Section Analysis'!$A$100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Analysis'!$F$100</c:f>
              <c:numCache>
                <c:formatCode>0.000000</c:formatCode>
                <c:ptCount val="1"/>
                <c:pt idx="0">
                  <c:v>2.6837845400731301E-3</c:v>
                </c:pt>
              </c:numCache>
            </c:numRef>
          </c:xVal>
          <c:yVal>
            <c:numRef>
              <c:f>'Cross Section Analysis'!$D$100</c:f>
              <c:numCache>
                <c:formatCode>General</c:formatCode>
                <c:ptCount val="1"/>
                <c:pt idx="0">
                  <c:v>8.8749999999999982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4F-4BD7-8B04-DD0A481FA8C3}"/>
            </c:ext>
          </c:extLst>
        </c:ser>
        <c:ser>
          <c:idx val="5"/>
          <c:order val="5"/>
          <c:tx>
            <c:strRef>
              <c:f>'Cross Section Analysis'!$A$101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'Cross Section Analysis'!$F$101</c:f>
              <c:numCache>
                <c:formatCode>0.000000</c:formatCode>
                <c:ptCount val="1"/>
                <c:pt idx="0">
                  <c:v>2.0850832692782574E-3</c:v>
                </c:pt>
              </c:numCache>
            </c:numRef>
          </c:xVal>
          <c:yVal>
            <c:numRef>
              <c:f>'Cross Section Analysis'!$D$101</c:f>
              <c:numCache>
                <c:formatCode>General</c:formatCode>
                <c:ptCount val="1"/>
                <c:pt idx="0">
                  <c:v>2.9583333333333308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4F-4BD7-8B04-DD0A481FA8C3}"/>
            </c:ext>
          </c:extLst>
        </c:ser>
        <c:ser>
          <c:idx val="6"/>
          <c:order val="6"/>
          <c:tx>
            <c:strRef>
              <c:f>'Cross Section Analysis'!$A$102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Analysis'!$F$102</c:f>
              <c:numCache>
                <c:formatCode>0.000000</c:formatCode>
                <c:ptCount val="1"/>
                <c:pt idx="0">
                  <c:v>2.0850832692782574E-3</c:v>
                </c:pt>
              </c:numCache>
            </c:numRef>
          </c:xVal>
          <c:yVal>
            <c:numRef>
              <c:f>'Cross Section Analysis'!$D$102</c:f>
              <c:numCache>
                <c:formatCode>General</c:formatCode>
                <c:ptCount val="1"/>
                <c:pt idx="0">
                  <c:v>2.9583333333333299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4F-4BD7-8B04-DD0A481FA8C3}"/>
            </c:ext>
          </c:extLst>
        </c:ser>
        <c:ser>
          <c:idx val="7"/>
          <c:order val="7"/>
          <c:tx>
            <c:strRef>
              <c:f>'Cross Section Analysis'!$A$103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Analysis'!$F$103</c:f>
              <c:numCache>
                <c:formatCode>0.000000</c:formatCode>
                <c:ptCount val="1"/>
                <c:pt idx="0">
                  <c:v>1.4863819984833847E-3</c:v>
                </c:pt>
              </c:numCache>
            </c:numRef>
          </c:xVal>
          <c:yVal>
            <c:numRef>
              <c:f>'Cross Section Analysis'!$D$103</c:f>
              <c:numCache>
                <c:formatCode>General</c:formatCode>
                <c:ptCount val="1"/>
                <c:pt idx="0">
                  <c:v>-2.9583333333333353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04F-4BD7-8B04-DD0A481FA8C3}"/>
            </c:ext>
          </c:extLst>
        </c:ser>
        <c:ser>
          <c:idx val="8"/>
          <c:order val="8"/>
          <c:tx>
            <c:strRef>
              <c:f>'Cross Section Analysis'!$A$104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Analysis'!$F$104</c:f>
              <c:numCache>
                <c:formatCode>0.000000</c:formatCode>
                <c:ptCount val="1"/>
                <c:pt idx="0">
                  <c:v>1.4863819984833847E-3</c:v>
                </c:pt>
              </c:numCache>
            </c:numRef>
          </c:xVal>
          <c:yVal>
            <c:numRef>
              <c:f>'Cross Section Analysis'!$D$104</c:f>
              <c:numCache>
                <c:formatCode>General</c:formatCode>
                <c:ptCount val="1"/>
                <c:pt idx="0">
                  <c:v>-2.9583333333333361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04F-4BD7-8B04-DD0A481FA8C3}"/>
            </c:ext>
          </c:extLst>
        </c:ser>
        <c:ser>
          <c:idx val="9"/>
          <c:order val="9"/>
          <c:tx>
            <c:strRef>
              <c:f>'Cross Section Analysis'!$A$105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Analysis'!$F$105</c:f>
              <c:numCache>
                <c:formatCode>0.000000</c:formatCode>
                <c:ptCount val="1"/>
                <c:pt idx="0">
                  <c:v>8.8768072768851216E-4</c:v>
                </c:pt>
              </c:numCache>
            </c:numRef>
          </c:xVal>
          <c:yVal>
            <c:numRef>
              <c:f>'Cross Section Analysis'!$D$105</c:f>
              <c:numCache>
                <c:formatCode>General</c:formatCode>
                <c:ptCount val="1"/>
                <c:pt idx="0">
                  <c:v>-8.8750000000000018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04F-4BD7-8B04-DD0A481FA8C3}"/>
            </c:ext>
          </c:extLst>
        </c:ser>
        <c:ser>
          <c:idx val="10"/>
          <c:order val="10"/>
          <c:tx>
            <c:strRef>
              <c:f>'Cross Section Analysis'!$A$106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Analysis'!$F$106</c:f>
              <c:numCache>
                <c:formatCode>0.000000</c:formatCode>
                <c:ptCount val="1"/>
                <c:pt idx="0">
                  <c:v>8.8768072768851216E-4</c:v>
                </c:pt>
              </c:numCache>
            </c:numRef>
          </c:xVal>
          <c:yVal>
            <c:numRef>
              <c:f>'Cross Section Analysis'!$D$106</c:f>
              <c:numCache>
                <c:formatCode>General</c:formatCode>
                <c:ptCount val="1"/>
                <c:pt idx="0">
                  <c:v>-8.8750000000000018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04F-4BD7-8B04-DD0A481FA8C3}"/>
            </c:ext>
          </c:extLst>
        </c:ser>
        <c:ser>
          <c:idx val="11"/>
          <c:order val="11"/>
          <c:tx>
            <c:strRef>
              <c:f>'Cross Section Analysis'!$A$107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Analysis'!$F$107</c:f>
              <c:numCache>
                <c:formatCode>0.000000</c:formatCode>
                <c:ptCount val="1"/>
                <c:pt idx="0">
                  <c:v>8.8768072768851216E-4</c:v>
                </c:pt>
              </c:numCache>
            </c:numRef>
          </c:xVal>
          <c:yVal>
            <c:numRef>
              <c:f>'Cross Section Analysis'!$D$107</c:f>
              <c:numCache>
                <c:formatCode>General</c:formatCode>
                <c:ptCount val="1"/>
                <c:pt idx="0">
                  <c:v>-8.8750000000000018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04F-4BD7-8B04-DD0A481FA8C3}"/>
            </c:ext>
          </c:extLst>
        </c:ser>
        <c:ser>
          <c:idx val="12"/>
          <c:order val="12"/>
          <c:tx>
            <c:strRef>
              <c:f>'Cross Section Analysis'!$A$108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'Cross Section Analysis'!$F$108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Analysis'!$D$108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04F-4BD7-8B04-DD0A481FA8C3}"/>
            </c:ext>
          </c:extLst>
        </c:ser>
        <c:ser>
          <c:idx val="13"/>
          <c:order val="13"/>
          <c:tx>
            <c:strRef>
              <c:f>'Cross Section Analysis'!$A$109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'Cross Section Analysis'!$F$109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Analysis'!$D$109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04F-4BD7-8B04-DD0A481FA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957264"/>
        <c:axId val="1034520864"/>
      </c:scatterChart>
      <c:valAx>
        <c:axId val="795957264"/>
        <c:scaling>
          <c:orientation val="minMax"/>
          <c:max val="3.500000000000000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520864"/>
        <c:crosses val="autoZero"/>
        <c:crossBetween val="midCat"/>
      </c:valAx>
      <c:valAx>
        <c:axId val="10345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5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3D Failure Surface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87098728043629E-4"/>
          <c:y val="5.3099681960938762E-2"/>
          <c:w val="0.76590308903694726"/>
          <c:h val="0.90140960808869819"/>
        </c:manualLayout>
      </c:layout>
      <c:scatterChart>
        <c:scatterStyle val="lineMarker"/>
        <c:varyColors val="0"/>
        <c:ser>
          <c:idx val="0"/>
          <c:order val="0"/>
          <c:tx>
            <c:v>z-axis (P)</c:v>
          </c:tx>
          <c:spPr>
            <a:ln w="12700" cap="rnd">
              <a:solidFill>
                <a:srgbClr val="FF00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failure_surface!$E$13:$E$14</c:f>
              <c:numCache>
                <c:formatCode>General</c:formatCode>
                <c:ptCount val="2"/>
                <c:pt idx="0">
                  <c:v>-6.4393802789997068E-14</c:v>
                </c:pt>
                <c:pt idx="1">
                  <c:v>2.0538016252957814E-13</c:v>
                </c:pt>
              </c:numCache>
            </c:numRef>
          </c:xVal>
          <c:yVal>
            <c:numRef>
              <c:f>failure_surface!$F$13:$F$14</c:f>
              <c:numCache>
                <c:formatCode>General</c:formatCode>
                <c:ptCount val="2"/>
                <c:pt idx="0">
                  <c:v>-371.65532419164936</c:v>
                </c:pt>
                <c:pt idx="1">
                  <c:v>1185.3723119349802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D-4984-B106-1700280D5561}"/>
            </c:ext>
          </c:extLst>
        </c:ser>
        <c:ser>
          <c:idx val="1"/>
          <c:order val="1"/>
          <c:tx>
            <c:v>x-axis (Mx)</c:v>
          </c:tx>
          <c:spPr>
            <a:ln w="1270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failure_surface!$E$3:$E$4</c:f>
              <c:numCache>
                <c:formatCode>General</c:formatCode>
                <c:ptCount val="2"/>
                <c:pt idx="0">
                  <c:v>673.84902497255882</c:v>
                </c:pt>
                <c:pt idx="1">
                  <c:v>-673.84902497255905</c:v>
                </c:pt>
              </c:numCache>
            </c:numRef>
          </c:xVal>
          <c:yVal>
            <c:numRef>
              <c:f>failure_surface!$F$3:$F$4</c:f>
              <c:numCache>
                <c:formatCode>General</c:formatCode>
                <c:ptCount val="2"/>
                <c:pt idx="0">
                  <c:v>-5.837626747133482E-14</c:v>
                </c:pt>
                <c:pt idx="1">
                  <c:v>5.8376267471334845E-14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4D-4984-B106-1700280D5561}"/>
            </c:ext>
          </c:extLst>
        </c:ser>
        <c:ser>
          <c:idx val="2"/>
          <c:order val="2"/>
          <c:tx>
            <c:v>y-axis (My)</c:v>
          </c:tx>
          <c:spPr>
            <a:ln w="12700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failure_surface!$E$8:$E$9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failure_surface!$F$8:$F$9</c:f>
              <c:numCache>
                <c:formatCode>General</c:formatCode>
                <c:ptCount val="2"/>
                <c:pt idx="0">
                  <c:v>-313.82071985244744</c:v>
                </c:pt>
                <c:pt idx="1">
                  <c:v>313.82071985244744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4D-4984-B106-1700280D5561}"/>
            </c:ext>
          </c:extLst>
        </c:ser>
        <c:ser>
          <c:idx val="3"/>
          <c:order val="3"/>
          <c:tx>
            <c:v>failure sruface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failure_surface!$E$19:$E$1866</c:f>
              <c:numCache>
                <c:formatCode>General</c:formatCode>
                <c:ptCount val="1848"/>
                <c:pt idx="0">
                  <c:v>0.9994998849944301</c:v>
                </c:pt>
                <c:pt idx="1">
                  <c:v>0.99530818596308201</c:v>
                </c:pt>
                <c:pt idx="2">
                  <c:v>0.99333844137199168</c:v>
                </c:pt>
                <c:pt idx="3">
                  <c:v>0.99177872840710413</c:v>
                </c:pt>
                <c:pt idx="4">
                  <c:v>0.99042517292009791</c:v>
                </c:pt>
                <c:pt idx="5">
                  <c:v>0.98915640685546069</c:v>
                </c:pt>
                <c:pt idx="6">
                  <c:v>0.98793428574093101</c:v>
                </c:pt>
                <c:pt idx="7">
                  <c:v>0.98671228902008834</c:v>
                </c:pt>
                <c:pt idx="8">
                  <c:v>0.98545400116585891</c:v>
                </c:pt>
                <c:pt idx="9">
                  <c:v>0.98412050161468889</c:v>
                </c:pt>
                <c:pt idx="10">
                  <c:v>0.98266475368847861</c:v>
                </c:pt>
                <c:pt idx="11">
                  <c:v>0.98102318206194516</c:v>
                </c:pt>
                <c:pt idx="12">
                  <c:v>0.97910140485094577</c:v>
                </c:pt>
                <c:pt idx="13">
                  <c:v>0.97674584852038515</c:v>
                </c:pt>
                <c:pt idx="14">
                  <c:v>0.97367933510400906</c:v>
                </c:pt>
                <c:pt idx="15">
                  <c:v>0.96932323231141959</c:v>
                </c:pt>
                <c:pt idx="16">
                  <c:v>0.96218394105824678</c:v>
                </c:pt>
                <c:pt idx="17">
                  <c:v>0.94631333765074344</c:v>
                </c:pt>
                <c:pt idx="18">
                  <c:v>-6.0428388132593395E-14</c:v>
                </c:pt>
                <c:pt idx="19">
                  <c:v>-0.94631333765081138</c:v>
                </c:pt>
                <c:pt idx="20">
                  <c:v>-0.96218394105835814</c:v>
                </c:pt>
                <c:pt idx="21">
                  <c:v>-0.9693232323115426</c:v>
                </c:pt>
                <c:pt idx="22">
                  <c:v>-0.97367933510406479</c:v>
                </c:pt>
                <c:pt idx="23">
                  <c:v>-0.97674584852047552</c:v>
                </c:pt>
                <c:pt idx="24">
                  <c:v>-0.97910140485103014</c:v>
                </c:pt>
                <c:pt idx="25">
                  <c:v>-0.98102318206202987</c:v>
                </c:pt>
                <c:pt idx="26">
                  <c:v>-0.98266475368859718</c:v>
                </c:pt>
                <c:pt idx="27">
                  <c:v>-0.98412050161480868</c:v>
                </c:pt>
                <c:pt idx="28">
                  <c:v>-0.98545400116594362</c:v>
                </c:pt>
                <c:pt idx="29">
                  <c:v>-0.98671228902020136</c:v>
                </c:pt>
                <c:pt idx="30">
                  <c:v>-0.98793428574101527</c:v>
                </c:pt>
                <c:pt idx="31">
                  <c:v>-0.98915640685549988</c:v>
                </c:pt>
                <c:pt idx="32">
                  <c:v>-0.99042517292018672</c:v>
                </c:pt>
                <c:pt idx="33">
                  <c:v>-0.9917787284071774</c:v>
                </c:pt>
                <c:pt idx="34">
                  <c:v>-0.99333844137204608</c:v>
                </c:pt>
                <c:pt idx="35">
                  <c:v>-0.99530818596316639</c:v>
                </c:pt>
                <c:pt idx="36">
                  <c:v>-0.99949988499468112</c:v>
                </c:pt>
                <c:pt idx="37">
                  <c:v>-0.99530818596318338</c:v>
                </c:pt>
                <c:pt idx="38">
                  <c:v>-0.99333844137207572</c:v>
                </c:pt>
                <c:pt idx="39">
                  <c:v>-0.99177872840717773</c:v>
                </c:pt>
                <c:pt idx="40">
                  <c:v>-0.99042517292017573</c:v>
                </c:pt>
                <c:pt idx="41">
                  <c:v>-0.98915640685550066</c:v>
                </c:pt>
                <c:pt idx="42">
                  <c:v>-0.98793428574098641</c:v>
                </c:pt>
                <c:pt idx="43">
                  <c:v>-0.98671228902012442</c:v>
                </c:pt>
                <c:pt idx="44">
                  <c:v>-0.98545400116593729</c:v>
                </c:pt>
                <c:pt idx="45">
                  <c:v>-0.98412050161480591</c:v>
                </c:pt>
                <c:pt idx="46">
                  <c:v>-0.98266475368858675</c:v>
                </c:pt>
                <c:pt idx="47">
                  <c:v>-0.98102318206204187</c:v>
                </c:pt>
                <c:pt idx="48">
                  <c:v>-0.97910140485104291</c:v>
                </c:pt>
                <c:pt idx="49">
                  <c:v>-0.97674584852045976</c:v>
                </c:pt>
                <c:pt idx="50">
                  <c:v>-0.97367933510405424</c:v>
                </c:pt>
                <c:pt idx="51">
                  <c:v>-0.96932323231156259</c:v>
                </c:pt>
                <c:pt idx="52">
                  <c:v>-0.96218394105835336</c:v>
                </c:pt>
                <c:pt idx="53">
                  <c:v>-0.94631333765081116</c:v>
                </c:pt>
                <c:pt idx="54">
                  <c:v>-6.0415065456297893E-14</c:v>
                </c:pt>
                <c:pt idx="55">
                  <c:v>0.94631333765074077</c:v>
                </c:pt>
                <c:pt idx="56">
                  <c:v>0.96218394105826721</c:v>
                </c:pt>
                <c:pt idx="57">
                  <c:v>0.96932323231144135</c:v>
                </c:pt>
                <c:pt idx="58">
                  <c:v>0.97367933510398608</c:v>
                </c:pt>
                <c:pt idx="59">
                  <c:v>0.97674584852038093</c:v>
                </c:pt>
                <c:pt idx="60">
                  <c:v>0.97910140485094399</c:v>
                </c:pt>
                <c:pt idx="61">
                  <c:v>0.98102318206194994</c:v>
                </c:pt>
                <c:pt idx="62">
                  <c:v>0.98266475368847239</c:v>
                </c:pt>
                <c:pt idx="63">
                  <c:v>0.98412050161467568</c:v>
                </c:pt>
                <c:pt idx="64">
                  <c:v>0.98545400116584692</c:v>
                </c:pt>
                <c:pt idx="65">
                  <c:v>0.98671228902009778</c:v>
                </c:pt>
                <c:pt idx="66">
                  <c:v>0.98793428574097186</c:v>
                </c:pt>
                <c:pt idx="67">
                  <c:v>0.9891564068554205</c:v>
                </c:pt>
                <c:pt idx="68">
                  <c:v>0.99042517292012333</c:v>
                </c:pt>
                <c:pt idx="69">
                  <c:v>0.99177872840710801</c:v>
                </c:pt>
                <c:pt idx="70">
                  <c:v>0.9933384413719949</c:v>
                </c:pt>
                <c:pt idx="71">
                  <c:v>78.281421149402306</c:v>
                </c:pt>
                <c:pt idx="72">
                  <c:v>75.814987080325068</c:v>
                </c:pt>
                <c:pt idx="73">
                  <c:v>71.74258946861805</c:v>
                </c:pt>
                <c:pt idx="74">
                  <c:v>70.043134438213116</c:v>
                </c:pt>
                <c:pt idx="75">
                  <c:v>69.127649125973377</c:v>
                </c:pt>
                <c:pt idx="76">
                  <c:v>68.547067045557085</c:v>
                </c:pt>
                <c:pt idx="77">
                  <c:v>68.007612364599524</c:v>
                </c:pt>
                <c:pt idx="78">
                  <c:v>67.536423387436088</c:v>
                </c:pt>
                <c:pt idx="79">
                  <c:v>67.117259092680086</c:v>
                </c:pt>
                <c:pt idx="80">
                  <c:v>66.719898308350054</c:v>
                </c:pt>
                <c:pt idx="81">
                  <c:v>66.317516062366565</c:v>
                </c:pt>
                <c:pt idx="82">
                  <c:v>65.879617513288466</c:v>
                </c:pt>
                <c:pt idx="83">
                  <c:v>65.362543062379643</c:v>
                </c:pt>
                <c:pt idx="84">
                  <c:v>64.690687335949917</c:v>
                </c:pt>
                <c:pt idx="85">
                  <c:v>63.709154052635171</c:v>
                </c:pt>
                <c:pt idx="86">
                  <c:v>62.03500544311418</c:v>
                </c:pt>
                <c:pt idx="87">
                  <c:v>58.318165325989568</c:v>
                </c:pt>
                <c:pt idx="88">
                  <c:v>45.967314670880988</c:v>
                </c:pt>
                <c:pt idx="89">
                  <c:v>-5.8306467312591339E-14</c:v>
                </c:pt>
                <c:pt idx="90">
                  <c:v>-45.967314670881052</c:v>
                </c:pt>
                <c:pt idx="91">
                  <c:v>-58.318165325989732</c:v>
                </c:pt>
                <c:pt idx="92">
                  <c:v>-62.035005443114343</c:v>
                </c:pt>
                <c:pt idx="93">
                  <c:v>-63.709154052635256</c:v>
                </c:pt>
                <c:pt idx="94">
                  <c:v>-64.690687335950017</c:v>
                </c:pt>
                <c:pt idx="95">
                  <c:v>-65.362543062379714</c:v>
                </c:pt>
                <c:pt idx="96">
                  <c:v>-65.87961751328865</c:v>
                </c:pt>
                <c:pt idx="97">
                  <c:v>-66.31751606236665</c:v>
                </c:pt>
                <c:pt idx="98">
                  <c:v>-66.719898308350281</c:v>
                </c:pt>
                <c:pt idx="99">
                  <c:v>-67.1172590926802</c:v>
                </c:pt>
                <c:pt idx="100">
                  <c:v>-67.536423387436258</c:v>
                </c:pt>
                <c:pt idx="101">
                  <c:v>-68.007612364599581</c:v>
                </c:pt>
                <c:pt idx="102">
                  <c:v>-68.547067045557256</c:v>
                </c:pt>
                <c:pt idx="103">
                  <c:v>-69.127649125973534</c:v>
                </c:pt>
                <c:pt idx="104">
                  <c:v>-70.043134438213144</c:v>
                </c:pt>
                <c:pt idx="105">
                  <c:v>-71.742589468617965</c:v>
                </c:pt>
                <c:pt idx="106">
                  <c:v>-75.814987080325153</c:v>
                </c:pt>
                <c:pt idx="107">
                  <c:v>-78.281421149402519</c:v>
                </c:pt>
                <c:pt idx="108">
                  <c:v>-75.814987080325167</c:v>
                </c:pt>
                <c:pt idx="109">
                  <c:v>-71.742589468618121</c:v>
                </c:pt>
                <c:pt idx="110">
                  <c:v>-70.043134438213158</c:v>
                </c:pt>
                <c:pt idx="111">
                  <c:v>-69.127649125973548</c:v>
                </c:pt>
                <c:pt idx="112">
                  <c:v>-68.547067045557256</c:v>
                </c:pt>
                <c:pt idx="113">
                  <c:v>-68.007612364599609</c:v>
                </c:pt>
                <c:pt idx="114">
                  <c:v>-67.536423387436258</c:v>
                </c:pt>
                <c:pt idx="115">
                  <c:v>-67.117259092680186</c:v>
                </c:pt>
                <c:pt idx="116">
                  <c:v>-66.71989830835021</c:v>
                </c:pt>
                <c:pt idx="117">
                  <c:v>-66.317516062366636</c:v>
                </c:pt>
                <c:pt idx="118">
                  <c:v>-65.87961751328865</c:v>
                </c:pt>
                <c:pt idx="119">
                  <c:v>-65.362543062379729</c:v>
                </c:pt>
                <c:pt idx="120">
                  <c:v>-64.690687335950003</c:v>
                </c:pt>
                <c:pt idx="121">
                  <c:v>-63.70915405263527</c:v>
                </c:pt>
                <c:pt idx="122">
                  <c:v>-62.035005443114279</c:v>
                </c:pt>
                <c:pt idx="123">
                  <c:v>-58.318165325989717</c:v>
                </c:pt>
                <c:pt idx="124">
                  <c:v>-45.967314670880988</c:v>
                </c:pt>
                <c:pt idx="125">
                  <c:v>-6.0224932699143606E-14</c:v>
                </c:pt>
                <c:pt idx="126">
                  <c:v>45.96731467088086</c:v>
                </c:pt>
                <c:pt idx="127">
                  <c:v>58.318165325989597</c:v>
                </c:pt>
                <c:pt idx="128">
                  <c:v>62.035005443114116</c:v>
                </c:pt>
                <c:pt idx="129">
                  <c:v>63.709154052635171</c:v>
                </c:pt>
                <c:pt idx="130">
                  <c:v>64.690687335949931</c:v>
                </c:pt>
                <c:pt idx="131">
                  <c:v>65.362543062379615</c:v>
                </c:pt>
                <c:pt idx="132">
                  <c:v>65.879617513288466</c:v>
                </c:pt>
                <c:pt idx="133">
                  <c:v>66.317516062366479</c:v>
                </c:pt>
                <c:pt idx="134">
                  <c:v>66.719898308350068</c:v>
                </c:pt>
                <c:pt idx="135">
                  <c:v>67.117259092680086</c:v>
                </c:pt>
                <c:pt idx="136">
                  <c:v>67.536423387436173</c:v>
                </c:pt>
                <c:pt idx="137">
                  <c:v>68.007612364599467</c:v>
                </c:pt>
                <c:pt idx="138">
                  <c:v>68.547067045557128</c:v>
                </c:pt>
                <c:pt idx="139">
                  <c:v>69.12764912597342</c:v>
                </c:pt>
                <c:pt idx="140">
                  <c:v>70.043134438213258</c:v>
                </c:pt>
                <c:pt idx="141">
                  <c:v>71.742589468618036</c:v>
                </c:pt>
                <c:pt idx="142">
                  <c:v>145.92451582746881</c:v>
                </c:pt>
                <c:pt idx="143">
                  <c:v>141.3769767975833</c:v>
                </c:pt>
                <c:pt idx="144">
                  <c:v>136.7814229460252</c:v>
                </c:pt>
                <c:pt idx="145">
                  <c:v>134.60903831358587</c:v>
                </c:pt>
                <c:pt idx="146">
                  <c:v>133.36355586006331</c:v>
                </c:pt>
                <c:pt idx="147">
                  <c:v>132.46999361977177</c:v>
                </c:pt>
                <c:pt idx="148">
                  <c:v>131.56630832278415</c:v>
                </c:pt>
                <c:pt idx="149">
                  <c:v>130.52274883798177</c:v>
                </c:pt>
                <c:pt idx="150">
                  <c:v>127.30016553429854</c:v>
                </c:pt>
                <c:pt idx="151">
                  <c:v>124.30900344033097</c:v>
                </c:pt>
                <c:pt idx="152">
                  <c:v>121.41631633065174</c:v>
                </c:pt>
                <c:pt idx="153">
                  <c:v>118.4927957769296</c:v>
                </c:pt>
                <c:pt idx="154">
                  <c:v>115.3787434870563</c:v>
                </c:pt>
                <c:pt idx="155">
                  <c:v>111.95096056783683</c:v>
                </c:pt>
                <c:pt idx="156">
                  <c:v>108.75985409551535</c:v>
                </c:pt>
                <c:pt idx="157">
                  <c:v>103.4097404033173</c:v>
                </c:pt>
                <c:pt idx="158">
                  <c:v>93.779384413887996</c:v>
                </c:pt>
                <c:pt idx="159">
                  <c:v>71.983481705740743</c:v>
                </c:pt>
                <c:pt idx="160">
                  <c:v>-5.2364555171147486E-14</c:v>
                </c:pt>
                <c:pt idx="161">
                  <c:v>-71.983481705740758</c:v>
                </c:pt>
                <c:pt idx="162">
                  <c:v>-93.779384413887996</c:v>
                </c:pt>
                <c:pt idx="163">
                  <c:v>-103.40974040331729</c:v>
                </c:pt>
                <c:pt idx="164">
                  <c:v>-108.75985409551535</c:v>
                </c:pt>
                <c:pt idx="165">
                  <c:v>-111.95096056783674</c:v>
                </c:pt>
                <c:pt idx="166">
                  <c:v>-115.37874348705628</c:v>
                </c:pt>
                <c:pt idx="167">
                  <c:v>-118.49279577692958</c:v>
                </c:pt>
                <c:pt idx="168">
                  <c:v>-121.4163163306518</c:v>
                </c:pt>
                <c:pt idx="169">
                  <c:v>-124.30900344033095</c:v>
                </c:pt>
                <c:pt idx="170">
                  <c:v>-127.3001655342986</c:v>
                </c:pt>
                <c:pt idx="171">
                  <c:v>-130.52274883798179</c:v>
                </c:pt>
                <c:pt idx="172">
                  <c:v>-131.5663083227841</c:v>
                </c:pt>
                <c:pt idx="173">
                  <c:v>-132.46999361977177</c:v>
                </c:pt>
                <c:pt idx="174">
                  <c:v>-133.36355586006343</c:v>
                </c:pt>
                <c:pt idx="175">
                  <c:v>-134.60903831358573</c:v>
                </c:pt>
                <c:pt idx="176">
                  <c:v>-136.78142294602503</c:v>
                </c:pt>
                <c:pt idx="177">
                  <c:v>-141.37697679758355</c:v>
                </c:pt>
                <c:pt idx="178">
                  <c:v>-145.92451582746909</c:v>
                </c:pt>
                <c:pt idx="179">
                  <c:v>-141.37697679758355</c:v>
                </c:pt>
                <c:pt idx="180">
                  <c:v>-136.78142294602532</c:v>
                </c:pt>
                <c:pt idx="181">
                  <c:v>-134.60903831358587</c:v>
                </c:pt>
                <c:pt idx="182">
                  <c:v>-133.36355586006343</c:v>
                </c:pt>
                <c:pt idx="183">
                  <c:v>-132.46999361977177</c:v>
                </c:pt>
                <c:pt idx="184">
                  <c:v>-131.56630832278421</c:v>
                </c:pt>
                <c:pt idx="185">
                  <c:v>-130.52274883798182</c:v>
                </c:pt>
                <c:pt idx="186">
                  <c:v>-127.3001655342986</c:v>
                </c:pt>
                <c:pt idx="187">
                  <c:v>-124.30900344033105</c:v>
                </c:pt>
                <c:pt idx="188">
                  <c:v>-121.4163163306518</c:v>
                </c:pt>
                <c:pt idx="189">
                  <c:v>-118.49279577692951</c:v>
                </c:pt>
                <c:pt idx="190">
                  <c:v>-115.37874348705635</c:v>
                </c:pt>
                <c:pt idx="191">
                  <c:v>-111.95096056783684</c:v>
                </c:pt>
                <c:pt idx="192">
                  <c:v>-108.75985409551538</c:v>
                </c:pt>
                <c:pt idx="193">
                  <c:v>-103.40974040331723</c:v>
                </c:pt>
                <c:pt idx="194">
                  <c:v>-93.779384413887982</c:v>
                </c:pt>
                <c:pt idx="195">
                  <c:v>-71.983481705740743</c:v>
                </c:pt>
                <c:pt idx="196">
                  <c:v>-5.0019764143139148E-14</c:v>
                </c:pt>
                <c:pt idx="197">
                  <c:v>71.98348170574063</c:v>
                </c:pt>
                <c:pt idx="198">
                  <c:v>93.779384413887939</c:v>
                </c:pt>
                <c:pt idx="199">
                  <c:v>103.40974040331726</c:v>
                </c:pt>
                <c:pt idx="200">
                  <c:v>108.75985409551532</c:v>
                </c:pt>
                <c:pt idx="201">
                  <c:v>111.95096056783673</c:v>
                </c:pt>
                <c:pt idx="202">
                  <c:v>115.37874348705623</c:v>
                </c:pt>
                <c:pt idx="203">
                  <c:v>118.4927957769295</c:v>
                </c:pt>
                <c:pt idx="204">
                  <c:v>121.41631633065174</c:v>
                </c:pt>
                <c:pt idx="205">
                  <c:v>124.309003440331</c:v>
                </c:pt>
                <c:pt idx="206">
                  <c:v>127.30016553429857</c:v>
                </c:pt>
                <c:pt idx="207">
                  <c:v>130.52274883798177</c:v>
                </c:pt>
                <c:pt idx="208">
                  <c:v>131.56630832278412</c:v>
                </c:pt>
                <c:pt idx="209">
                  <c:v>132.4699936197716</c:v>
                </c:pt>
                <c:pt idx="210">
                  <c:v>133.36355586006326</c:v>
                </c:pt>
                <c:pt idx="211">
                  <c:v>134.6090383135859</c:v>
                </c:pt>
                <c:pt idx="212">
                  <c:v>136.78142294602517</c:v>
                </c:pt>
                <c:pt idx="213">
                  <c:v>209.1049435439096</c:v>
                </c:pt>
                <c:pt idx="214">
                  <c:v>206.16560677467402</c:v>
                </c:pt>
                <c:pt idx="215">
                  <c:v>202.18460863909922</c:v>
                </c:pt>
                <c:pt idx="216">
                  <c:v>199.11698145171817</c:v>
                </c:pt>
                <c:pt idx="217">
                  <c:v>197.09513972073472</c:v>
                </c:pt>
                <c:pt idx="218">
                  <c:v>192.80921873691486</c:v>
                </c:pt>
                <c:pt idx="219">
                  <c:v>187.97257313363156</c:v>
                </c:pt>
                <c:pt idx="220">
                  <c:v>183.75438747875091</c:v>
                </c:pt>
                <c:pt idx="221">
                  <c:v>179.86701757277922</c:v>
                </c:pt>
                <c:pt idx="222">
                  <c:v>175.74398011857039</c:v>
                </c:pt>
                <c:pt idx="223">
                  <c:v>172.12971673840889</c:v>
                </c:pt>
                <c:pt idx="224">
                  <c:v>169.05109509916079</c:v>
                </c:pt>
                <c:pt idx="225">
                  <c:v>161.06093836211306</c:v>
                </c:pt>
                <c:pt idx="226">
                  <c:v>152.42268887926528</c:v>
                </c:pt>
                <c:pt idx="227">
                  <c:v>142.46596867066481</c:v>
                </c:pt>
                <c:pt idx="228">
                  <c:v>130.22734826822742</c:v>
                </c:pt>
                <c:pt idx="229">
                  <c:v>111.83841172115469</c:v>
                </c:pt>
                <c:pt idx="230">
                  <c:v>76.232970550812354</c:v>
                </c:pt>
                <c:pt idx="231">
                  <c:v>-8.8466319151187352E-14</c:v>
                </c:pt>
                <c:pt idx="232">
                  <c:v>-76.232970550812283</c:v>
                </c:pt>
                <c:pt idx="233">
                  <c:v>-111.83841172115478</c:v>
                </c:pt>
                <c:pt idx="234">
                  <c:v>-130.22734826822753</c:v>
                </c:pt>
                <c:pt idx="235">
                  <c:v>-142.46596867066492</c:v>
                </c:pt>
                <c:pt idx="236">
                  <c:v>-152.42268887926531</c:v>
                </c:pt>
                <c:pt idx="237">
                  <c:v>-161.06093836211301</c:v>
                </c:pt>
                <c:pt idx="238">
                  <c:v>-169.05109509916079</c:v>
                </c:pt>
                <c:pt idx="239">
                  <c:v>-172.12971673840894</c:v>
                </c:pt>
                <c:pt idx="240">
                  <c:v>-175.74398011857045</c:v>
                </c:pt>
                <c:pt idx="241">
                  <c:v>-179.86701757277928</c:v>
                </c:pt>
                <c:pt idx="242">
                  <c:v>-183.75438747875114</c:v>
                </c:pt>
                <c:pt idx="243">
                  <c:v>-187.97257313363147</c:v>
                </c:pt>
                <c:pt idx="244">
                  <c:v>-192.80921873691489</c:v>
                </c:pt>
                <c:pt idx="245">
                  <c:v>-197.09513972073484</c:v>
                </c:pt>
                <c:pt idx="246">
                  <c:v>-199.1169814517182</c:v>
                </c:pt>
                <c:pt idx="247">
                  <c:v>-202.18460863909928</c:v>
                </c:pt>
                <c:pt idx="248">
                  <c:v>-206.16560677467419</c:v>
                </c:pt>
                <c:pt idx="249">
                  <c:v>-209.10494354390994</c:v>
                </c:pt>
                <c:pt idx="250">
                  <c:v>-206.16560677467416</c:v>
                </c:pt>
                <c:pt idx="251">
                  <c:v>-202.18460863909937</c:v>
                </c:pt>
                <c:pt idx="252">
                  <c:v>-199.11698145171817</c:v>
                </c:pt>
                <c:pt idx="253">
                  <c:v>-197.09513972073481</c:v>
                </c:pt>
                <c:pt idx="254">
                  <c:v>-192.80921873691489</c:v>
                </c:pt>
                <c:pt idx="255">
                  <c:v>-187.97257313363147</c:v>
                </c:pt>
                <c:pt idx="256">
                  <c:v>-183.75438747875108</c:v>
                </c:pt>
                <c:pt idx="257">
                  <c:v>-179.86701757277922</c:v>
                </c:pt>
                <c:pt idx="258">
                  <c:v>-175.74398011857051</c:v>
                </c:pt>
                <c:pt idx="259">
                  <c:v>-172.12971673840892</c:v>
                </c:pt>
                <c:pt idx="260">
                  <c:v>-169.0510950991609</c:v>
                </c:pt>
                <c:pt idx="261">
                  <c:v>-161.06093836211312</c:v>
                </c:pt>
                <c:pt idx="262">
                  <c:v>-152.42268887926534</c:v>
                </c:pt>
                <c:pt idx="263">
                  <c:v>-142.46596867066492</c:v>
                </c:pt>
                <c:pt idx="264">
                  <c:v>-130.22734826822744</c:v>
                </c:pt>
                <c:pt idx="265">
                  <c:v>-111.83841172115473</c:v>
                </c:pt>
                <c:pt idx="266">
                  <c:v>-76.232970550812269</c:v>
                </c:pt>
                <c:pt idx="267">
                  <c:v>-9.0384784537739619E-14</c:v>
                </c:pt>
                <c:pt idx="268">
                  <c:v>76.232970550812155</c:v>
                </c:pt>
                <c:pt idx="269">
                  <c:v>111.83841172115463</c:v>
                </c:pt>
                <c:pt idx="270">
                  <c:v>130.22734826822744</c:v>
                </c:pt>
                <c:pt idx="271">
                  <c:v>142.46596867066478</c:v>
                </c:pt>
                <c:pt idx="272">
                  <c:v>152.42268887926517</c:v>
                </c:pt>
                <c:pt idx="273">
                  <c:v>161.06093836211306</c:v>
                </c:pt>
                <c:pt idx="274">
                  <c:v>169.05109509916079</c:v>
                </c:pt>
                <c:pt idx="275">
                  <c:v>172.12971673840889</c:v>
                </c:pt>
                <c:pt idx="276">
                  <c:v>175.74398011857039</c:v>
                </c:pt>
                <c:pt idx="277">
                  <c:v>179.86701757277925</c:v>
                </c:pt>
                <c:pt idx="278">
                  <c:v>183.75438747875097</c:v>
                </c:pt>
                <c:pt idx="279">
                  <c:v>187.97257313363156</c:v>
                </c:pt>
                <c:pt idx="280">
                  <c:v>192.80921873691483</c:v>
                </c:pt>
                <c:pt idx="281">
                  <c:v>197.09513972073481</c:v>
                </c:pt>
                <c:pt idx="282">
                  <c:v>199.11698145171832</c:v>
                </c:pt>
                <c:pt idx="283">
                  <c:v>202.18460863909922</c:v>
                </c:pt>
                <c:pt idx="284">
                  <c:v>272.33821780085418</c:v>
                </c:pt>
                <c:pt idx="285">
                  <c:v>270.64432544300212</c:v>
                </c:pt>
                <c:pt idx="286">
                  <c:v>267.75015929872836</c:v>
                </c:pt>
                <c:pt idx="287">
                  <c:v>262.89275442715609</c:v>
                </c:pt>
                <c:pt idx="288">
                  <c:v>254.32698658274609</c:v>
                </c:pt>
                <c:pt idx="289">
                  <c:v>247.93364101913812</c:v>
                </c:pt>
                <c:pt idx="290">
                  <c:v>242.61689197129115</c:v>
                </c:pt>
                <c:pt idx="291">
                  <c:v>237.87311379991894</c:v>
                </c:pt>
                <c:pt idx="292">
                  <c:v>233.38052301940809</c:v>
                </c:pt>
                <c:pt idx="293">
                  <c:v>225.6538413434707</c:v>
                </c:pt>
                <c:pt idx="294">
                  <c:v>216.13938250710649</c:v>
                </c:pt>
                <c:pt idx="295">
                  <c:v>206.42236787364644</c:v>
                </c:pt>
                <c:pt idx="296">
                  <c:v>196.55713479256579</c:v>
                </c:pt>
                <c:pt idx="297">
                  <c:v>186.31524259348697</c:v>
                </c:pt>
                <c:pt idx="298">
                  <c:v>168.12228705397112</c:v>
                </c:pt>
                <c:pt idx="299">
                  <c:v>148.42248837650851</c:v>
                </c:pt>
                <c:pt idx="300">
                  <c:v>119.45135234663117</c:v>
                </c:pt>
                <c:pt idx="301">
                  <c:v>73.304445462003244</c:v>
                </c:pt>
                <c:pt idx="302">
                  <c:v>-9.2501709055101857E-14</c:v>
                </c:pt>
                <c:pt idx="303">
                  <c:v>-73.30444546200313</c:v>
                </c:pt>
                <c:pt idx="304">
                  <c:v>-119.45135234663127</c:v>
                </c:pt>
                <c:pt idx="305">
                  <c:v>-148.42248837650845</c:v>
                </c:pt>
                <c:pt idx="306">
                  <c:v>-168.12228705397112</c:v>
                </c:pt>
                <c:pt idx="307">
                  <c:v>-186.31524259348689</c:v>
                </c:pt>
                <c:pt idx="308">
                  <c:v>-196.55713479256565</c:v>
                </c:pt>
                <c:pt idx="309">
                  <c:v>-206.42236787364644</c:v>
                </c:pt>
                <c:pt idx="310">
                  <c:v>-216.13938250710638</c:v>
                </c:pt>
                <c:pt idx="311">
                  <c:v>-225.65384134347082</c:v>
                </c:pt>
                <c:pt idx="312">
                  <c:v>-233.38052301940792</c:v>
                </c:pt>
                <c:pt idx="313">
                  <c:v>-237.87311379991883</c:v>
                </c:pt>
                <c:pt idx="314">
                  <c:v>-242.6168919712911</c:v>
                </c:pt>
                <c:pt idx="315">
                  <c:v>-247.93364101913801</c:v>
                </c:pt>
                <c:pt idx="316">
                  <c:v>-254.32698658274597</c:v>
                </c:pt>
                <c:pt idx="317">
                  <c:v>-262.89275442715598</c:v>
                </c:pt>
                <c:pt idx="318">
                  <c:v>-267.75015929872825</c:v>
                </c:pt>
                <c:pt idx="319">
                  <c:v>-270.64432544300206</c:v>
                </c:pt>
                <c:pt idx="320">
                  <c:v>-272.33821780085435</c:v>
                </c:pt>
                <c:pt idx="321">
                  <c:v>-270.64432544300212</c:v>
                </c:pt>
                <c:pt idx="322">
                  <c:v>-267.75015929872848</c:v>
                </c:pt>
                <c:pt idx="323">
                  <c:v>-262.89275442715598</c:v>
                </c:pt>
                <c:pt idx="324">
                  <c:v>-254.32698658274597</c:v>
                </c:pt>
                <c:pt idx="325">
                  <c:v>-247.93364101913824</c:v>
                </c:pt>
                <c:pt idx="326">
                  <c:v>-242.6168919712913</c:v>
                </c:pt>
                <c:pt idx="327">
                  <c:v>-237.87311379991871</c:v>
                </c:pt>
                <c:pt idx="328">
                  <c:v>-233.38052301940797</c:v>
                </c:pt>
                <c:pt idx="329">
                  <c:v>-225.65384134347079</c:v>
                </c:pt>
                <c:pt idx="330">
                  <c:v>-216.1393825071064</c:v>
                </c:pt>
                <c:pt idx="331">
                  <c:v>-206.42236787364641</c:v>
                </c:pt>
                <c:pt idx="332">
                  <c:v>-196.55713479256573</c:v>
                </c:pt>
                <c:pt idx="333">
                  <c:v>-186.315242593487</c:v>
                </c:pt>
                <c:pt idx="334">
                  <c:v>-168.12228705397118</c:v>
                </c:pt>
                <c:pt idx="335">
                  <c:v>-148.4224883765084</c:v>
                </c:pt>
                <c:pt idx="336">
                  <c:v>-119.45135234663117</c:v>
                </c:pt>
                <c:pt idx="337">
                  <c:v>-73.304445462003088</c:v>
                </c:pt>
                <c:pt idx="338">
                  <c:v>-9.655180264893443E-14</c:v>
                </c:pt>
                <c:pt idx="339">
                  <c:v>73.304445462003045</c:v>
                </c:pt>
                <c:pt idx="340">
                  <c:v>119.45135234663108</c:v>
                </c:pt>
                <c:pt idx="341">
                  <c:v>148.42248837650843</c:v>
                </c:pt>
                <c:pt idx="342">
                  <c:v>168.12228705397101</c:v>
                </c:pt>
                <c:pt idx="343">
                  <c:v>186.31524259348697</c:v>
                </c:pt>
                <c:pt idx="344">
                  <c:v>196.55713479256565</c:v>
                </c:pt>
                <c:pt idx="345">
                  <c:v>206.42236787364644</c:v>
                </c:pt>
                <c:pt idx="346">
                  <c:v>216.13938250710643</c:v>
                </c:pt>
                <c:pt idx="347">
                  <c:v>225.6538413434707</c:v>
                </c:pt>
                <c:pt idx="348">
                  <c:v>233.38052301940809</c:v>
                </c:pt>
                <c:pt idx="349">
                  <c:v>237.87311379991883</c:v>
                </c:pt>
                <c:pt idx="350">
                  <c:v>242.61689197129118</c:v>
                </c:pt>
                <c:pt idx="351">
                  <c:v>247.93364101913818</c:v>
                </c:pt>
                <c:pt idx="352">
                  <c:v>254.32698658274597</c:v>
                </c:pt>
                <c:pt idx="353">
                  <c:v>262.89275442715609</c:v>
                </c:pt>
                <c:pt idx="354">
                  <c:v>267.75015929872831</c:v>
                </c:pt>
                <c:pt idx="355">
                  <c:v>334.91008200965211</c:v>
                </c:pt>
                <c:pt idx="356">
                  <c:v>333.96434075152672</c:v>
                </c:pt>
                <c:pt idx="357">
                  <c:v>330.32054901805645</c:v>
                </c:pt>
                <c:pt idx="358">
                  <c:v>320.31929756348262</c:v>
                </c:pt>
                <c:pt idx="359">
                  <c:v>311.07784208698575</c:v>
                </c:pt>
                <c:pt idx="360">
                  <c:v>303.85513981942336</c:v>
                </c:pt>
                <c:pt idx="361">
                  <c:v>297.68621221928714</c:v>
                </c:pt>
                <c:pt idx="362">
                  <c:v>288.62544516338704</c:v>
                </c:pt>
                <c:pt idx="363">
                  <c:v>278.02056321724803</c:v>
                </c:pt>
                <c:pt idx="364">
                  <c:v>267.9401667785724</c:v>
                </c:pt>
                <c:pt idx="365">
                  <c:v>257.93910307953882</c:v>
                </c:pt>
                <c:pt idx="366">
                  <c:v>245.17843725031113</c:v>
                </c:pt>
                <c:pt idx="367">
                  <c:v>226.99769560403874</c:v>
                </c:pt>
                <c:pt idx="368">
                  <c:v>207.3433278613561</c:v>
                </c:pt>
                <c:pt idx="369">
                  <c:v>188.90647579326853</c:v>
                </c:pt>
                <c:pt idx="370">
                  <c:v>164.4604487577945</c:v>
                </c:pt>
                <c:pt idx="371">
                  <c:v>130.3642726316169</c:v>
                </c:pt>
                <c:pt idx="372">
                  <c:v>70.713140490272508</c:v>
                </c:pt>
                <c:pt idx="373">
                  <c:v>-6.3503614638711405E-14</c:v>
                </c:pt>
                <c:pt idx="374">
                  <c:v>-70.713140490272352</c:v>
                </c:pt>
                <c:pt idx="375">
                  <c:v>-130.36427263161696</c:v>
                </c:pt>
                <c:pt idx="376">
                  <c:v>-164.46044875779447</c:v>
                </c:pt>
                <c:pt idx="377">
                  <c:v>-188.9064757932685</c:v>
                </c:pt>
                <c:pt idx="378">
                  <c:v>-207.34332786135613</c:v>
                </c:pt>
                <c:pt idx="379">
                  <c:v>-226.99769560403868</c:v>
                </c:pt>
                <c:pt idx="380">
                  <c:v>-245.17843725031105</c:v>
                </c:pt>
                <c:pt idx="381">
                  <c:v>-257.93910307953882</c:v>
                </c:pt>
                <c:pt idx="382">
                  <c:v>-267.94016677857246</c:v>
                </c:pt>
                <c:pt idx="383">
                  <c:v>-278.02056321724803</c:v>
                </c:pt>
                <c:pt idx="384">
                  <c:v>-288.6254451633871</c:v>
                </c:pt>
                <c:pt idx="385">
                  <c:v>-297.68621221928709</c:v>
                </c:pt>
                <c:pt idx="386">
                  <c:v>-303.85513981942341</c:v>
                </c:pt>
                <c:pt idx="387">
                  <c:v>-311.07784208698575</c:v>
                </c:pt>
                <c:pt idx="388">
                  <c:v>-320.31929756348262</c:v>
                </c:pt>
                <c:pt idx="389">
                  <c:v>-330.3205490180564</c:v>
                </c:pt>
                <c:pt idx="390">
                  <c:v>-333.96434075152678</c:v>
                </c:pt>
                <c:pt idx="391">
                  <c:v>-334.91008200965211</c:v>
                </c:pt>
                <c:pt idx="392">
                  <c:v>-333.96434075152678</c:v>
                </c:pt>
                <c:pt idx="393">
                  <c:v>-330.32054901805645</c:v>
                </c:pt>
                <c:pt idx="394">
                  <c:v>-320.31929756348262</c:v>
                </c:pt>
                <c:pt idx="395">
                  <c:v>-311.07784208698575</c:v>
                </c:pt>
                <c:pt idx="396">
                  <c:v>-303.8551398194233</c:v>
                </c:pt>
                <c:pt idx="397">
                  <c:v>-297.68621221928692</c:v>
                </c:pt>
                <c:pt idx="398">
                  <c:v>-288.62544516338704</c:v>
                </c:pt>
                <c:pt idx="399">
                  <c:v>-278.02056321724797</c:v>
                </c:pt>
                <c:pt idx="400">
                  <c:v>-267.9401667785724</c:v>
                </c:pt>
                <c:pt idx="401">
                  <c:v>-257.93910307953882</c:v>
                </c:pt>
                <c:pt idx="402">
                  <c:v>-245.17843725031108</c:v>
                </c:pt>
                <c:pt idx="403">
                  <c:v>-226.99769560403885</c:v>
                </c:pt>
                <c:pt idx="404">
                  <c:v>-207.34332786135622</c:v>
                </c:pt>
                <c:pt idx="405">
                  <c:v>-188.90647579326861</c:v>
                </c:pt>
                <c:pt idx="406">
                  <c:v>-164.46044875779435</c:v>
                </c:pt>
                <c:pt idx="407">
                  <c:v>-130.36427263161681</c:v>
                </c:pt>
                <c:pt idx="408">
                  <c:v>-70.713140490272323</c:v>
                </c:pt>
                <c:pt idx="409">
                  <c:v>-6.8619522336184118E-14</c:v>
                </c:pt>
                <c:pt idx="410">
                  <c:v>70.713140490272281</c:v>
                </c:pt>
                <c:pt idx="411">
                  <c:v>130.36427263161679</c:v>
                </c:pt>
                <c:pt idx="412">
                  <c:v>164.46044875779441</c:v>
                </c:pt>
                <c:pt idx="413">
                  <c:v>188.90647579326836</c:v>
                </c:pt>
                <c:pt idx="414">
                  <c:v>207.34332786135602</c:v>
                </c:pt>
                <c:pt idx="415">
                  <c:v>226.99769560403874</c:v>
                </c:pt>
                <c:pt idx="416">
                  <c:v>245.17843725031111</c:v>
                </c:pt>
                <c:pt idx="417">
                  <c:v>257.93910307953882</c:v>
                </c:pt>
                <c:pt idx="418">
                  <c:v>267.94016677857235</c:v>
                </c:pt>
                <c:pt idx="419">
                  <c:v>278.02056321724803</c:v>
                </c:pt>
                <c:pt idx="420">
                  <c:v>288.6254451633871</c:v>
                </c:pt>
                <c:pt idx="421">
                  <c:v>297.68621221928714</c:v>
                </c:pt>
                <c:pt idx="422">
                  <c:v>303.85513981942336</c:v>
                </c:pt>
                <c:pt idx="423">
                  <c:v>311.07784208698587</c:v>
                </c:pt>
                <c:pt idx="424">
                  <c:v>320.31929756348262</c:v>
                </c:pt>
                <c:pt idx="425">
                  <c:v>330.32054901805645</c:v>
                </c:pt>
                <c:pt idx="426">
                  <c:v>395.86778439269955</c:v>
                </c:pt>
                <c:pt idx="427">
                  <c:v>393.54928369770641</c:v>
                </c:pt>
                <c:pt idx="428">
                  <c:v>385.56612605649701</c:v>
                </c:pt>
                <c:pt idx="429">
                  <c:v>375.89155685251927</c:v>
                </c:pt>
                <c:pt idx="430">
                  <c:v>365.15421900578804</c:v>
                </c:pt>
                <c:pt idx="431">
                  <c:v>355.89624613576888</c:v>
                </c:pt>
                <c:pt idx="432">
                  <c:v>342.30759818257843</c:v>
                </c:pt>
                <c:pt idx="433">
                  <c:v>322.85828701327938</c:v>
                </c:pt>
                <c:pt idx="434">
                  <c:v>306.23123442260589</c:v>
                </c:pt>
                <c:pt idx="435">
                  <c:v>291.56187973082535</c:v>
                </c:pt>
                <c:pt idx="436">
                  <c:v>274.93398882661148</c:v>
                </c:pt>
                <c:pt idx="437">
                  <c:v>256.60331186940914</c:v>
                </c:pt>
                <c:pt idx="438">
                  <c:v>238.42975078322931</c:v>
                </c:pt>
                <c:pt idx="439">
                  <c:v>219.32245354269722</c:v>
                </c:pt>
                <c:pt idx="440">
                  <c:v>197.30339130977501</c:v>
                </c:pt>
                <c:pt idx="441">
                  <c:v>175.14000577585963</c:v>
                </c:pt>
                <c:pt idx="442">
                  <c:v>137.20739452530759</c:v>
                </c:pt>
                <c:pt idx="443">
                  <c:v>68.484394621347008</c:v>
                </c:pt>
                <c:pt idx="444">
                  <c:v>-6.1404463650098524E-14</c:v>
                </c:pt>
                <c:pt idx="445">
                  <c:v>-68.484394621346837</c:v>
                </c:pt>
                <c:pt idx="446">
                  <c:v>-137.20739452530771</c:v>
                </c:pt>
                <c:pt idx="447">
                  <c:v>-175.14000577585969</c:v>
                </c:pt>
                <c:pt idx="448">
                  <c:v>-197.30339130977492</c:v>
                </c:pt>
                <c:pt idx="449">
                  <c:v>-219.32245354269725</c:v>
                </c:pt>
                <c:pt idx="450">
                  <c:v>-238.42975078322911</c:v>
                </c:pt>
                <c:pt idx="451">
                  <c:v>-256.60331186940903</c:v>
                </c:pt>
                <c:pt idx="452">
                  <c:v>-274.93398882661148</c:v>
                </c:pt>
                <c:pt idx="453">
                  <c:v>-291.56187973082552</c:v>
                </c:pt>
                <c:pt idx="454">
                  <c:v>-306.23123442260584</c:v>
                </c:pt>
                <c:pt idx="455">
                  <c:v>-322.85828701327927</c:v>
                </c:pt>
                <c:pt idx="456">
                  <c:v>-342.30759818257837</c:v>
                </c:pt>
                <c:pt idx="457">
                  <c:v>-355.89624613576882</c:v>
                </c:pt>
                <c:pt idx="458">
                  <c:v>-365.15421900578798</c:v>
                </c:pt>
                <c:pt idx="459">
                  <c:v>-375.89155685251922</c:v>
                </c:pt>
                <c:pt idx="460">
                  <c:v>-385.56612605649701</c:v>
                </c:pt>
                <c:pt idx="461">
                  <c:v>-393.54928369770624</c:v>
                </c:pt>
                <c:pt idx="462">
                  <c:v>-395.86778439269955</c:v>
                </c:pt>
                <c:pt idx="463">
                  <c:v>-393.54928369770624</c:v>
                </c:pt>
                <c:pt idx="464">
                  <c:v>-385.56612605649713</c:v>
                </c:pt>
                <c:pt idx="465">
                  <c:v>-375.89155685251939</c:v>
                </c:pt>
                <c:pt idx="466">
                  <c:v>-365.15421900578798</c:v>
                </c:pt>
                <c:pt idx="467">
                  <c:v>-355.89624613576882</c:v>
                </c:pt>
                <c:pt idx="468">
                  <c:v>-342.30759818257837</c:v>
                </c:pt>
                <c:pt idx="469">
                  <c:v>-322.85828701327955</c:v>
                </c:pt>
                <c:pt idx="470">
                  <c:v>-306.23123442260595</c:v>
                </c:pt>
                <c:pt idx="471">
                  <c:v>-291.56187973082541</c:v>
                </c:pt>
                <c:pt idx="472">
                  <c:v>-274.93398882661148</c:v>
                </c:pt>
                <c:pt idx="473">
                  <c:v>-256.6033118694092</c:v>
                </c:pt>
                <c:pt idx="474">
                  <c:v>-238.42975078322937</c:v>
                </c:pt>
                <c:pt idx="475">
                  <c:v>-219.32245354269739</c:v>
                </c:pt>
                <c:pt idx="476">
                  <c:v>-197.30339130977512</c:v>
                </c:pt>
                <c:pt idx="477">
                  <c:v>-175.14000577585961</c:v>
                </c:pt>
                <c:pt idx="478">
                  <c:v>-137.20739452530751</c:v>
                </c:pt>
                <c:pt idx="479">
                  <c:v>-68.484394621346837</c:v>
                </c:pt>
                <c:pt idx="480">
                  <c:v>-6.6253917821661177E-14</c:v>
                </c:pt>
                <c:pt idx="481">
                  <c:v>68.48439462134678</c:v>
                </c:pt>
                <c:pt idx="482">
                  <c:v>137.20739452530745</c:v>
                </c:pt>
                <c:pt idx="483">
                  <c:v>175.14000577585961</c:v>
                </c:pt>
                <c:pt idx="484">
                  <c:v>197.30339130977484</c:v>
                </c:pt>
                <c:pt idx="485">
                  <c:v>219.3224535426971</c:v>
                </c:pt>
                <c:pt idx="486">
                  <c:v>238.42975078322931</c:v>
                </c:pt>
                <c:pt idx="487">
                  <c:v>256.60331186940914</c:v>
                </c:pt>
                <c:pt idx="488">
                  <c:v>274.93398882661143</c:v>
                </c:pt>
                <c:pt idx="489">
                  <c:v>291.56187973082547</c:v>
                </c:pt>
                <c:pt idx="490">
                  <c:v>306.23123442260578</c:v>
                </c:pt>
                <c:pt idx="491">
                  <c:v>322.85828701327938</c:v>
                </c:pt>
                <c:pt idx="492">
                  <c:v>342.30759818257837</c:v>
                </c:pt>
                <c:pt idx="493">
                  <c:v>355.89624613576882</c:v>
                </c:pt>
                <c:pt idx="494">
                  <c:v>365.15421900578815</c:v>
                </c:pt>
                <c:pt idx="495">
                  <c:v>375.89155685251944</c:v>
                </c:pt>
                <c:pt idx="496">
                  <c:v>385.56612605649713</c:v>
                </c:pt>
                <c:pt idx="497">
                  <c:v>449.43721720266967</c:v>
                </c:pt>
                <c:pt idx="498">
                  <c:v>442.47761679767859</c:v>
                </c:pt>
                <c:pt idx="499">
                  <c:v>434.69288083825688</c:v>
                </c:pt>
                <c:pt idx="500">
                  <c:v>426.3621427246058</c:v>
                </c:pt>
                <c:pt idx="501">
                  <c:v>416.95169462772174</c:v>
                </c:pt>
                <c:pt idx="502">
                  <c:v>386.65586570004155</c:v>
                </c:pt>
                <c:pt idx="503">
                  <c:v>364.03937450878061</c:v>
                </c:pt>
                <c:pt idx="504">
                  <c:v>344.12501366334254</c:v>
                </c:pt>
                <c:pt idx="505">
                  <c:v>326.49710486667345</c:v>
                </c:pt>
                <c:pt idx="506">
                  <c:v>306.08288835211334</c:v>
                </c:pt>
                <c:pt idx="507">
                  <c:v>287.27248254009692</c:v>
                </c:pt>
                <c:pt idx="508">
                  <c:v>269.16942942459542</c:v>
                </c:pt>
                <c:pt idx="509">
                  <c:v>250.84549329875341</c:v>
                </c:pt>
                <c:pt idx="510">
                  <c:v>231.04034946412895</c:v>
                </c:pt>
                <c:pt idx="511">
                  <c:v>206.79155578127757</c:v>
                </c:pt>
                <c:pt idx="512">
                  <c:v>175.61742728009651</c:v>
                </c:pt>
                <c:pt idx="513">
                  <c:v>135.3125730206379</c:v>
                </c:pt>
                <c:pt idx="514">
                  <c:v>70.639598448262376</c:v>
                </c:pt>
                <c:pt idx="515">
                  <c:v>-5.8733632049466964E-14</c:v>
                </c:pt>
                <c:pt idx="516">
                  <c:v>-70.639598448262149</c:v>
                </c:pt>
                <c:pt idx="517">
                  <c:v>-135.31257302063798</c:v>
                </c:pt>
                <c:pt idx="518">
                  <c:v>-175.61742728009651</c:v>
                </c:pt>
                <c:pt idx="519">
                  <c:v>-206.7915557812774</c:v>
                </c:pt>
                <c:pt idx="520">
                  <c:v>-231.04034946412884</c:v>
                </c:pt>
                <c:pt idx="521">
                  <c:v>-250.84549329875321</c:v>
                </c:pt>
                <c:pt idx="522">
                  <c:v>-269.16942942459548</c:v>
                </c:pt>
                <c:pt idx="523">
                  <c:v>-287.27248254009697</c:v>
                </c:pt>
                <c:pt idx="524">
                  <c:v>-306.0828883521134</c:v>
                </c:pt>
                <c:pt idx="525">
                  <c:v>-326.49710486667368</c:v>
                </c:pt>
                <c:pt idx="526">
                  <c:v>-344.12501366334254</c:v>
                </c:pt>
                <c:pt idx="527">
                  <c:v>-364.03937450878061</c:v>
                </c:pt>
                <c:pt idx="528">
                  <c:v>-386.65586570004137</c:v>
                </c:pt>
                <c:pt idx="529">
                  <c:v>-416.95169462772185</c:v>
                </c:pt>
                <c:pt idx="530">
                  <c:v>-426.36214272460569</c:v>
                </c:pt>
                <c:pt idx="531">
                  <c:v>-434.69288083825688</c:v>
                </c:pt>
                <c:pt idx="532">
                  <c:v>-442.47761679767882</c:v>
                </c:pt>
                <c:pt idx="533">
                  <c:v>-449.43721720266973</c:v>
                </c:pt>
                <c:pt idx="534">
                  <c:v>-442.47761679767882</c:v>
                </c:pt>
                <c:pt idx="535">
                  <c:v>-434.69288083825688</c:v>
                </c:pt>
                <c:pt idx="536">
                  <c:v>-426.3621427246058</c:v>
                </c:pt>
                <c:pt idx="537">
                  <c:v>-416.95169462772185</c:v>
                </c:pt>
                <c:pt idx="538">
                  <c:v>-386.65586570004137</c:v>
                </c:pt>
                <c:pt idx="539">
                  <c:v>-364.03937450878067</c:v>
                </c:pt>
                <c:pt idx="540">
                  <c:v>-344.12501366334271</c:v>
                </c:pt>
                <c:pt idx="541">
                  <c:v>-326.49710486667357</c:v>
                </c:pt>
                <c:pt idx="542">
                  <c:v>-306.0828883521134</c:v>
                </c:pt>
                <c:pt idx="543">
                  <c:v>-287.27248254009703</c:v>
                </c:pt>
                <c:pt idx="544">
                  <c:v>-269.16942942459548</c:v>
                </c:pt>
                <c:pt idx="545">
                  <c:v>-250.84549329875344</c:v>
                </c:pt>
                <c:pt idx="546">
                  <c:v>-231.04034946412898</c:v>
                </c:pt>
                <c:pt idx="547">
                  <c:v>-206.79155578127759</c:v>
                </c:pt>
                <c:pt idx="548">
                  <c:v>-175.61742728009642</c:v>
                </c:pt>
                <c:pt idx="549">
                  <c:v>-135.31257302063787</c:v>
                </c:pt>
                <c:pt idx="550">
                  <c:v>-70.639598448262177</c:v>
                </c:pt>
                <c:pt idx="551">
                  <c:v>-6.3849539746939677E-14</c:v>
                </c:pt>
                <c:pt idx="552">
                  <c:v>70.639598448262078</c:v>
                </c:pt>
                <c:pt idx="553">
                  <c:v>135.31257302063781</c:v>
                </c:pt>
                <c:pt idx="554">
                  <c:v>175.61742728009651</c:v>
                </c:pt>
                <c:pt idx="555">
                  <c:v>206.79155578127737</c:v>
                </c:pt>
                <c:pt idx="556">
                  <c:v>231.04034946412887</c:v>
                </c:pt>
                <c:pt idx="557">
                  <c:v>250.84549329875341</c:v>
                </c:pt>
                <c:pt idx="558">
                  <c:v>269.16942942459542</c:v>
                </c:pt>
                <c:pt idx="559">
                  <c:v>287.27248254009686</c:v>
                </c:pt>
                <c:pt idx="560">
                  <c:v>306.08288835211334</c:v>
                </c:pt>
                <c:pt idx="561">
                  <c:v>326.49710486667345</c:v>
                </c:pt>
                <c:pt idx="562">
                  <c:v>344.12501366334254</c:v>
                </c:pt>
                <c:pt idx="563">
                  <c:v>364.03937450878044</c:v>
                </c:pt>
                <c:pt idx="564">
                  <c:v>386.65586570004132</c:v>
                </c:pt>
                <c:pt idx="565">
                  <c:v>416.95169462772174</c:v>
                </c:pt>
                <c:pt idx="566">
                  <c:v>426.36214272460586</c:v>
                </c:pt>
                <c:pt idx="567">
                  <c:v>434.69288083825683</c:v>
                </c:pt>
                <c:pt idx="568">
                  <c:v>494.63352297756433</c:v>
                </c:pt>
                <c:pt idx="569">
                  <c:v>488.63233382415967</c:v>
                </c:pt>
                <c:pt idx="570">
                  <c:v>483.02908098944124</c:v>
                </c:pt>
                <c:pt idx="571">
                  <c:v>469.62741706817741</c:v>
                </c:pt>
                <c:pt idx="572">
                  <c:v>438.74441529687175</c:v>
                </c:pt>
                <c:pt idx="573">
                  <c:v>410.47625974217732</c:v>
                </c:pt>
                <c:pt idx="574">
                  <c:v>385.35695973291911</c:v>
                </c:pt>
                <c:pt idx="575">
                  <c:v>360.81584971384734</c:v>
                </c:pt>
                <c:pt idx="576">
                  <c:v>337.35572083551818</c:v>
                </c:pt>
                <c:pt idx="577">
                  <c:v>319.03030438086876</c:v>
                </c:pt>
                <c:pt idx="578">
                  <c:v>298.81481314983313</c:v>
                </c:pt>
                <c:pt idx="579">
                  <c:v>278.41184526299185</c:v>
                </c:pt>
                <c:pt idx="580">
                  <c:v>257.99720617911231</c:v>
                </c:pt>
                <c:pt idx="581">
                  <c:v>234.93173664287485</c:v>
                </c:pt>
                <c:pt idx="582">
                  <c:v>208.48413224373925</c:v>
                </c:pt>
                <c:pt idx="583">
                  <c:v>172.39354710838015</c:v>
                </c:pt>
                <c:pt idx="584">
                  <c:v>122.74150527048313</c:v>
                </c:pt>
                <c:pt idx="585">
                  <c:v>70.786883971620114</c:v>
                </c:pt>
                <c:pt idx="586">
                  <c:v>-4.2405587474925667E-14</c:v>
                </c:pt>
                <c:pt idx="587">
                  <c:v>-70.786883971619872</c:v>
                </c:pt>
                <c:pt idx="588">
                  <c:v>-122.7415052704832</c:v>
                </c:pt>
                <c:pt idx="589">
                  <c:v>-172.39354710838018</c:v>
                </c:pt>
                <c:pt idx="590">
                  <c:v>-208.48413224373917</c:v>
                </c:pt>
                <c:pt idx="591">
                  <c:v>-234.93173664287477</c:v>
                </c:pt>
                <c:pt idx="592">
                  <c:v>-257.99720617911214</c:v>
                </c:pt>
                <c:pt idx="593">
                  <c:v>-278.41184526299185</c:v>
                </c:pt>
                <c:pt idx="594">
                  <c:v>-298.81481314983313</c:v>
                </c:pt>
                <c:pt idx="595">
                  <c:v>-319.0303043808687</c:v>
                </c:pt>
                <c:pt idx="596">
                  <c:v>-337.35572083551824</c:v>
                </c:pt>
                <c:pt idx="597">
                  <c:v>-360.81584971384729</c:v>
                </c:pt>
                <c:pt idx="598">
                  <c:v>-385.35695973291894</c:v>
                </c:pt>
                <c:pt idx="599">
                  <c:v>-410.47625974217732</c:v>
                </c:pt>
                <c:pt idx="600">
                  <c:v>-438.74441529687175</c:v>
                </c:pt>
                <c:pt idx="601">
                  <c:v>-469.62741706817741</c:v>
                </c:pt>
                <c:pt idx="602">
                  <c:v>-483.02908098944147</c:v>
                </c:pt>
                <c:pt idx="603">
                  <c:v>-488.63233382415967</c:v>
                </c:pt>
                <c:pt idx="604">
                  <c:v>-494.6335229775645</c:v>
                </c:pt>
                <c:pt idx="605">
                  <c:v>-488.63233382415967</c:v>
                </c:pt>
                <c:pt idx="606">
                  <c:v>-483.02908098944135</c:v>
                </c:pt>
                <c:pt idx="607">
                  <c:v>-469.62741706817735</c:v>
                </c:pt>
                <c:pt idx="608">
                  <c:v>-438.74441529687186</c:v>
                </c:pt>
                <c:pt idx="609">
                  <c:v>-410.47625974217732</c:v>
                </c:pt>
                <c:pt idx="610">
                  <c:v>-385.35695973291899</c:v>
                </c:pt>
                <c:pt idx="611">
                  <c:v>-360.81584971384757</c:v>
                </c:pt>
                <c:pt idx="612">
                  <c:v>-337.35572083551818</c:v>
                </c:pt>
                <c:pt idx="613">
                  <c:v>-319.03030438086881</c:v>
                </c:pt>
                <c:pt idx="614">
                  <c:v>-298.81481314983307</c:v>
                </c:pt>
                <c:pt idx="615">
                  <c:v>-278.41184526299185</c:v>
                </c:pt>
                <c:pt idx="616">
                  <c:v>-257.99720617911231</c:v>
                </c:pt>
                <c:pt idx="617">
                  <c:v>-234.93173664287491</c:v>
                </c:pt>
                <c:pt idx="618">
                  <c:v>-208.4841322437394</c:v>
                </c:pt>
                <c:pt idx="619">
                  <c:v>-172.39354710838003</c:v>
                </c:pt>
                <c:pt idx="620">
                  <c:v>-122.74150527048305</c:v>
                </c:pt>
                <c:pt idx="621">
                  <c:v>-70.786883971619886</c:v>
                </c:pt>
                <c:pt idx="622">
                  <c:v>-6.1377078519720354E-14</c:v>
                </c:pt>
                <c:pt idx="623">
                  <c:v>70.786883971619915</c:v>
                </c:pt>
                <c:pt idx="624">
                  <c:v>122.74150527048303</c:v>
                </c:pt>
                <c:pt idx="625">
                  <c:v>172.39354710838006</c:v>
                </c:pt>
                <c:pt idx="626">
                  <c:v>208.48413224373911</c:v>
                </c:pt>
                <c:pt idx="627">
                  <c:v>234.93173664287468</c:v>
                </c:pt>
                <c:pt idx="628">
                  <c:v>257.99720617911231</c:v>
                </c:pt>
                <c:pt idx="629">
                  <c:v>278.41184526299196</c:v>
                </c:pt>
                <c:pt idx="630">
                  <c:v>298.81481314983301</c:v>
                </c:pt>
                <c:pt idx="631">
                  <c:v>319.03030438086887</c:v>
                </c:pt>
                <c:pt idx="632">
                  <c:v>337.35572083551818</c:v>
                </c:pt>
                <c:pt idx="633">
                  <c:v>360.81584971384734</c:v>
                </c:pt>
                <c:pt idx="634">
                  <c:v>385.35695973291905</c:v>
                </c:pt>
                <c:pt idx="635">
                  <c:v>410.47625974217726</c:v>
                </c:pt>
                <c:pt idx="636">
                  <c:v>438.74441529687175</c:v>
                </c:pt>
                <c:pt idx="637">
                  <c:v>469.62741706817764</c:v>
                </c:pt>
                <c:pt idx="638">
                  <c:v>483.02908098944124</c:v>
                </c:pt>
                <c:pt idx="639">
                  <c:v>538.97925238593666</c:v>
                </c:pt>
                <c:pt idx="640">
                  <c:v>534.22851021546194</c:v>
                </c:pt>
                <c:pt idx="641">
                  <c:v>508.42208136754039</c:v>
                </c:pt>
                <c:pt idx="642">
                  <c:v>479.6653239245889</c:v>
                </c:pt>
                <c:pt idx="643">
                  <c:v>456.48778036419822</c:v>
                </c:pt>
                <c:pt idx="644">
                  <c:v>431.20414265900564</c:v>
                </c:pt>
                <c:pt idx="645">
                  <c:v>401.91479881836182</c:v>
                </c:pt>
                <c:pt idx="646">
                  <c:v>373.82712613907779</c:v>
                </c:pt>
                <c:pt idx="647">
                  <c:v>347.28386747057027</c:v>
                </c:pt>
                <c:pt idx="648">
                  <c:v>323.48929133225244</c:v>
                </c:pt>
                <c:pt idx="649">
                  <c:v>300.92471416727074</c:v>
                </c:pt>
                <c:pt idx="650">
                  <c:v>282.15573073119066</c:v>
                </c:pt>
                <c:pt idx="651">
                  <c:v>260.54573846264765</c:v>
                </c:pt>
                <c:pt idx="652">
                  <c:v>236.94307419538509</c:v>
                </c:pt>
                <c:pt idx="653">
                  <c:v>208.48751526329377</c:v>
                </c:pt>
                <c:pt idx="654">
                  <c:v>168.17579412027808</c:v>
                </c:pt>
                <c:pt idx="655">
                  <c:v>113.02584101216843</c:v>
                </c:pt>
                <c:pt idx="656">
                  <c:v>61.290353434000011</c:v>
                </c:pt>
                <c:pt idx="657">
                  <c:v>-3.9224891912815104E-14</c:v>
                </c:pt>
                <c:pt idx="658">
                  <c:v>-61.290353433999762</c:v>
                </c:pt>
                <c:pt idx="659">
                  <c:v>-113.02584101216847</c:v>
                </c:pt>
                <c:pt idx="660">
                  <c:v>-168.17579412027797</c:v>
                </c:pt>
                <c:pt idx="661">
                  <c:v>-208.48751526329372</c:v>
                </c:pt>
                <c:pt idx="662">
                  <c:v>-236.94307419538498</c:v>
                </c:pt>
                <c:pt idx="663">
                  <c:v>-260.54573846264736</c:v>
                </c:pt>
                <c:pt idx="664">
                  <c:v>-282.15573073119054</c:v>
                </c:pt>
                <c:pt idx="665">
                  <c:v>-300.92471416727062</c:v>
                </c:pt>
                <c:pt idx="666">
                  <c:v>-323.48929133225232</c:v>
                </c:pt>
                <c:pt idx="667">
                  <c:v>-347.28386747057021</c:v>
                </c:pt>
                <c:pt idx="668">
                  <c:v>-373.82712613907768</c:v>
                </c:pt>
                <c:pt idx="669">
                  <c:v>-401.91479881836176</c:v>
                </c:pt>
                <c:pt idx="670">
                  <c:v>-431.20414265900541</c:v>
                </c:pt>
                <c:pt idx="671">
                  <c:v>-456.48778036419804</c:v>
                </c:pt>
                <c:pt idx="672">
                  <c:v>-479.66532392458856</c:v>
                </c:pt>
                <c:pt idx="673">
                  <c:v>-508.42208136754016</c:v>
                </c:pt>
                <c:pt idx="674">
                  <c:v>-534.22851021546194</c:v>
                </c:pt>
                <c:pt idx="675">
                  <c:v>-538.97925238593655</c:v>
                </c:pt>
                <c:pt idx="676">
                  <c:v>-534.22851021546182</c:v>
                </c:pt>
                <c:pt idx="677">
                  <c:v>-508.42208136754033</c:v>
                </c:pt>
                <c:pt idx="678">
                  <c:v>-479.66532392458862</c:v>
                </c:pt>
                <c:pt idx="679">
                  <c:v>-456.48778036419799</c:v>
                </c:pt>
                <c:pt idx="680">
                  <c:v>-431.20414265900541</c:v>
                </c:pt>
                <c:pt idx="681">
                  <c:v>-401.91479881836176</c:v>
                </c:pt>
                <c:pt idx="682">
                  <c:v>-373.8271261390779</c:v>
                </c:pt>
                <c:pt idx="683">
                  <c:v>-347.28386747057021</c:v>
                </c:pt>
                <c:pt idx="684">
                  <c:v>-323.48929133225232</c:v>
                </c:pt>
                <c:pt idx="685">
                  <c:v>-300.92471416727074</c:v>
                </c:pt>
                <c:pt idx="686">
                  <c:v>-282.15573073119066</c:v>
                </c:pt>
                <c:pt idx="687">
                  <c:v>-260.54573846264759</c:v>
                </c:pt>
                <c:pt idx="688">
                  <c:v>-236.94307419538512</c:v>
                </c:pt>
                <c:pt idx="689">
                  <c:v>-208.48751526329391</c:v>
                </c:pt>
                <c:pt idx="690">
                  <c:v>-168.17579412027786</c:v>
                </c:pt>
                <c:pt idx="691">
                  <c:v>-113.02584101216834</c:v>
                </c:pt>
                <c:pt idx="692">
                  <c:v>-61.290353433999762</c:v>
                </c:pt>
                <c:pt idx="693">
                  <c:v>-4.7357152259021994E-14</c:v>
                </c:pt>
                <c:pt idx="694">
                  <c:v>61.290353433999812</c:v>
                </c:pt>
                <c:pt idx="695">
                  <c:v>113.02584101216833</c:v>
                </c:pt>
                <c:pt idx="696">
                  <c:v>168.17579412027789</c:v>
                </c:pt>
                <c:pt idx="697">
                  <c:v>208.48751526329357</c:v>
                </c:pt>
                <c:pt idx="698">
                  <c:v>236.94307419538487</c:v>
                </c:pt>
                <c:pt idx="699">
                  <c:v>260.54573846264765</c:v>
                </c:pt>
                <c:pt idx="700">
                  <c:v>282.15573073119066</c:v>
                </c:pt>
                <c:pt idx="701">
                  <c:v>300.92471416727074</c:v>
                </c:pt>
                <c:pt idx="702">
                  <c:v>323.48929133225244</c:v>
                </c:pt>
                <c:pt idx="703">
                  <c:v>347.28386747057033</c:v>
                </c:pt>
                <c:pt idx="704">
                  <c:v>373.82712613907785</c:v>
                </c:pt>
                <c:pt idx="705">
                  <c:v>401.91479881836176</c:v>
                </c:pt>
                <c:pt idx="706">
                  <c:v>431.20414265900547</c:v>
                </c:pt>
                <c:pt idx="707">
                  <c:v>456.48778036419816</c:v>
                </c:pt>
                <c:pt idx="708">
                  <c:v>479.66532392458896</c:v>
                </c:pt>
                <c:pt idx="709">
                  <c:v>508.42208136754039</c:v>
                </c:pt>
                <c:pt idx="710">
                  <c:v>573.84902497255882</c:v>
                </c:pt>
                <c:pt idx="711">
                  <c:v>540.03490782086703</c:v>
                </c:pt>
                <c:pt idx="712">
                  <c:v>511.52223223294652</c:v>
                </c:pt>
                <c:pt idx="713">
                  <c:v>486.9814932737246</c:v>
                </c:pt>
                <c:pt idx="714">
                  <c:v>464.89853110412241</c:v>
                </c:pt>
                <c:pt idx="715">
                  <c:v>438.80441344979135</c:v>
                </c:pt>
                <c:pt idx="716">
                  <c:v>413.40126686411628</c:v>
                </c:pt>
                <c:pt idx="717">
                  <c:v>383.44320000857152</c:v>
                </c:pt>
                <c:pt idx="718">
                  <c:v>355.42476765554716</c:v>
                </c:pt>
                <c:pt idx="719">
                  <c:v>330.04652601965626</c:v>
                </c:pt>
                <c:pt idx="720">
                  <c:v>307.89481216143361</c:v>
                </c:pt>
                <c:pt idx="721">
                  <c:v>285.86103174065192</c:v>
                </c:pt>
                <c:pt idx="722">
                  <c:v>262.27175585303115</c:v>
                </c:pt>
                <c:pt idx="723">
                  <c:v>237.55933569399195</c:v>
                </c:pt>
                <c:pt idx="724">
                  <c:v>203.99028619486924</c:v>
                </c:pt>
                <c:pt idx="725">
                  <c:v>160.26133661070347</c:v>
                </c:pt>
                <c:pt idx="726">
                  <c:v>110.32951065542682</c:v>
                </c:pt>
                <c:pt idx="727">
                  <c:v>56.535013263639861</c:v>
                </c:pt>
                <c:pt idx="728">
                  <c:v>-2.8071293556760957E-14</c:v>
                </c:pt>
                <c:pt idx="729">
                  <c:v>-56.535013263639634</c:v>
                </c:pt>
                <c:pt idx="730">
                  <c:v>-110.3295106554268</c:v>
                </c:pt>
                <c:pt idx="731">
                  <c:v>-160.26133661070338</c:v>
                </c:pt>
                <c:pt idx="732">
                  <c:v>-203.9902861948691</c:v>
                </c:pt>
                <c:pt idx="733">
                  <c:v>-237.5593356939919</c:v>
                </c:pt>
                <c:pt idx="734">
                  <c:v>-262.27175585303087</c:v>
                </c:pt>
                <c:pt idx="735">
                  <c:v>-285.86103174065175</c:v>
                </c:pt>
                <c:pt idx="736">
                  <c:v>-307.89481216143361</c:v>
                </c:pt>
                <c:pt idx="737">
                  <c:v>-330.04652601965626</c:v>
                </c:pt>
                <c:pt idx="738">
                  <c:v>-355.42476765554721</c:v>
                </c:pt>
                <c:pt idx="739">
                  <c:v>-383.44320000857152</c:v>
                </c:pt>
                <c:pt idx="740">
                  <c:v>-413.40126686411622</c:v>
                </c:pt>
                <c:pt idx="741">
                  <c:v>-438.80441344979124</c:v>
                </c:pt>
                <c:pt idx="742">
                  <c:v>-464.89853110412241</c:v>
                </c:pt>
                <c:pt idx="743">
                  <c:v>-486.98149327372448</c:v>
                </c:pt>
                <c:pt idx="744">
                  <c:v>-511.52223223294641</c:v>
                </c:pt>
                <c:pt idx="745">
                  <c:v>-540.03490782086692</c:v>
                </c:pt>
                <c:pt idx="746">
                  <c:v>-573.84902497255905</c:v>
                </c:pt>
                <c:pt idx="747">
                  <c:v>-540.03490782086692</c:v>
                </c:pt>
                <c:pt idx="748">
                  <c:v>-511.52223223294658</c:v>
                </c:pt>
                <c:pt idx="749">
                  <c:v>-486.98149327372448</c:v>
                </c:pt>
                <c:pt idx="750">
                  <c:v>-464.89853110412241</c:v>
                </c:pt>
                <c:pt idx="751">
                  <c:v>-438.80441344979124</c:v>
                </c:pt>
                <c:pt idx="752">
                  <c:v>-413.40126686411622</c:v>
                </c:pt>
                <c:pt idx="753">
                  <c:v>-383.44320000857164</c:v>
                </c:pt>
                <c:pt idx="754">
                  <c:v>-355.42476765554721</c:v>
                </c:pt>
                <c:pt idx="755">
                  <c:v>-330.04652601965626</c:v>
                </c:pt>
                <c:pt idx="756">
                  <c:v>-307.89481216143366</c:v>
                </c:pt>
                <c:pt idx="757">
                  <c:v>-285.86103174065187</c:v>
                </c:pt>
                <c:pt idx="758">
                  <c:v>-262.27175585303104</c:v>
                </c:pt>
                <c:pt idx="759">
                  <c:v>-237.55933569399204</c:v>
                </c:pt>
                <c:pt idx="760">
                  <c:v>-203.99028619486936</c:v>
                </c:pt>
                <c:pt idx="761">
                  <c:v>-160.26133661070324</c:v>
                </c:pt>
                <c:pt idx="762">
                  <c:v>-110.3295106554267</c:v>
                </c:pt>
                <c:pt idx="763">
                  <c:v>-56.535013263639655</c:v>
                </c:pt>
                <c:pt idx="764">
                  <c:v>-3.3503542145389017E-14</c:v>
                </c:pt>
                <c:pt idx="765">
                  <c:v>56.535013263639719</c:v>
                </c:pt>
                <c:pt idx="766">
                  <c:v>110.32951065542669</c:v>
                </c:pt>
                <c:pt idx="767">
                  <c:v>160.26133661070338</c:v>
                </c:pt>
                <c:pt idx="768">
                  <c:v>203.99028619486904</c:v>
                </c:pt>
                <c:pt idx="769">
                  <c:v>237.55933569399178</c:v>
                </c:pt>
                <c:pt idx="770">
                  <c:v>262.27175585303115</c:v>
                </c:pt>
                <c:pt idx="771">
                  <c:v>285.86103174065181</c:v>
                </c:pt>
                <c:pt idx="772">
                  <c:v>307.89481216143349</c:v>
                </c:pt>
                <c:pt idx="773">
                  <c:v>330.04652601965631</c:v>
                </c:pt>
                <c:pt idx="774">
                  <c:v>355.42476765554721</c:v>
                </c:pt>
                <c:pt idx="775">
                  <c:v>383.44320000857152</c:v>
                </c:pt>
                <c:pt idx="776">
                  <c:v>413.40126686411617</c:v>
                </c:pt>
                <c:pt idx="777">
                  <c:v>438.8044134497913</c:v>
                </c:pt>
                <c:pt idx="778">
                  <c:v>464.89853110412236</c:v>
                </c:pt>
                <c:pt idx="779">
                  <c:v>486.98149327372471</c:v>
                </c:pt>
                <c:pt idx="780">
                  <c:v>511.52223223294652</c:v>
                </c:pt>
                <c:pt idx="781">
                  <c:v>559.77292224445739</c:v>
                </c:pt>
                <c:pt idx="782">
                  <c:v>531.90200573219931</c:v>
                </c:pt>
                <c:pt idx="783">
                  <c:v>509.03967171225054</c:v>
                </c:pt>
                <c:pt idx="784">
                  <c:v>487.30610362547424</c:v>
                </c:pt>
                <c:pt idx="785">
                  <c:v>463.52665840805611</c:v>
                </c:pt>
                <c:pt idx="786">
                  <c:v>439.47002519931988</c:v>
                </c:pt>
                <c:pt idx="787">
                  <c:v>414.92740405085129</c:v>
                </c:pt>
                <c:pt idx="788">
                  <c:v>395.14529290369018</c:v>
                </c:pt>
                <c:pt idx="789">
                  <c:v>370.41334457602983</c:v>
                </c:pt>
                <c:pt idx="790">
                  <c:v>346.08140151194851</c:v>
                </c:pt>
                <c:pt idx="791">
                  <c:v>322.23890444765766</c:v>
                </c:pt>
                <c:pt idx="792">
                  <c:v>297.74678661857672</c:v>
                </c:pt>
                <c:pt idx="793">
                  <c:v>271.18211762376097</c:v>
                </c:pt>
                <c:pt idx="794">
                  <c:v>240.30278358140791</c:v>
                </c:pt>
                <c:pt idx="795">
                  <c:v>203.27843923938372</c:v>
                </c:pt>
                <c:pt idx="796">
                  <c:v>155.04325691595471</c:v>
                </c:pt>
                <c:pt idx="797">
                  <c:v>105.38721616753485</c:v>
                </c:pt>
                <c:pt idx="798">
                  <c:v>56.614497720907977</c:v>
                </c:pt>
                <c:pt idx="799">
                  <c:v>-2.3226340121378104E-14</c:v>
                </c:pt>
                <c:pt idx="800">
                  <c:v>-56.614497720907686</c:v>
                </c:pt>
                <c:pt idx="801">
                  <c:v>-105.38721616753482</c:v>
                </c:pt>
                <c:pt idx="802">
                  <c:v>-155.04325691595457</c:v>
                </c:pt>
                <c:pt idx="803">
                  <c:v>-203.2784392393836</c:v>
                </c:pt>
                <c:pt idx="804">
                  <c:v>-240.30278358140782</c:v>
                </c:pt>
                <c:pt idx="805">
                  <c:v>-271.18211762376069</c:v>
                </c:pt>
                <c:pt idx="806">
                  <c:v>-297.74678661857649</c:v>
                </c:pt>
                <c:pt idx="807">
                  <c:v>-322.23890444765766</c:v>
                </c:pt>
                <c:pt idx="808">
                  <c:v>-346.0814015119484</c:v>
                </c:pt>
                <c:pt idx="809">
                  <c:v>-370.41334457602983</c:v>
                </c:pt>
                <c:pt idx="810">
                  <c:v>-395.14529290369018</c:v>
                </c:pt>
                <c:pt idx="811">
                  <c:v>-414.92740405085124</c:v>
                </c:pt>
                <c:pt idx="812">
                  <c:v>-439.47002519931971</c:v>
                </c:pt>
                <c:pt idx="813">
                  <c:v>-463.52665840805594</c:v>
                </c:pt>
                <c:pt idx="814">
                  <c:v>-487.30610362547395</c:v>
                </c:pt>
                <c:pt idx="815">
                  <c:v>-509.03967171225037</c:v>
                </c:pt>
                <c:pt idx="816">
                  <c:v>-531.90200573219931</c:v>
                </c:pt>
                <c:pt idx="817">
                  <c:v>-559.7729222444575</c:v>
                </c:pt>
                <c:pt idx="818">
                  <c:v>-531.90200573219931</c:v>
                </c:pt>
                <c:pt idx="819">
                  <c:v>-509.03967171225037</c:v>
                </c:pt>
                <c:pt idx="820">
                  <c:v>-487.30610362547407</c:v>
                </c:pt>
                <c:pt idx="821">
                  <c:v>-463.52665840805594</c:v>
                </c:pt>
                <c:pt idx="822">
                  <c:v>-439.47002519931959</c:v>
                </c:pt>
                <c:pt idx="823">
                  <c:v>-414.92740405085124</c:v>
                </c:pt>
                <c:pt idx="824">
                  <c:v>-395.14529290369018</c:v>
                </c:pt>
                <c:pt idx="825">
                  <c:v>-370.41334457602983</c:v>
                </c:pt>
                <c:pt idx="826">
                  <c:v>-346.0814015119484</c:v>
                </c:pt>
                <c:pt idx="827">
                  <c:v>-322.23890444765766</c:v>
                </c:pt>
                <c:pt idx="828">
                  <c:v>-297.74678661857672</c:v>
                </c:pt>
                <c:pt idx="829">
                  <c:v>-271.18211762376097</c:v>
                </c:pt>
                <c:pt idx="830">
                  <c:v>-240.30278358140802</c:v>
                </c:pt>
                <c:pt idx="831">
                  <c:v>-203.27843923938386</c:v>
                </c:pt>
                <c:pt idx="832">
                  <c:v>-155.04325691595443</c:v>
                </c:pt>
                <c:pt idx="833">
                  <c:v>-105.3872161675347</c:v>
                </c:pt>
                <c:pt idx="834">
                  <c:v>-56.614497720907686</c:v>
                </c:pt>
                <c:pt idx="835">
                  <c:v>-1.8095067931229294E-14</c:v>
                </c:pt>
                <c:pt idx="836">
                  <c:v>56.614497720907778</c:v>
                </c:pt>
                <c:pt idx="837">
                  <c:v>105.38721616753469</c:v>
                </c:pt>
                <c:pt idx="838">
                  <c:v>155.04325691595457</c:v>
                </c:pt>
                <c:pt idx="839">
                  <c:v>203.27843923938346</c:v>
                </c:pt>
                <c:pt idx="840">
                  <c:v>240.30278358140768</c:v>
                </c:pt>
                <c:pt idx="841">
                  <c:v>271.18211762376097</c:v>
                </c:pt>
                <c:pt idx="842">
                  <c:v>297.74678661857672</c:v>
                </c:pt>
                <c:pt idx="843">
                  <c:v>322.2389044476576</c:v>
                </c:pt>
                <c:pt idx="844">
                  <c:v>346.08140151194863</c:v>
                </c:pt>
                <c:pt idx="845">
                  <c:v>370.41334457602971</c:v>
                </c:pt>
                <c:pt idx="846">
                  <c:v>395.14529290369018</c:v>
                </c:pt>
                <c:pt idx="847">
                  <c:v>414.92740405085141</c:v>
                </c:pt>
                <c:pt idx="848">
                  <c:v>439.47002519931982</c:v>
                </c:pt>
                <c:pt idx="849">
                  <c:v>463.52665840805616</c:v>
                </c:pt>
                <c:pt idx="850">
                  <c:v>487.30610362547441</c:v>
                </c:pt>
                <c:pt idx="851">
                  <c:v>509.03967171225054</c:v>
                </c:pt>
                <c:pt idx="852">
                  <c:v>534.70699651720372</c:v>
                </c:pt>
                <c:pt idx="853">
                  <c:v>516.51704305394242</c:v>
                </c:pt>
                <c:pt idx="854">
                  <c:v>494.4925511324671</c:v>
                </c:pt>
                <c:pt idx="855">
                  <c:v>477.94858909755021</c:v>
                </c:pt>
                <c:pt idx="856">
                  <c:v>462.91133643508823</c:v>
                </c:pt>
                <c:pt idx="857">
                  <c:v>447.32480975647428</c:v>
                </c:pt>
                <c:pt idx="858">
                  <c:v>430.11883577915887</c:v>
                </c:pt>
                <c:pt idx="859">
                  <c:v>410.50177083370085</c:v>
                </c:pt>
                <c:pt idx="860">
                  <c:v>389.13861958373303</c:v>
                </c:pt>
                <c:pt idx="861">
                  <c:v>362.71599352561975</c:v>
                </c:pt>
                <c:pt idx="862">
                  <c:v>336.29018677756864</c:v>
                </c:pt>
                <c:pt idx="863">
                  <c:v>308.76573796634716</c:v>
                </c:pt>
                <c:pt idx="864">
                  <c:v>278.49477690974129</c:v>
                </c:pt>
                <c:pt idx="865">
                  <c:v>243.82137248020786</c:v>
                </c:pt>
                <c:pt idx="866">
                  <c:v>201.14572182640231</c:v>
                </c:pt>
                <c:pt idx="867">
                  <c:v>152.30009277872699</c:v>
                </c:pt>
                <c:pt idx="868">
                  <c:v>105.65096416387213</c:v>
                </c:pt>
                <c:pt idx="869">
                  <c:v>54.778668930309287</c:v>
                </c:pt>
                <c:pt idx="870">
                  <c:v>-2.6309429945813339E-14</c:v>
                </c:pt>
                <c:pt idx="871">
                  <c:v>-54.77866893030906</c:v>
                </c:pt>
                <c:pt idx="872">
                  <c:v>-105.65096416387205</c:v>
                </c:pt>
                <c:pt idx="873">
                  <c:v>-152.30009277872693</c:v>
                </c:pt>
                <c:pt idx="874">
                  <c:v>-201.14572182640219</c:v>
                </c:pt>
                <c:pt idx="875">
                  <c:v>-243.82137248020771</c:v>
                </c:pt>
                <c:pt idx="876">
                  <c:v>-278.49477690974101</c:v>
                </c:pt>
                <c:pt idx="877">
                  <c:v>-308.76573796634682</c:v>
                </c:pt>
                <c:pt idx="878">
                  <c:v>-336.29018677756852</c:v>
                </c:pt>
                <c:pt idx="879">
                  <c:v>-362.71599352561952</c:v>
                </c:pt>
                <c:pt idx="880">
                  <c:v>-389.13861958373303</c:v>
                </c:pt>
                <c:pt idx="881">
                  <c:v>-410.50177083370085</c:v>
                </c:pt>
                <c:pt idx="882">
                  <c:v>-430.1188357791587</c:v>
                </c:pt>
                <c:pt idx="883">
                  <c:v>-447.324809756474</c:v>
                </c:pt>
                <c:pt idx="884">
                  <c:v>-462.91133643508806</c:v>
                </c:pt>
                <c:pt idx="885">
                  <c:v>-477.9485890975501</c:v>
                </c:pt>
                <c:pt idx="886">
                  <c:v>-494.49255113246699</c:v>
                </c:pt>
                <c:pt idx="887">
                  <c:v>-516.5170430539423</c:v>
                </c:pt>
                <c:pt idx="888">
                  <c:v>-534.70699651720361</c:v>
                </c:pt>
                <c:pt idx="889">
                  <c:v>-516.5170430539423</c:v>
                </c:pt>
                <c:pt idx="890">
                  <c:v>-494.49255113246716</c:v>
                </c:pt>
                <c:pt idx="891">
                  <c:v>-477.9485890975501</c:v>
                </c:pt>
                <c:pt idx="892">
                  <c:v>-462.91133643508806</c:v>
                </c:pt>
                <c:pt idx="893">
                  <c:v>-447.324809756474</c:v>
                </c:pt>
                <c:pt idx="894">
                  <c:v>-430.1188357791587</c:v>
                </c:pt>
                <c:pt idx="895">
                  <c:v>-410.50177083370073</c:v>
                </c:pt>
                <c:pt idx="896">
                  <c:v>-389.13861958373303</c:v>
                </c:pt>
                <c:pt idx="897">
                  <c:v>-362.71599352561964</c:v>
                </c:pt>
                <c:pt idx="898">
                  <c:v>-336.29018677756847</c:v>
                </c:pt>
                <c:pt idx="899">
                  <c:v>-308.7657379663471</c:v>
                </c:pt>
                <c:pt idx="900">
                  <c:v>-278.49477690974129</c:v>
                </c:pt>
                <c:pt idx="901">
                  <c:v>-243.821372480208</c:v>
                </c:pt>
                <c:pt idx="902">
                  <c:v>-201.14572182640254</c:v>
                </c:pt>
                <c:pt idx="903">
                  <c:v>-152.30009277872674</c:v>
                </c:pt>
                <c:pt idx="904">
                  <c:v>-105.65096416387198</c:v>
                </c:pt>
                <c:pt idx="905">
                  <c:v>-54.778668930309053</c:v>
                </c:pt>
                <c:pt idx="906">
                  <c:v>-1.8457932715664229E-14</c:v>
                </c:pt>
                <c:pt idx="907">
                  <c:v>54.778668930309124</c:v>
                </c:pt>
                <c:pt idx="908">
                  <c:v>105.65096416387199</c:v>
                </c:pt>
                <c:pt idx="909">
                  <c:v>152.30009277872676</c:v>
                </c:pt>
                <c:pt idx="910">
                  <c:v>201.14572182640197</c:v>
                </c:pt>
                <c:pt idx="911">
                  <c:v>243.82137248020769</c:v>
                </c:pt>
                <c:pt idx="912">
                  <c:v>278.49477690974129</c:v>
                </c:pt>
                <c:pt idx="913">
                  <c:v>308.76573796634705</c:v>
                </c:pt>
                <c:pt idx="914">
                  <c:v>336.29018677756864</c:v>
                </c:pt>
                <c:pt idx="915">
                  <c:v>362.71599352561964</c:v>
                </c:pt>
                <c:pt idx="916">
                  <c:v>389.13861958373303</c:v>
                </c:pt>
                <c:pt idx="917">
                  <c:v>410.50177083370079</c:v>
                </c:pt>
                <c:pt idx="918">
                  <c:v>430.11883577915876</c:v>
                </c:pt>
                <c:pt idx="919">
                  <c:v>447.32480975647411</c:v>
                </c:pt>
                <c:pt idx="920">
                  <c:v>462.91133643508823</c:v>
                </c:pt>
                <c:pt idx="921">
                  <c:v>477.94858909755021</c:v>
                </c:pt>
                <c:pt idx="922">
                  <c:v>494.4925511324671</c:v>
                </c:pt>
                <c:pt idx="923">
                  <c:v>517.8921745494016</c:v>
                </c:pt>
                <c:pt idx="924">
                  <c:v>509.0601312154576</c:v>
                </c:pt>
                <c:pt idx="925">
                  <c:v>497.55577681539626</c:v>
                </c:pt>
                <c:pt idx="926">
                  <c:v>485.6118956199125</c:v>
                </c:pt>
                <c:pt idx="927">
                  <c:v>472.81707730683002</c:v>
                </c:pt>
                <c:pt idx="928">
                  <c:v>458.92334792051281</c:v>
                </c:pt>
                <c:pt idx="929">
                  <c:v>443.3658513318357</c:v>
                </c:pt>
                <c:pt idx="930">
                  <c:v>425.3765657654825</c:v>
                </c:pt>
                <c:pt idx="931">
                  <c:v>403.84290068053434</c:v>
                </c:pt>
                <c:pt idx="932">
                  <c:v>379.00756046839774</c:v>
                </c:pt>
                <c:pt idx="933">
                  <c:v>349.60791503610278</c:v>
                </c:pt>
                <c:pt idx="934">
                  <c:v>318.60588091733757</c:v>
                </c:pt>
                <c:pt idx="935">
                  <c:v>285.16814447725932</c:v>
                </c:pt>
                <c:pt idx="936">
                  <c:v>243.92989985897313</c:v>
                </c:pt>
                <c:pt idx="937">
                  <c:v>195.01826845170649</c:v>
                </c:pt>
                <c:pt idx="938">
                  <c:v>149.5140733374765</c:v>
                </c:pt>
                <c:pt idx="939">
                  <c:v>103.62036879825412</c:v>
                </c:pt>
                <c:pt idx="940">
                  <c:v>53.523968902076419</c:v>
                </c:pt>
                <c:pt idx="941">
                  <c:v>-1.0991931707217334E-14</c:v>
                </c:pt>
                <c:pt idx="942">
                  <c:v>-53.523968902076135</c:v>
                </c:pt>
                <c:pt idx="943">
                  <c:v>-103.62036879825406</c:v>
                </c:pt>
                <c:pt idx="944">
                  <c:v>-149.51407333747639</c:v>
                </c:pt>
                <c:pt idx="945">
                  <c:v>-195.01826845170623</c:v>
                </c:pt>
                <c:pt idx="946">
                  <c:v>-243.92989985897296</c:v>
                </c:pt>
                <c:pt idx="947">
                  <c:v>-285.16814447725903</c:v>
                </c:pt>
                <c:pt idx="948">
                  <c:v>-318.60588091733734</c:v>
                </c:pt>
                <c:pt idx="949">
                  <c:v>-349.60791503610255</c:v>
                </c:pt>
                <c:pt idx="950">
                  <c:v>-379.00756046839763</c:v>
                </c:pt>
                <c:pt idx="951">
                  <c:v>-403.84290068053446</c:v>
                </c:pt>
                <c:pt idx="952">
                  <c:v>-425.37656576548233</c:v>
                </c:pt>
                <c:pt idx="953">
                  <c:v>-443.36585133183553</c:v>
                </c:pt>
                <c:pt idx="954">
                  <c:v>-458.92334792051258</c:v>
                </c:pt>
                <c:pt idx="955">
                  <c:v>-472.8170773068299</c:v>
                </c:pt>
                <c:pt idx="956">
                  <c:v>-485.61189561991239</c:v>
                </c:pt>
                <c:pt idx="957">
                  <c:v>-497.5557768153962</c:v>
                </c:pt>
                <c:pt idx="958">
                  <c:v>-509.06013121545732</c:v>
                </c:pt>
                <c:pt idx="959">
                  <c:v>-517.89217454940149</c:v>
                </c:pt>
                <c:pt idx="960">
                  <c:v>-509.06013121545732</c:v>
                </c:pt>
                <c:pt idx="961">
                  <c:v>-497.55577681539637</c:v>
                </c:pt>
                <c:pt idx="962">
                  <c:v>-485.61189561991239</c:v>
                </c:pt>
                <c:pt idx="963">
                  <c:v>-472.8170773068299</c:v>
                </c:pt>
                <c:pt idx="964">
                  <c:v>-458.92334792051258</c:v>
                </c:pt>
                <c:pt idx="965">
                  <c:v>-443.36585133183553</c:v>
                </c:pt>
                <c:pt idx="966">
                  <c:v>-425.37656576548238</c:v>
                </c:pt>
                <c:pt idx="967">
                  <c:v>-403.84290068053446</c:v>
                </c:pt>
                <c:pt idx="968">
                  <c:v>-379.00756046839763</c:v>
                </c:pt>
                <c:pt idx="969">
                  <c:v>-349.60791503610267</c:v>
                </c:pt>
                <c:pt idx="970">
                  <c:v>-318.60588091733746</c:v>
                </c:pt>
                <c:pt idx="971">
                  <c:v>-285.16814447725926</c:v>
                </c:pt>
                <c:pt idx="972">
                  <c:v>-243.92989985897324</c:v>
                </c:pt>
                <c:pt idx="973">
                  <c:v>-195.01826845170658</c:v>
                </c:pt>
                <c:pt idx="974">
                  <c:v>-149.51407333747622</c:v>
                </c:pt>
                <c:pt idx="975">
                  <c:v>-103.62036879825391</c:v>
                </c:pt>
                <c:pt idx="976">
                  <c:v>-53.52396890207612</c:v>
                </c:pt>
                <c:pt idx="977">
                  <c:v>-6.2194529986953392E-15</c:v>
                </c:pt>
                <c:pt idx="978">
                  <c:v>53.523968902076305</c:v>
                </c:pt>
                <c:pt idx="979">
                  <c:v>103.62036879825396</c:v>
                </c:pt>
                <c:pt idx="980">
                  <c:v>149.51407333747639</c:v>
                </c:pt>
                <c:pt idx="981">
                  <c:v>195.01826845170612</c:v>
                </c:pt>
                <c:pt idx="982">
                  <c:v>243.92989985897282</c:v>
                </c:pt>
                <c:pt idx="983">
                  <c:v>285.16814447725926</c:v>
                </c:pt>
                <c:pt idx="984">
                  <c:v>318.60588091733757</c:v>
                </c:pt>
                <c:pt idx="985">
                  <c:v>349.60791503610278</c:v>
                </c:pt>
                <c:pt idx="986">
                  <c:v>379.00756046839774</c:v>
                </c:pt>
                <c:pt idx="987">
                  <c:v>403.84290068053434</c:v>
                </c:pt>
                <c:pt idx="988">
                  <c:v>425.3765657654825</c:v>
                </c:pt>
                <c:pt idx="989">
                  <c:v>443.3658513318357</c:v>
                </c:pt>
                <c:pt idx="990">
                  <c:v>458.9233479205127</c:v>
                </c:pt>
                <c:pt idx="991">
                  <c:v>472.81707730683007</c:v>
                </c:pt>
                <c:pt idx="992">
                  <c:v>485.6118956199125</c:v>
                </c:pt>
                <c:pt idx="993">
                  <c:v>497.55577681539631</c:v>
                </c:pt>
                <c:pt idx="994">
                  <c:v>516.35913945105324</c:v>
                </c:pt>
                <c:pt idx="995">
                  <c:v>510.22403138632762</c:v>
                </c:pt>
                <c:pt idx="996">
                  <c:v>501.88544970769772</c:v>
                </c:pt>
                <c:pt idx="997">
                  <c:v>492.09487954223221</c:v>
                </c:pt>
                <c:pt idx="998">
                  <c:v>480.84052917334941</c:v>
                </c:pt>
                <c:pt idx="999">
                  <c:v>468.34185936576063</c:v>
                </c:pt>
                <c:pt idx="1000">
                  <c:v>454.1353186925308</c:v>
                </c:pt>
                <c:pt idx="1001">
                  <c:v>437.47313166076373</c:v>
                </c:pt>
                <c:pt idx="1002">
                  <c:v>417.26146698885975</c:v>
                </c:pt>
                <c:pt idx="1003">
                  <c:v>391.81088969262004</c:v>
                </c:pt>
                <c:pt idx="1004">
                  <c:v>361.79374889202364</c:v>
                </c:pt>
                <c:pt idx="1005">
                  <c:v>328.06259647800806</c:v>
                </c:pt>
                <c:pt idx="1006">
                  <c:v>288.6161380505792</c:v>
                </c:pt>
                <c:pt idx="1007">
                  <c:v>241.4924455571653</c:v>
                </c:pt>
                <c:pt idx="1008">
                  <c:v>191.90617206876831</c:v>
                </c:pt>
                <c:pt idx="1009">
                  <c:v>146.34142178216473</c:v>
                </c:pt>
                <c:pt idx="1010">
                  <c:v>101.31558768877025</c:v>
                </c:pt>
                <c:pt idx="1011">
                  <c:v>52.380183855878158</c:v>
                </c:pt>
                <c:pt idx="1012">
                  <c:v>-2.0273492261516012E-14</c:v>
                </c:pt>
                <c:pt idx="1013">
                  <c:v>-52.380183855877831</c:v>
                </c:pt>
                <c:pt idx="1014">
                  <c:v>-101.31558768877019</c:v>
                </c:pt>
                <c:pt idx="1015">
                  <c:v>-146.34142178216462</c:v>
                </c:pt>
                <c:pt idx="1016">
                  <c:v>-191.90617206876809</c:v>
                </c:pt>
                <c:pt idx="1017">
                  <c:v>-241.49244555716513</c:v>
                </c:pt>
                <c:pt idx="1018">
                  <c:v>-288.61613805057885</c:v>
                </c:pt>
                <c:pt idx="1019">
                  <c:v>-328.06259647800783</c:v>
                </c:pt>
                <c:pt idx="1020">
                  <c:v>-361.79374889202359</c:v>
                </c:pt>
                <c:pt idx="1021">
                  <c:v>-391.81088969262004</c:v>
                </c:pt>
                <c:pt idx="1022">
                  <c:v>-417.26146698885981</c:v>
                </c:pt>
                <c:pt idx="1023">
                  <c:v>-437.47313166076378</c:v>
                </c:pt>
                <c:pt idx="1024">
                  <c:v>-454.13531869253075</c:v>
                </c:pt>
                <c:pt idx="1025">
                  <c:v>-468.34185936576051</c:v>
                </c:pt>
                <c:pt idx="1026">
                  <c:v>-480.8405291733493</c:v>
                </c:pt>
                <c:pt idx="1027">
                  <c:v>-492.09487954223215</c:v>
                </c:pt>
                <c:pt idx="1028">
                  <c:v>-501.88544970769766</c:v>
                </c:pt>
                <c:pt idx="1029">
                  <c:v>-510.22403138632745</c:v>
                </c:pt>
                <c:pt idx="1030">
                  <c:v>-516.35913945105301</c:v>
                </c:pt>
                <c:pt idx="1031">
                  <c:v>-510.22403138632745</c:v>
                </c:pt>
                <c:pt idx="1032">
                  <c:v>-501.88544970769777</c:v>
                </c:pt>
                <c:pt idx="1033">
                  <c:v>-492.09487954223209</c:v>
                </c:pt>
                <c:pt idx="1034">
                  <c:v>-480.8405291733493</c:v>
                </c:pt>
                <c:pt idx="1035">
                  <c:v>-468.34185936576051</c:v>
                </c:pt>
                <c:pt idx="1036">
                  <c:v>-454.13531869253075</c:v>
                </c:pt>
                <c:pt idx="1037">
                  <c:v>-437.47313166076367</c:v>
                </c:pt>
                <c:pt idx="1038">
                  <c:v>-417.26146698885981</c:v>
                </c:pt>
                <c:pt idx="1039">
                  <c:v>-391.81088969262004</c:v>
                </c:pt>
                <c:pt idx="1040">
                  <c:v>-361.79374889202376</c:v>
                </c:pt>
                <c:pt idx="1041">
                  <c:v>-328.06259647800812</c:v>
                </c:pt>
                <c:pt idx="1042">
                  <c:v>-288.6161380505792</c:v>
                </c:pt>
                <c:pt idx="1043">
                  <c:v>-241.49244555716541</c:v>
                </c:pt>
                <c:pt idx="1044">
                  <c:v>-191.9061720687684</c:v>
                </c:pt>
                <c:pt idx="1045">
                  <c:v>-146.34142178216442</c:v>
                </c:pt>
                <c:pt idx="1046">
                  <c:v>-101.31558768877008</c:v>
                </c:pt>
                <c:pt idx="1047">
                  <c:v>-52.380183855877831</c:v>
                </c:pt>
                <c:pt idx="1048">
                  <c:v>-1.0882485770553363E-14</c:v>
                </c:pt>
                <c:pt idx="1049">
                  <c:v>52.380183855877981</c:v>
                </c:pt>
                <c:pt idx="1050">
                  <c:v>101.31558768877022</c:v>
                </c:pt>
                <c:pt idx="1051">
                  <c:v>146.34142178216453</c:v>
                </c:pt>
                <c:pt idx="1052">
                  <c:v>191.90617206876794</c:v>
                </c:pt>
                <c:pt idx="1053">
                  <c:v>241.49244555716501</c:v>
                </c:pt>
                <c:pt idx="1054">
                  <c:v>288.6161380505792</c:v>
                </c:pt>
                <c:pt idx="1055">
                  <c:v>328.06259647800806</c:v>
                </c:pt>
                <c:pt idx="1056">
                  <c:v>361.79374889202364</c:v>
                </c:pt>
                <c:pt idx="1057">
                  <c:v>391.81088969262004</c:v>
                </c:pt>
                <c:pt idx="1058">
                  <c:v>417.26146698885975</c:v>
                </c:pt>
                <c:pt idx="1059">
                  <c:v>437.47313166076373</c:v>
                </c:pt>
                <c:pt idx="1060">
                  <c:v>454.13531869253086</c:v>
                </c:pt>
                <c:pt idx="1061">
                  <c:v>468.34185936576063</c:v>
                </c:pt>
                <c:pt idx="1062">
                  <c:v>480.84052917334958</c:v>
                </c:pt>
                <c:pt idx="1063">
                  <c:v>492.09487954223221</c:v>
                </c:pt>
                <c:pt idx="1064">
                  <c:v>501.88544970769777</c:v>
                </c:pt>
                <c:pt idx="1065">
                  <c:v>515.22157328331582</c:v>
                </c:pt>
                <c:pt idx="1066">
                  <c:v>509.70810194950406</c:v>
                </c:pt>
                <c:pt idx="1067">
                  <c:v>504.34850162487862</c:v>
                </c:pt>
                <c:pt idx="1068">
                  <c:v>495.83779365568313</c:v>
                </c:pt>
                <c:pt idx="1069">
                  <c:v>486.41102752537523</c:v>
                </c:pt>
                <c:pt idx="1070">
                  <c:v>475.04430072691287</c:v>
                </c:pt>
                <c:pt idx="1071">
                  <c:v>461.91979616963448</c:v>
                </c:pt>
                <c:pt idx="1072">
                  <c:v>446.31532457268884</c:v>
                </c:pt>
                <c:pt idx="1073">
                  <c:v>427.152397703151</c:v>
                </c:pt>
                <c:pt idx="1074">
                  <c:v>402.7563049545758</c:v>
                </c:pt>
                <c:pt idx="1075">
                  <c:v>371.66736989536082</c:v>
                </c:pt>
                <c:pt idx="1076">
                  <c:v>334.38634160862637</c:v>
                </c:pt>
                <c:pt idx="1077">
                  <c:v>289.70618177631508</c:v>
                </c:pt>
                <c:pt idx="1078">
                  <c:v>238.54589330790071</c:v>
                </c:pt>
                <c:pt idx="1079">
                  <c:v>191.51299672076405</c:v>
                </c:pt>
                <c:pt idx="1080">
                  <c:v>143.68491225222735</c:v>
                </c:pt>
                <c:pt idx="1081">
                  <c:v>96.305992856783206</c:v>
                </c:pt>
                <c:pt idx="1082">
                  <c:v>50.725034363157299</c:v>
                </c:pt>
                <c:pt idx="1083">
                  <c:v>2.5929568670926716E-14</c:v>
                </c:pt>
                <c:pt idx="1084">
                  <c:v>-50.725034363156936</c:v>
                </c:pt>
                <c:pt idx="1085">
                  <c:v>-96.305992856783007</c:v>
                </c:pt>
                <c:pt idx="1086">
                  <c:v>-143.68491225222712</c:v>
                </c:pt>
                <c:pt idx="1087">
                  <c:v>-191.51299672076379</c:v>
                </c:pt>
                <c:pt idx="1088">
                  <c:v>-238.54589330790054</c:v>
                </c:pt>
                <c:pt idx="1089">
                  <c:v>-289.70618177631451</c:v>
                </c:pt>
                <c:pt idx="1090">
                  <c:v>-334.3863416086262</c:v>
                </c:pt>
                <c:pt idx="1091">
                  <c:v>-371.66736989536065</c:v>
                </c:pt>
                <c:pt idx="1092">
                  <c:v>-402.75630495457574</c:v>
                </c:pt>
                <c:pt idx="1093">
                  <c:v>-427.15239770315094</c:v>
                </c:pt>
                <c:pt idx="1094">
                  <c:v>-446.31532457268872</c:v>
                </c:pt>
                <c:pt idx="1095">
                  <c:v>-461.91979616963425</c:v>
                </c:pt>
                <c:pt idx="1096">
                  <c:v>-475.04430072691264</c:v>
                </c:pt>
                <c:pt idx="1097">
                  <c:v>-486.41102752537489</c:v>
                </c:pt>
                <c:pt idx="1098">
                  <c:v>-495.8377936556829</c:v>
                </c:pt>
                <c:pt idx="1099">
                  <c:v>-504.34850162487851</c:v>
                </c:pt>
                <c:pt idx="1100">
                  <c:v>-509.70810194950377</c:v>
                </c:pt>
                <c:pt idx="1101">
                  <c:v>-515.22157328331571</c:v>
                </c:pt>
                <c:pt idx="1102">
                  <c:v>-509.70810194950366</c:v>
                </c:pt>
                <c:pt idx="1103">
                  <c:v>-504.34850162487851</c:v>
                </c:pt>
                <c:pt idx="1104">
                  <c:v>-495.8377936556829</c:v>
                </c:pt>
                <c:pt idx="1105">
                  <c:v>-486.41102752537489</c:v>
                </c:pt>
                <c:pt idx="1106">
                  <c:v>-475.04430072691264</c:v>
                </c:pt>
                <c:pt idx="1107">
                  <c:v>-461.91979616963425</c:v>
                </c:pt>
                <c:pt idx="1108">
                  <c:v>-446.31532457268872</c:v>
                </c:pt>
                <c:pt idx="1109">
                  <c:v>-427.15239770315094</c:v>
                </c:pt>
                <c:pt idx="1110">
                  <c:v>-402.7563049545758</c:v>
                </c:pt>
                <c:pt idx="1111">
                  <c:v>-371.66736989536065</c:v>
                </c:pt>
                <c:pt idx="1112">
                  <c:v>-334.38634160862642</c:v>
                </c:pt>
                <c:pt idx="1113">
                  <c:v>-289.70618177631496</c:v>
                </c:pt>
                <c:pt idx="1114">
                  <c:v>-238.54589330790085</c:v>
                </c:pt>
                <c:pt idx="1115">
                  <c:v>-191.51299672076411</c:v>
                </c:pt>
                <c:pt idx="1116">
                  <c:v>-143.68491225222701</c:v>
                </c:pt>
                <c:pt idx="1117">
                  <c:v>-96.305992856782964</c:v>
                </c:pt>
                <c:pt idx="1118">
                  <c:v>-50.725034363156979</c:v>
                </c:pt>
                <c:pt idx="1119">
                  <c:v>3.3781065901075826E-14</c:v>
                </c:pt>
                <c:pt idx="1120">
                  <c:v>50.725034363157121</c:v>
                </c:pt>
                <c:pt idx="1121">
                  <c:v>96.305992856783092</c:v>
                </c:pt>
                <c:pt idx="1122">
                  <c:v>143.68491225222718</c:v>
                </c:pt>
                <c:pt idx="1123">
                  <c:v>191.51299672076371</c:v>
                </c:pt>
                <c:pt idx="1124">
                  <c:v>238.54589330790037</c:v>
                </c:pt>
                <c:pt idx="1125">
                  <c:v>289.70618177631496</c:v>
                </c:pt>
                <c:pt idx="1126">
                  <c:v>334.38634160862637</c:v>
                </c:pt>
                <c:pt idx="1127">
                  <c:v>371.66736989536082</c:v>
                </c:pt>
                <c:pt idx="1128">
                  <c:v>402.75630495457591</c:v>
                </c:pt>
                <c:pt idx="1129">
                  <c:v>427.15239770315094</c:v>
                </c:pt>
                <c:pt idx="1130">
                  <c:v>446.31532457268895</c:v>
                </c:pt>
                <c:pt idx="1131">
                  <c:v>461.91979616963448</c:v>
                </c:pt>
                <c:pt idx="1132">
                  <c:v>475.04430072691287</c:v>
                </c:pt>
                <c:pt idx="1133">
                  <c:v>486.41102752537523</c:v>
                </c:pt>
                <c:pt idx="1134">
                  <c:v>495.83779365568313</c:v>
                </c:pt>
                <c:pt idx="1135">
                  <c:v>504.34850162487862</c:v>
                </c:pt>
                <c:pt idx="1136">
                  <c:v>512.13572075671163</c:v>
                </c:pt>
                <c:pt idx="1137">
                  <c:v>507.77610025326589</c:v>
                </c:pt>
                <c:pt idx="1138">
                  <c:v>502.7045142365339</c:v>
                </c:pt>
                <c:pt idx="1139">
                  <c:v>495.95787948462282</c:v>
                </c:pt>
                <c:pt idx="1140">
                  <c:v>488.37637399985005</c:v>
                </c:pt>
                <c:pt idx="1141">
                  <c:v>478.52528973533492</c:v>
                </c:pt>
                <c:pt idx="1142">
                  <c:v>466.24493657778606</c:v>
                </c:pt>
                <c:pt idx="1143">
                  <c:v>451.46130396241449</c:v>
                </c:pt>
                <c:pt idx="1144">
                  <c:v>433.10800071683013</c:v>
                </c:pt>
                <c:pt idx="1145">
                  <c:v>410.57704301352567</c:v>
                </c:pt>
                <c:pt idx="1146">
                  <c:v>379.05349489400021</c:v>
                </c:pt>
                <c:pt idx="1147">
                  <c:v>336.16156607456514</c:v>
                </c:pt>
                <c:pt idx="1148">
                  <c:v>288.23951016102774</c:v>
                </c:pt>
                <c:pt idx="1149">
                  <c:v>235.82748562450885</c:v>
                </c:pt>
                <c:pt idx="1150">
                  <c:v>188.89969608182196</c:v>
                </c:pt>
                <c:pt idx="1151">
                  <c:v>141.2570834626909</c:v>
                </c:pt>
                <c:pt idx="1152">
                  <c:v>94.194960025844665</c:v>
                </c:pt>
                <c:pt idx="1153">
                  <c:v>49.125675568921821</c:v>
                </c:pt>
                <c:pt idx="1154">
                  <c:v>1.381609713163159E-14</c:v>
                </c:pt>
                <c:pt idx="1155">
                  <c:v>-49.125675568921437</c:v>
                </c:pt>
                <c:pt idx="1156">
                  <c:v>-94.194960025844523</c:v>
                </c:pt>
                <c:pt idx="1157">
                  <c:v>-141.25708346269073</c:v>
                </c:pt>
                <c:pt idx="1158">
                  <c:v>-188.89969608182182</c:v>
                </c:pt>
                <c:pt idx="1159">
                  <c:v>-235.82748562450851</c:v>
                </c:pt>
                <c:pt idx="1160">
                  <c:v>-288.23951016102723</c:v>
                </c:pt>
                <c:pt idx="1161">
                  <c:v>-336.1615660745648</c:v>
                </c:pt>
                <c:pt idx="1162">
                  <c:v>-379.05349489400015</c:v>
                </c:pt>
                <c:pt idx="1163">
                  <c:v>-410.57704301352561</c:v>
                </c:pt>
                <c:pt idx="1164">
                  <c:v>-433.10800071683002</c:v>
                </c:pt>
                <c:pt idx="1165">
                  <c:v>-451.46130396241449</c:v>
                </c:pt>
                <c:pt idx="1166">
                  <c:v>-466.24493657778595</c:v>
                </c:pt>
                <c:pt idx="1167">
                  <c:v>-478.5252897353347</c:v>
                </c:pt>
                <c:pt idx="1168">
                  <c:v>-488.37637399984993</c:v>
                </c:pt>
                <c:pt idx="1169">
                  <c:v>-495.95787948462259</c:v>
                </c:pt>
                <c:pt idx="1170">
                  <c:v>-502.7045142365339</c:v>
                </c:pt>
                <c:pt idx="1171">
                  <c:v>-507.77610025326567</c:v>
                </c:pt>
                <c:pt idx="1172">
                  <c:v>-512.13572075671152</c:v>
                </c:pt>
                <c:pt idx="1173">
                  <c:v>-507.77610025326555</c:v>
                </c:pt>
                <c:pt idx="1174">
                  <c:v>-502.7045142365339</c:v>
                </c:pt>
                <c:pt idx="1175">
                  <c:v>-495.95787948462254</c:v>
                </c:pt>
                <c:pt idx="1176">
                  <c:v>-488.37637399984993</c:v>
                </c:pt>
                <c:pt idx="1177">
                  <c:v>-478.52528973533464</c:v>
                </c:pt>
                <c:pt idx="1178">
                  <c:v>-466.24493657778595</c:v>
                </c:pt>
                <c:pt idx="1179">
                  <c:v>-451.46130396241449</c:v>
                </c:pt>
                <c:pt idx="1180">
                  <c:v>-433.10800071683002</c:v>
                </c:pt>
                <c:pt idx="1181">
                  <c:v>-410.57704301352561</c:v>
                </c:pt>
                <c:pt idx="1182">
                  <c:v>-379.05349489400015</c:v>
                </c:pt>
                <c:pt idx="1183">
                  <c:v>-336.16156607456492</c:v>
                </c:pt>
                <c:pt idx="1184">
                  <c:v>-288.23951016102762</c:v>
                </c:pt>
                <c:pt idx="1185">
                  <c:v>-235.8274856245088</c:v>
                </c:pt>
                <c:pt idx="1186">
                  <c:v>-188.89969608182201</c:v>
                </c:pt>
                <c:pt idx="1187">
                  <c:v>-141.25708346269059</c:v>
                </c:pt>
                <c:pt idx="1188">
                  <c:v>-94.194960025844523</c:v>
                </c:pt>
                <c:pt idx="1189">
                  <c:v>-49.125675568921416</c:v>
                </c:pt>
                <c:pt idx="1190">
                  <c:v>2.551636751381456E-14</c:v>
                </c:pt>
                <c:pt idx="1191">
                  <c:v>49.125675568921714</c:v>
                </c:pt>
                <c:pt idx="1192">
                  <c:v>94.194960025844594</c:v>
                </c:pt>
                <c:pt idx="1193">
                  <c:v>141.25708346269073</c:v>
                </c:pt>
                <c:pt idx="1194">
                  <c:v>188.89969608182167</c:v>
                </c:pt>
                <c:pt idx="1195">
                  <c:v>235.82748562450857</c:v>
                </c:pt>
                <c:pt idx="1196">
                  <c:v>288.23951016102774</c:v>
                </c:pt>
                <c:pt idx="1197">
                  <c:v>336.16156607456514</c:v>
                </c:pt>
                <c:pt idx="1198">
                  <c:v>379.05349489400038</c:v>
                </c:pt>
                <c:pt idx="1199">
                  <c:v>410.57704301352567</c:v>
                </c:pt>
                <c:pt idx="1200">
                  <c:v>433.10800071683013</c:v>
                </c:pt>
                <c:pt idx="1201">
                  <c:v>451.46130396241466</c:v>
                </c:pt>
                <c:pt idx="1202">
                  <c:v>466.24493657778623</c:v>
                </c:pt>
                <c:pt idx="1203">
                  <c:v>478.52528973533492</c:v>
                </c:pt>
                <c:pt idx="1204">
                  <c:v>488.37637399985016</c:v>
                </c:pt>
                <c:pt idx="1205">
                  <c:v>495.95787948462277</c:v>
                </c:pt>
                <c:pt idx="1206">
                  <c:v>502.7045142365339</c:v>
                </c:pt>
                <c:pt idx="1207">
                  <c:v>506.45538946253794</c:v>
                </c:pt>
                <c:pt idx="1208">
                  <c:v>503.00223351806682</c:v>
                </c:pt>
                <c:pt idx="1209">
                  <c:v>498.7738087408556</c:v>
                </c:pt>
                <c:pt idx="1210">
                  <c:v>493.53364506080788</c:v>
                </c:pt>
                <c:pt idx="1211">
                  <c:v>485.82998575669728</c:v>
                </c:pt>
                <c:pt idx="1212">
                  <c:v>476.75242989628276</c:v>
                </c:pt>
                <c:pt idx="1213">
                  <c:v>466.6739014447877</c:v>
                </c:pt>
                <c:pt idx="1214">
                  <c:v>452.50614522135612</c:v>
                </c:pt>
                <c:pt idx="1215">
                  <c:v>435.58544102854552</c:v>
                </c:pt>
                <c:pt idx="1216">
                  <c:v>412.61989567941447</c:v>
                </c:pt>
                <c:pt idx="1217">
                  <c:v>381.69011692187144</c:v>
                </c:pt>
                <c:pt idx="1218">
                  <c:v>338.02090936999582</c:v>
                </c:pt>
                <c:pt idx="1219">
                  <c:v>285.68888291739148</c:v>
                </c:pt>
                <c:pt idx="1220">
                  <c:v>235.79475943198946</c:v>
                </c:pt>
                <c:pt idx="1221">
                  <c:v>186.49827623306913</c:v>
                </c:pt>
                <c:pt idx="1222">
                  <c:v>139.03733966455977</c:v>
                </c:pt>
                <c:pt idx="1223">
                  <c:v>92.274915993047244</c:v>
                </c:pt>
                <c:pt idx="1224">
                  <c:v>44.826387699534138</c:v>
                </c:pt>
                <c:pt idx="1225">
                  <c:v>1.4126504408022548E-14</c:v>
                </c:pt>
                <c:pt idx="1226">
                  <c:v>-44.826387699533797</c:v>
                </c:pt>
                <c:pt idx="1227">
                  <c:v>-92.274915993046989</c:v>
                </c:pt>
                <c:pt idx="1228">
                  <c:v>-139.03733966455948</c:v>
                </c:pt>
                <c:pt idx="1229">
                  <c:v>-186.49827623306888</c:v>
                </c:pt>
                <c:pt idx="1230">
                  <c:v>-235.79475943198932</c:v>
                </c:pt>
                <c:pt idx="1231">
                  <c:v>-285.68888291739086</c:v>
                </c:pt>
                <c:pt idx="1232">
                  <c:v>-338.02090936999559</c:v>
                </c:pt>
                <c:pt idx="1233">
                  <c:v>-381.69011692187121</c:v>
                </c:pt>
                <c:pt idx="1234">
                  <c:v>-412.61989567941436</c:v>
                </c:pt>
                <c:pt idx="1235">
                  <c:v>-435.58544102854535</c:v>
                </c:pt>
                <c:pt idx="1236">
                  <c:v>-452.50614522135612</c:v>
                </c:pt>
                <c:pt idx="1237">
                  <c:v>-466.67390144478748</c:v>
                </c:pt>
                <c:pt idx="1238">
                  <c:v>-476.75242989628254</c:v>
                </c:pt>
                <c:pt idx="1239">
                  <c:v>-485.82998575669728</c:v>
                </c:pt>
                <c:pt idx="1240">
                  <c:v>-493.53364506080766</c:v>
                </c:pt>
                <c:pt idx="1241">
                  <c:v>-498.77380874085537</c:v>
                </c:pt>
                <c:pt idx="1242">
                  <c:v>-503.00223351806659</c:v>
                </c:pt>
                <c:pt idx="1243">
                  <c:v>-506.45538946253794</c:v>
                </c:pt>
                <c:pt idx="1244">
                  <c:v>-503.00223351806659</c:v>
                </c:pt>
                <c:pt idx="1245">
                  <c:v>-498.7738087408556</c:v>
                </c:pt>
                <c:pt idx="1246">
                  <c:v>-493.53364506080766</c:v>
                </c:pt>
                <c:pt idx="1247">
                  <c:v>-485.82998575669711</c:v>
                </c:pt>
                <c:pt idx="1248">
                  <c:v>-476.75242989628254</c:v>
                </c:pt>
                <c:pt idx="1249">
                  <c:v>-466.67390144478748</c:v>
                </c:pt>
                <c:pt idx="1250">
                  <c:v>-452.50614522135612</c:v>
                </c:pt>
                <c:pt idx="1251">
                  <c:v>-435.58544102854535</c:v>
                </c:pt>
                <c:pt idx="1252">
                  <c:v>-412.61989567941436</c:v>
                </c:pt>
                <c:pt idx="1253">
                  <c:v>-381.69011692187127</c:v>
                </c:pt>
                <c:pt idx="1254">
                  <c:v>-338.02090936999571</c:v>
                </c:pt>
                <c:pt idx="1255">
                  <c:v>-285.68888291739142</c:v>
                </c:pt>
                <c:pt idx="1256">
                  <c:v>-235.79475943198966</c:v>
                </c:pt>
                <c:pt idx="1257">
                  <c:v>-186.49827623306916</c:v>
                </c:pt>
                <c:pt idx="1258">
                  <c:v>-139.03733966455937</c:v>
                </c:pt>
                <c:pt idx="1259">
                  <c:v>-92.274915993046946</c:v>
                </c:pt>
                <c:pt idx="1260">
                  <c:v>-44.826387699533754</c:v>
                </c:pt>
                <c:pt idx="1261">
                  <c:v>2.5057020159798673E-14</c:v>
                </c:pt>
                <c:pt idx="1262">
                  <c:v>44.826387699534024</c:v>
                </c:pt>
                <c:pt idx="1263">
                  <c:v>92.274915993047102</c:v>
                </c:pt>
                <c:pt idx="1264">
                  <c:v>139.0373396645596</c:v>
                </c:pt>
                <c:pt idx="1265">
                  <c:v>186.49827623306874</c:v>
                </c:pt>
                <c:pt idx="1266">
                  <c:v>235.79475943198926</c:v>
                </c:pt>
                <c:pt idx="1267">
                  <c:v>285.68888291739142</c:v>
                </c:pt>
                <c:pt idx="1268">
                  <c:v>338.02090936999576</c:v>
                </c:pt>
                <c:pt idx="1269">
                  <c:v>381.69011692187144</c:v>
                </c:pt>
                <c:pt idx="1270">
                  <c:v>412.61989567941453</c:v>
                </c:pt>
                <c:pt idx="1271">
                  <c:v>435.58544102854552</c:v>
                </c:pt>
                <c:pt idx="1272">
                  <c:v>452.50614522135612</c:v>
                </c:pt>
                <c:pt idx="1273">
                  <c:v>466.67390144478776</c:v>
                </c:pt>
                <c:pt idx="1274">
                  <c:v>476.75242989628276</c:v>
                </c:pt>
                <c:pt idx="1275">
                  <c:v>485.82998575669734</c:v>
                </c:pt>
                <c:pt idx="1276">
                  <c:v>493.533645060808</c:v>
                </c:pt>
                <c:pt idx="1277">
                  <c:v>498.7738087408556</c:v>
                </c:pt>
                <c:pt idx="1278">
                  <c:v>497.57759196451104</c:v>
                </c:pt>
                <c:pt idx="1279">
                  <c:v>494.8152411085764</c:v>
                </c:pt>
                <c:pt idx="1280">
                  <c:v>491.22773191891315</c:v>
                </c:pt>
                <c:pt idx="1281">
                  <c:v>486.67519900630322</c:v>
                </c:pt>
                <c:pt idx="1282">
                  <c:v>480.15237190642972</c:v>
                </c:pt>
                <c:pt idx="1283">
                  <c:v>471.58723401976522</c:v>
                </c:pt>
                <c:pt idx="1284">
                  <c:v>461.70085366123897</c:v>
                </c:pt>
                <c:pt idx="1285">
                  <c:v>449.68709027328191</c:v>
                </c:pt>
                <c:pt idx="1286">
                  <c:v>432.37943949981803</c:v>
                </c:pt>
                <c:pt idx="1287">
                  <c:v>409.82588386278024</c:v>
                </c:pt>
                <c:pt idx="1288">
                  <c:v>379.30454378942261</c:v>
                </c:pt>
                <c:pt idx="1289">
                  <c:v>336.04443444420826</c:v>
                </c:pt>
                <c:pt idx="1290">
                  <c:v>283.1210220071269</c:v>
                </c:pt>
                <c:pt idx="1291">
                  <c:v>233.48218006658161</c:v>
                </c:pt>
                <c:pt idx="1292">
                  <c:v>184.28937072654159</c:v>
                </c:pt>
                <c:pt idx="1293">
                  <c:v>137.00623713105625</c:v>
                </c:pt>
                <c:pt idx="1294">
                  <c:v>90.358261600076133</c:v>
                </c:pt>
                <c:pt idx="1295">
                  <c:v>43.309376165764455</c:v>
                </c:pt>
                <c:pt idx="1296">
                  <c:v>6.0791756444393682E-14</c:v>
                </c:pt>
                <c:pt idx="1297">
                  <c:v>-43.309376165764114</c:v>
                </c:pt>
                <c:pt idx="1298">
                  <c:v>-90.358261600075906</c:v>
                </c:pt>
                <c:pt idx="1299">
                  <c:v>-137.00623713105597</c:v>
                </c:pt>
                <c:pt idx="1300">
                  <c:v>-184.28937072654145</c:v>
                </c:pt>
                <c:pt idx="1301">
                  <c:v>-233.48218006658138</c:v>
                </c:pt>
                <c:pt idx="1302">
                  <c:v>-283.1210220071265</c:v>
                </c:pt>
                <c:pt idx="1303">
                  <c:v>-336.04443444420804</c:v>
                </c:pt>
                <c:pt idx="1304">
                  <c:v>-379.3045437894225</c:v>
                </c:pt>
                <c:pt idx="1305">
                  <c:v>-409.82588386278024</c:v>
                </c:pt>
                <c:pt idx="1306">
                  <c:v>-432.37943949981786</c:v>
                </c:pt>
                <c:pt idx="1307">
                  <c:v>-449.68709027328168</c:v>
                </c:pt>
                <c:pt idx="1308">
                  <c:v>-461.70085366123868</c:v>
                </c:pt>
                <c:pt idx="1309">
                  <c:v>-471.58723401976476</c:v>
                </c:pt>
                <c:pt idx="1310">
                  <c:v>-480.15237190642932</c:v>
                </c:pt>
                <c:pt idx="1311">
                  <c:v>-486.67519900630282</c:v>
                </c:pt>
                <c:pt idx="1312">
                  <c:v>-491.22773191891292</c:v>
                </c:pt>
                <c:pt idx="1313">
                  <c:v>-494.81524110857572</c:v>
                </c:pt>
                <c:pt idx="1314">
                  <c:v>-497.57759196451087</c:v>
                </c:pt>
                <c:pt idx="1315">
                  <c:v>-494.81524110857589</c:v>
                </c:pt>
                <c:pt idx="1316">
                  <c:v>-491.22773191891309</c:v>
                </c:pt>
                <c:pt idx="1317">
                  <c:v>-486.67519900630282</c:v>
                </c:pt>
                <c:pt idx="1318">
                  <c:v>-480.15237190642932</c:v>
                </c:pt>
                <c:pt idx="1319">
                  <c:v>-471.58723401976471</c:v>
                </c:pt>
                <c:pt idx="1320">
                  <c:v>-461.70085366123863</c:v>
                </c:pt>
                <c:pt idx="1321">
                  <c:v>-449.68709027328168</c:v>
                </c:pt>
                <c:pt idx="1322">
                  <c:v>-432.37943949981792</c:v>
                </c:pt>
                <c:pt idx="1323">
                  <c:v>-409.82588386278024</c:v>
                </c:pt>
                <c:pt idx="1324">
                  <c:v>-379.30454378942255</c:v>
                </c:pt>
                <c:pt idx="1325">
                  <c:v>-336.04443444420821</c:v>
                </c:pt>
                <c:pt idx="1326">
                  <c:v>-283.1210220071269</c:v>
                </c:pt>
                <c:pt idx="1327">
                  <c:v>-233.48218006658169</c:v>
                </c:pt>
                <c:pt idx="1328">
                  <c:v>-184.28937072654162</c:v>
                </c:pt>
                <c:pt idx="1329">
                  <c:v>-137.00623713105591</c:v>
                </c:pt>
                <c:pt idx="1330">
                  <c:v>-90.358261600075792</c:v>
                </c:pt>
                <c:pt idx="1331">
                  <c:v>-43.3093761657641</c:v>
                </c:pt>
                <c:pt idx="1332">
                  <c:v>7.0182762935356318E-14</c:v>
                </c:pt>
                <c:pt idx="1333">
                  <c:v>43.309376165764398</c:v>
                </c:pt>
                <c:pt idx="1334">
                  <c:v>90.358261600076048</c:v>
                </c:pt>
                <c:pt idx="1335">
                  <c:v>137.00623713105605</c:v>
                </c:pt>
                <c:pt idx="1336">
                  <c:v>184.28937072654134</c:v>
                </c:pt>
                <c:pt idx="1337">
                  <c:v>233.48218006658118</c:v>
                </c:pt>
                <c:pt idx="1338">
                  <c:v>283.1210220071269</c:v>
                </c:pt>
                <c:pt idx="1339">
                  <c:v>336.04443444420809</c:v>
                </c:pt>
                <c:pt idx="1340">
                  <c:v>379.30454378942261</c:v>
                </c:pt>
                <c:pt idx="1341">
                  <c:v>409.82588386278024</c:v>
                </c:pt>
                <c:pt idx="1342">
                  <c:v>432.37943949981803</c:v>
                </c:pt>
                <c:pt idx="1343">
                  <c:v>449.68709027328185</c:v>
                </c:pt>
                <c:pt idx="1344">
                  <c:v>461.70085366123897</c:v>
                </c:pt>
                <c:pt idx="1345">
                  <c:v>471.58723401976522</c:v>
                </c:pt>
                <c:pt idx="1346">
                  <c:v>480.15237190642983</c:v>
                </c:pt>
                <c:pt idx="1347">
                  <c:v>486.67519900630316</c:v>
                </c:pt>
                <c:pt idx="1348">
                  <c:v>491.22773191891315</c:v>
                </c:pt>
                <c:pt idx="1349">
                  <c:v>484.95286787801382</c:v>
                </c:pt>
                <c:pt idx="1350">
                  <c:v>482.69796591742903</c:v>
                </c:pt>
                <c:pt idx="1351">
                  <c:v>479.58013087134646</c:v>
                </c:pt>
                <c:pt idx="1352">
                  <c:v>475.46981363536224</c:v>
                </c:pt>
                <c:pt idx="1353">
                  <c:v>470.39032541165722</c:v>
                </c:pt>
                <c:pt idx="1354">
                  <c:v>462.19836345510868</c:v>
                </c:pt>
                <c:pt idx="1355">
                  <c:v>452.11441669677572</c:v>
                </c:pt>
                <c:pt idx="1356">
                  <c:v>439.45730545580955</c:v>
                </c:pt>
                <c:pt idx="1357">
                  <c:v>422.87933077286334</c:v>
                </c:pt>
                <c:pt idx="1358">
                  <c:v>401.92105505596584</c:v>
                </c:pt>
                <c:pt idx="1359">
                  <c:v>371.65121976713147</c:v>
                </c:pt>
                <c:pt idx="1360">
                  <c:v>329.54843675487456</c:v>
                </c:pt>
                <c:pt idx="1361">
                  <c:v>280.93119126283841</c:v>
                </c:pt>
                <c:pt idx="1362">
                  <c:v>228.66948587493553</c:v>
                </c:pt>
                <c:pt idx="1363">
                  <c:v>182.2550932247544</c:v>
                </c:pt>
                <c:pt idx="1364">
                  <c:v>135.00190997939734</c:v>
                </c:pt>
                <c:pt idx="1365">
                  <c:v>88.570718179411642</c:v>
                </c:pt>
                <c:pt idx="1366">
                  <c:v>44.668496192157697</c:v>
                </c:pt>
                <c:pt idx="1367">
                  <c:v>4.9090876312781672E-14</c:v>
                </c:pt>
                <c:pt idx="1368">
                  <c:v>-44.668496192157278</c:v>
                </c:pt>
                <c:pt idx="1369">
                  <c:v>-88.570718179411571</c:v>
                </c:pt>
                <c:pt idx="1370">
                  <c:v>-135.001909979397</c:v>
                </c:pt>
                <c:pt idx="1371">
                  <c:v>-182.25509322475418</c:v>
                </c:pt>
                <c:pt idx="1372">
                  <c:v>-228.6694858749353</c:v>
                </c:pt>
                <c:pt idx="1373">
                  <c:v>-280.93119126283801</c:v>
                </c:pt>
                <c:pt idx="1374">
                  <c:v>-329.54843675487444</c:v>
                </c:pt>
                <c:pt idx="1375">
                  <c:v>-371.65121976713141</c:v>
                </c:pt>
                <c:pt idx="1376">
                  <c:v>-401.92105505596584</c:v>
                </c:pt>
                <c:pt idx="1377">
                  <c:v>-422.87933077286317</c:v>
                </c:pt>
                <c:pt idx="1378">
                  <c:v>-439.45730545580943</c:v>
                </c:pt>
                <c:pt idx="1379">
                  <c:v>-452.11441669677527</c:v>
                </c:pt>
                <c:pt idx="1380">
                  <c:v>-462.19836345510822</c:v>
                </c:pt>
                <c:pt idx="1381">
                  <c:v>-470.39032541165676</c:v>
                </c:pt>
                <c:pt idx="1382">
                  <c:v>-475.4698136353619</c:v>
                </c:pt>
                <c:pt idx="1383">
                  <c:v>-479.58013087134623</c:v>
                </c:pt>
                <c:pt idx="1384">
                  <c:v>-482.69796591742858</c:v>
                </c:pt>
                <c:pt idx="1385">
                  <c:v>-484.95286787801365</c:v>
                </c:pt>
                <c:pt idx="1386">
                  <c:v>-482.69796591742863</c:v>
                </c:pt>
                <c:pt idx="1387">
                  <c:v>-479.58013087134623</c:v>
                </c:pt>
                <c:pt idx="1388">
                  <c:v>-475.4698136353619</c:v>
                </c:pt>
                <c:pt idx="1389">
                  <c:v>-470.39032541165676</c:v>
                </c:pt>
                <c:pt idx="1390">
                  <c:v>-462.19836345510822</c:v>
                </c:pt>
                <c:pt idx="1391">
                  <c:v>-452.11441669677527</c:v>
                </c:pt>
                <c:pt idx="1392">
                  <c:v>-439.45730545580938</c:v>
                </c:pt>
                <c:pt idx="1393">
                  <c:v>-422.87933077286317</c:v>
                </c:pt>
                <c:pt idx="1394">
                  <c:v>-401.92105505596584</c:v>
                </c:pt>
                <c:pt idx="1395">
                  <c:v>-371.65121976713141</c:v>
                </c:pt>
                <c:pt idx="1396">
                  <c:v>-329.54843675487456</c:v>
                </c:pt>
                <c:pt idx="1397">
                  <c:v>-280.93119126283841</c:v>
                </c:pt>
                <c:pt idx="1398">
                  <c:v>-228.66948587493562</c:v>
                </c:pt>
                <c:pt idx="1399">
                  <c:v>-182.25509322475446</c:v>
                </c:pt>
                <c:pt idx="1400">
                  <c:v>-135.00190997939686</c:v>
                </c:pt>
                <c:pt idx="1401">
                  <c:v>-88.570718179411429</c:v>
                </c:pt>
                <c:pt idx="1402">
                  <c:v>-44.668496192157271</c:v>
                </c:pt>
                <c:pt idx="1403">
                  <c:v>6.4639919846998513E-14</c:v>
                </c:pt>
                <c:pt idx="1404">
                  <c:v>44.668496192157505</c:v>
                </c:pt>
                <c:pt idx="1405">
                  <c:v>88.570718179411571</c:v>
                </c:pt>
                <c:pt idx="1406">
                  <c:v>135.00190997939717</c:v>
                </c:pt>
                <c:pt idx="1407">
                  <c:v>182.25509322475415</c:v>
                </c:pt>
                <c:pt idx="1408">
                  <c:v>228.66948587493533</c:v>
                </c:pt>
                <c:pt idx="1409">
                  <c:v>280.93119126283835</c:v>
                </c:pt>
                <c:pt idx="1410">
                  <c:v>329.54843675487456</c:v>
                </c:pt>
                <c:pt idx="1411">
                  <c:v>371.65121976713147</c:v>
                </c:pt>
                <c:pt idx="1412">
                  <c:v>401.92105505596584</c:v>
                </c:pt>
                <c:pt idx="1413">
                  <c:v>422.87933077286334</c:v>
                </c:pt>
                <c:pt idx="1414">
                  <c:v>439.45730545580955</c:v>
                </c:pt>
                <c:pt idx="1415">
                  <c:v>452.11441669677572</c:v>
                </c:pt>
                <c:pt idx="1416">
                  <c:v>462.19836345510868</c:v>
                </c:pt>
                <c:pt idx="1417">
                  <c:v>470.39032541165727</c:v>
                </c:pt>
                <c:pt idx="1418">
                  <c:v>475.46981363536236</c:v>
                </c:pt>
                <c:pt idx="1419">
                  <c:v>479.58013087134646</c:v>
                </c:pt>
                <c:pt idx="1420">
                  <c:v>468.08977716640959</c:v>
                </c:pt>
                <c:pt idx="1421">
                  <c:v>466.1896313788705</c:v>
                </c:pt>
                <c:pt idx="1422">
                  <c:v>463.44513707921271</c:v>
                </c:pt>
                <c:pt idx="1423">
                  <c:v>459.65282321293421</c:v>
                </c:pt>
                <c:pt idx="1424">
                  <c:v>454.65408154346062</c:v>
                </c:pt>
                <c:pt idx="1425">
                  <c:v>447.36296034083767</c:v>
                </c:pt>
                <c:pt idx="1426">
                  <c:v>437.49342641385607</c:v>
                </c:pt>
                <c:pt idx="1427">
                  <c:v>425.03909222099344</c:v>
                </c:pt>
                <c:pt idx="1428">
                  <c:v>408.96808742396894</c:v>
                </c:pt>
                <c:pt idx="1429">
                  <c:v>387.09546467137159</c:v>
                </c:pt>
                <c:pt idx="1430">
                  <c:v>358.50963489141287</c:v>
                </c:pt>
                <c:pt idx="1431">
                  <c:v>322.2240102986076</c:v>
                </c:pt>
                <c:pt idx="1432">
                  <c:v>277.81231347357993</c:v>
                </c:pt>
                <c:pt idx="1433">
                  <c:v>226.69198118810891</c:v>
                </c:pt>
                <c:pt idx="1434">
                  <c:v>180.25651722814408</c:v>
                </c:pt>
                <c:pt idx="1435">
                  <c:v>133.11779444167271</c:v>
                </c:pt>
                <c:pt idx="1436">
                  <c:v>86.943259628085855</c:v>
                </c:pt>
                <c:pt idx="1437">
                  <c:v>43.791910029420819</c:v>
                </c:pt>
                <c:pt idx="1438">
                  <c:v>2.2173659298068429E-14</c:v>
                </c:pt>
                <c:pt idx="1439">
                  <c:v>-43.791910029420315</c:v>
                </c:pt>
                <c:pt idx="1440">
                  <c:v>-86.943259628085571</c:v>
                </c:pt>
                <c:pt idx="1441">
                  <c:v>-133.11779444167249</c:v>
                </c:pt>
                <c:pt idx="1442">
                  <c:v>-180.25651722814385</c:v>
                </c:pt>
                <c:pt idx="1443">
                  <c:v>-226.69198118810854</c:v>
                </c:pt>
                <c:pt idx="1444">
                  <c:v>-277.81231347357942</c:v>
                </c:pt>
                <c:pt idx="1445">
                  <c:v>-322.22401029860737</c:v>
                </c:pt>
                <c:pt idx="1446">
                  <c:v>-358.50963489141253</c:v>
                </c:pt>
                <c:pt idx="1447">
                  <c:v>-387.09546467137153</c:v>
                </c:pt>
                <c:pt idx="1448">
                  <c:v>-408.96808742396865</c:v>
                </c:pt>
                <c:pt idx="1449">
                  <c:v>-425.03909222099315</c:v>
                </c:pt>
                <c:pt idx="1450">
                  <c:v>-437.49342641385573</c:v>
                </c:pt>
                <c:pt idx="1451">
                  <c:v>-447.36296034083711</c:v>
                </c:pt>
                <c:pt idx="1452">
                  <c:v>-454.65408154346011</c:v>
                </c:pt>
                <c:pt idx="1453">
                  <c:v>-459.65282321293375</c:v>
                </c:pt>
                <c:pt idx="1454">
                  <c:v>-463.44513707921237</c:v>
                </c:pt>
                <c:pt idx="1455">
                  <c:v>-466.18963137886988</c:v>
                </c:pt>
                <c:pt idx="1456">
                  <c:v>-468.08977716640925</c:v>
                </c:pt>
                <c:pt idx="1457">
                  <c:v>-466.18963137886988</c:v>
                </c:pt>
                <c:pt idx="1458">
                  <c:v>-463.44513707921249</c:v>
                </c:pt>
                <c:pt idx="1459">
                  <c:v>-459.65282321293375</c:v>
                </c:pt>
                <c:pt idx="1460">
                  <c:v>-454.65408154346011</c:v>
                </c:pt>
                <c:pt idx="1461">
                  <c:v>-447.36296034083711</c:v>
                </c:pt>
                <c:pt idx="1462">
                  <c:v>-437.49342641385573</c:v>
                </c:pt>
                <c:pt idx="1463">
                  <c:v>-425.03909222099315</c:v>
                </c:pt>
                <c:pt idx="1464">
                  <c:v>-408.96808742396865</c:v>
                </c:pt>
                <c:pt idx="1465">
                  <c:v>-387.09546467137147</c:v>
                </c:pt>
                <c:pt idx="1466">
                  <c:v>-358.50963489141253</c:v>
                </c:pt>
                <c:pt idx="1467">
                  <c:v>-322.22401029860742</c:v>
                </c:pt>
                <c:pt idx="1468">
                  <c:v>-277.81231347357971</c:v>
                </c:pt>
                <c:pt idx="1469">
                  <c:v>-226.69198118810885</c:v>
                </c:pt>
                <c:pt idx="1470">
                  <c:v>-180.25651722814405</c:v>
                </c:pt>
                <c:pt idx="1471">
                  <c:v>-133.11779444167232</c:v>
                </c:pt>
                <c:pt idx="1472">
                  <c:v>-86.943259628085514</c:v>
                </c:pt>
                <c:pt idx="1473">
                  <c:v>-43.791910029420336</c:v>
                </c:pt>
                <c:pt idx="1474">
                  <c:v>3.1564665789031078E-14</c:v>
                </c:pt>
                <c:pt idx="1475">
                  <c:v>43.791910029420713</c:v>
                </c:pt>
                <c:pt idx="1476">
                  <c:v>86.94325962808567</c:v>
                </c:pt>
                <c:pt idx="1477">
                  <c:v>133.1177944416726</c:v>
                </c:pt>
                <c:pt idx="1478">
                  <c:v>180.25651722814376</c:v>
                </c:pt>
                <c:pt idx="1479">
                  <c:v>226.69198118810846</c:v>
                </c:pt>
                <c:pt idx="1480">
                  <c:v>277.81231347357993</c:v>
                </c:pt>
                <c:pt idx="1481">
                  <c:v>322.2240102986076</c:v>
                </c:pt>
                <c:pt idx="1482">
                  <c:v>358.50963489141287</c:v>
                </c:pt>
                <c:pt idx="1483">
                  <c:v>387.09546467137159</c:v>
                </c:pt>
                <c:pt idx="1484">
                  <c:v>408.96808742396894</c:v>
                </c:pt>
                <c:pt idx="1485">
                  <c:v>425.03909222099344</c:v>
                </c:pt>
                <c:pt idx="1486">
                  <c:v>437.49342641385624</c:v>
                </c:pt>
                <c:pt idx="1487">
                  <c:v>447.36296034083762</c:v>
                </c:pt>
                <c:pt idx="1488">
                  <c:v>454.65408154346062</c:v>
                </c:pt>
                <c:pt idx="1489">
                  <c:v>459.65282321293415</c:v>
                </c:pt>
                <c:pt idx="1490">
                  <c:v>463.4451370792126</c:v>
                </c:pt>
                <c:pt idx="1491">
                  <c:v>446.1642680759669</c:v>
                </c:pt>
                <c:pt idx="1492">
                  <c:v>444.70165114139519</c:v>
                </c:pt>
                <c:pt idx="1493">
                  <c:v>442.12875172740388</c:v>
                </c:pt>
                <c:pt idx="1494">
                  <c:v>438.52882994320265</c:v>
                </c:pt>
                <c:pt idx="1495">
                  <c:v>433.71259809875727</c:v>
                </c:pt>
                <c:pt idx="1496">
                  <c:v>427.31144382124495</c:v>
                </c:pt>
                <c:pt idx="1497">
                  <c:v>417.55541433934167</c:v>
                </c:pt>
                <c:pt idx="1498">
                  <c:v>405.20298065914579</c:v>
                </c:pt>
                <c:pt idx="1499">
                  <c:v>389.22322499252687</c:v>
                </c:pt>
                <c:pt idx="1500">
                  <c:v>367.98449734456347</c:v>
                </c:pt>
                <c:pt idx="1501">
                  <c:v>340.79892890550047</c:v>
                </c:pt>
                <c:pt idx="1502">
                  <c:v>309.58032092527122</c:v>
                </c:pt>
                <c:pt idx="1503">
                  <c:v>271.37787749213317</c:v>
                </c:pt>
                <c:pt idx="1504">
                  <c:v>224.74974301255145</c:v>
                </c:pt>
                <c:pt idx="1505">
                  <c:v>175.70165015450826</c:v>
                </c:pt>
                <c:pt idx="1506">
                  <c:v>131.38921560631974</c:v>
                </c:pt>
                <c:pt idx="1507">
                  <c:v>88.032911929493977</c:v>
                </c:pt>
                <c:pt idx="1508">
                  <c:v>43.408095957228873</c:v>
                </c:pt>
                <c:pt idx="1509">
                  <c:v>4.7796151547748335E-14</c:v>
                </c:pt>
                <c:pt idx="1510">
                  <c:v>-43.40809595722822</c:v>
                </c:pt>
                <c:pt idx="1511">
                  <c:v>-88.032911929493707</c:v>
                </c:pt>
                <c:pt idx="1512">
                  <c:v>-131.38921560631945</c:v>
                </c:pt>
                <c:pt idx="1513">
                  <c:v>-175.70165015450797</c:v>
                </c:pt>
                <c:pt idx="1514">
                  <c:v>-224.74974301255114</c:v>
                </c:pt>
                <c:pt idx="1515">
                  <c:v>-271.3778774921326</c:v>
                </c:pt>
                <c:pt idx="1516">
                  <c:v>-309.58032092527088</c:v>
                </c:pt>
                <c:pt idx="1517">
                  <c:v>-340.79892890550013</c:v>
                </c:pt>
                <c:pt idx="1518">
                  <c:v>-367.98449734456335</c:v>
                </c:pt>
                <c:pt idx="1519">
                  <c:v>-389.22322499252658</c:v>
                </c:pt>
                <c:pt idx="1520">
                  <c:v>-405.20298065914545</c:v>
                </c:pt>
                <c:pt idx="1521">
                  <c:v>-417.5554143393415</c:v>
                </c:pt>
                <c:pt idx="1522">
                  <c:v>-427.31144382124461</c:v>
                </c:pt>
                <c:pt idx="1523">
                  <c:v>-433.71259809875687</c:v>
                </c:pt>
                <c:pt idx="1524">
                  <c:v>-438.52882994320231</c:v>
                </c:pt>
                <c:pt idx="1525">
                  <c:v>-442.1287517274036</c:v>
                </c:pt>
                <c:pt idx="1526">
                  <c:v>-444.70165114139479</c:v>
                </c:pt>
                <c:pt idx="1527">
                  <c:v>-446.16426807596679</c:v>
                </c:pt>
                <c:pt idx="1528">
                  <c:v>-444.70165114139479</c:v>
                </c:pt>
                <c:pt idx="1529">
                  <c:v>-442.12875172740354</c:v>
                </c:pt>
                <c:pt idx="1530">
                  <c:v>-438.52882994320237</c:v>
                </c:pt>
                <c:pt idx="1531">
                  <c:v>-433.71259809875687</c:v>
                </c:pt>
                <c:pt idx="1532">
                  <c:v>-427.31144382124461</c:v>
                </c:pt>
                <c:pt idx="1533">
                  <c:v>-417.5554143393415</c:v>
                </c:pt>
                <c:pt idx="1534">
                  <c:v>-405.20298065914545</c:v>
                </c:pt>
                <c:pt idx="1535">
                  <c:v>-389.22322499252658</c:v>
                </c:pt>
                <c:pt idx="1536">
                  <c:v>-367.98449734456335</c:v>
                </c:pt>
                <c:pt idx="1537">
                  <c:v>-340.79892890550019</c:v>
                </c:pt>
                <c:pt idx="1538">
                  <c:v>-309.58032092527105</c:v>
                </c:pt>
                <c:pt idx="1539">
                  <c:v>-271.37787749213294</c:v>
                </c:pt>
                <c:pt idx="1540">
                  <c:v>-224.74974301255136</c:v>
                </c:pt>
                <c:pt idx="1541">
                  <c:v>-175.70165015450834</c:v>
                </c:pt>
                <c:pt idx="1542">
                  <c:v>-131.38921560631931</c:v>
                </c:pt>
                <c:pt idx="1543">
                  <c:v>-88.03291192949365</c:v>
                </c:pt>
                <c:pt idx="1544">
                  <c:v>-43.408095957228191</c:v>
                </c:pt>
                <c:pt idx="1545">
                  <c:v>6.0266176560338073E-14</c:v>
                </c:pt>
                <c:pt idx="1546">
                  <c:v>43.408095957228703</c:v>
                </c:pt>
                <c:pt idx="1547">
                  <c:v>88.032911929493849</c:v>
                </c:pt>
                <c:pt idx="1548">
                  <c:v>131.38921560631965</c:v>
                </c:pt>
                <c:pt idx="1549">
                  <c:v>175.70165015450806</c:v>
                </c:pt>
                <c:pt idx="1550">
                  <c:v>224.74974301255116</c:v>
                </c:pt>
                <c:pt idx="1551">
                  <c:v>271.37787749213317</c:v>
                </c:pt>
                <c:pt idx="1552">
                  <c:v>309.58032092527122</c:v>
                </c:pt>
                <c:pt idx="1553">
                  <c:v>340.79892890550036</c:v>
                </c:pt>
                <c:pt idx="1554">
                  <c:v>367.98449734456352</c:v>
                </c:pt>
                <c:pt idx="1555">
                  <c:v>389.22322499252687</c:v>
                </c:pt>
                <c:pt idx="1556">
                  <c:v>405.20298065914574</c:v>
                </c:pt>
                <c:pt idx="1557">
                  <c:v>417.55541433934189</c:v>
                </c:pt>
                <c:pt idx="1558">
                  <c:v>427.31144382124501</c:v>
                </c:pt>
                <c:pt idx="1559">
                  <c:v>433.7125980987575</c:v>
                </c:pt>
                <c:pt idx="1560">
                  <c:v>438.52882994320265</c:v>
                </c:pt>
                <c:pt idx="1561">
                  <c:v>442.12875172740388</c:v>
                </c:pt>
                <c:pt idx="1562">
                  <c:v>419.12307879037996</c:v>
                </c:pt>
                <c:pt idx="1563">
                  <c:v>417.58890750212771</c:v>
                </c:pt>
                <c:pt idx="1564">
                  <c:v>415.13201267426416</c:v>
                </c:pt>
                <c:pt idx="1565">
                  <c:v>411.63856319835872</c:v>
                </c:pt>
                <c:pt idx="1566">
                  <c:v>407.33848310812238</c:v>
                </c:pt>
                <c:pt idx="1567">
                  <c:v>401.10937721407743</c:v>
                </c:pt>
                <c:pt idx="1568">
                  <c:v>392.05130780979727</c:v>
                </c:pt>
                <c:pt idx="1569">
                  <c:v>379.71829961626833</c:v>
                </c:pt>
                <c:pt idx="1570">
                  <c:v>363.74561511689711</c:v>
                </c:pt>
                <c:pt idx="1571">
                  <c:v>344.05883368775358</c:v>
                </c:pt>
                <c:pt idx="1572">
                  <c:v>319.73222909524031</c:v>
                </c:pt>
                <c:pt idx="1573">
                  <c:v>292.00178819609255</c:v>
                </c:pt>
                <c:pt idx="1574">
                  <c:v>261.16564790467822</c:v>
                </c:pt>
                <c:pt idx="1575">
                  <c:v>221.68924731071752</c:v>
                </c:pt>
                <c:pt idx="1576">
                  <c:v>173.95819938900408</c:v>
                </c:pt>
                <c:pt idx="1577">
                  <c:v>129.66802489581582</c:v>
                </c:pt>
                <c:pt idx="1578">
                  <c:v>86.841669992601737</c:v>
                </c:pt>
                <c:pt idx="1579">
                  <c:v>43.060805752972009</c:v>
                </c:pt>
                <c:pt idx="1580">
                  <c:v>1.2049897692429232E-14</c:v>
                </c:pt>
                <c:pt idx="1581">
                  <c:v>-43.06080575297144</c:v>
                </c:pt>
                <c:pt idx="1582">
                  <c:v>-86.841669992601496</c:v>
                </c:pt>
                <c:pt idx="1583">
                  <c:v>-129.66802489581559</c:v>
                </c:pt>
                <c:pt idx="1584">
                  <c:v>-173.95819938900362</c:v>
                </c:pt>
                <c:pt idx="1585">
                  <c:v>-221.68924731071715</c:v>
                </c:pt>
                <c:pt idx="1586">
                  <c:v>-261.16564790467771</c:v>
                </c:pt>
                <c:pt idx="1587">
                  <c:v>-292.00178819609221</c:v>
                </c:pt>
                <c:pt idx="1588">
                  <c:v>-319.73222909523992</c:v>
                </c:pt>
                <c:pt idx="1589">
                  <c:v>-344.05883368775341</c:v>
                </c:pt>
                <c:pt idx="1590">
                  <c:v>-363.745615116897</c:v>
                </c:pt>
                <c:pt idx="1591">
                  <c:v>-379.71829961626827</c:v>
                </c:pt>
                <c:pt idx="1592">
                  <c:v>-392.05130780979715</c:v>
                </c:pt>
                <c:pt idx="1593">
                  <c:v>-401.10937721407726</c:v>
                </c:pt>
                <c:pt idx="1594">
                  <c:v>-407.33848310812209</c:v>
                </c:pt>
                <c:pt idx="1595">
                  <c:v>-411.6385631983585</c:v>
                </c:pt>
                <c:pt idx="1596">
                  <c:v>-415.13201267426393</c:v>
                </c:pt>
                <c:pt idx="1597">
                  <c:v>-417.5889075021272</c:v>
                </c:pt>
                <c:pt idx="1598">
                  <c:v>-419.12307879037979</c:v>
                </c:pt>
                <c:pt idx="1599">
                  <c:v>-417.5889075021272</c:v>
                </c:pt>
                <c:pt idx="1600">
                  <c:v>-415.13201267426416</c:v>
                </c:pt>
                <c:pt idx="1601">
                  <c:v>-411.63856319835833</c:v>
                </c:pt>
                <c:pt idx="1602">
                  <c:v>-407.33848310812198</c:v>
                </c:pt>
                <c:pt idx="1603">
                  <c:v>-401.10937721407726</c:v>
                </c:pt>
                <c:pt idx="1604">
                  <c:v>-392.05130780979709</c:v>
                </c:pt>
                <c:pt idx="1605">
                  <c:v>-379.71829961626804</c:v>
                </c:pt>
                <c:pt idx="1606">
                  <c:v>-363.74561511689689</c:v>
                </c:pt>
                <c:pt idx="1607">
                  <c:v>-344.05883368775341</c:v>
                </c:pt>
                <c:pt idx="1608">
                  <c:v>-319.73222909523992</c:v>
                </c:pt>
                <c:pt idx="1609">
                  <c:v>-292.00178819609232</c:v>
                </c:pt>
                <c:pt idx="1610">
                  <c:v>-261.165647904678</c:v>
                </c:pt>
                <c:pt idx="1611">
                  <c:v>-221.68924731071735</c:v>
                </c:pt>
                <c:pt idx="1612">
                  <c:v>-173.95819938900399</c:v>
                </c:pt>
                <c:pt idx="1613">
                  <c:v>-129.66802489581531</c:v>
                </c:pt>
                <c:pt idx="1614">
                  <c:v>-86.841669992601382</c:v>
                </c:pt>
                <c:pt idx="1615">
                  <c:v>-43.060805752971532</c:v>
                </c:pt>
                <c:pt idx="1616">
                  <c:v>3.2217469009086676E-14</c:v>
                </c:pt>
                <c:pt idx="1617">
                  <c:v>43.060805752971952</c:v>
                </c:pt>
                <c:pt idx="1618">
                  <c:v>86.841669992601567</c:v>
                </c:pt>
                <c:pt idx="1619">
                  <c:v>129.66802489581565</c:v>
                </c:pt>
                <c:pt idx="1620">
                  <c:v>173.95819938900382</c:v>
                </c:pt>
                <c:pt idx="1621">
                  <c:v>221.68924731071718</c:v>
                </c:pt>
                <c:pt idx="1622">
                  <c:v>261.16564790467817</c:v>
                </c:pt>
                <c:pt idx="1623">
                  <c:v>292.00178819609243</c:v>
                </c:pt>
                <c:pt idx="1624">
                  <c:v>319.73222909524031</c:v>
                </c:pt>
                <c:pt idx="1625">
                  <c:v>344.05883368775358</c:v>
                </c:pt>
                <c:pt idx="1626">
                  <c:v>363.74561511689711</c:v>
                </c:pt>
                <c:pt idx="1627">
                  <c:v>379.71829961626833</c:v>
                </c:pt>
                <c:pt idx="1628">
                  <c:v>392.05130780979744</c:v>
                </c:pt>
                <c:pt idx="1629">
                  <c:v>401.10937721407765</c:v>
                </c:pt>
                <c:pt idx="1630">
                  <c:v>407.3384831081226</c:v>
                </c:pt>
                <c:pt idx="1631">
                  <c:v>411.63856319835872</c:v>
                </c:pt>
                <c:pt idx="1632">
                  <c:v>415.13201267426427</c:v>
                </c:pt>
                <c:pt idx="1633">
                  <c:v>386.67833722080405</c:v>
                </c:pt>
                <c:pt idx="1634">
                  <c:v>385.18682359391869</c:v>
                </c:pt>
                <c:pt idx="1635">
                  <c:v>382.76551044667787</c:v>
                </c:pt>
                <c:pt idx="1636">
                  <c:v>379.30195833096343</c:v>
                </c:pt>
                <c:pt idx="1637">
                  <c:v>374.61021517538609</c:v>
                </c:pt>
                <c:pt idx="1638">
                  <c:v>368.4045546185622</c:v>
                </c:pt>
                <c:pt idx="1639">
                  <c:v>360.76201357853893</c:v>
                </c:pt>
                <c:pt idx="1640">
                  <c:v>348.38156964344597</c:v>
                </c:pt>
                <c:pt idx="1641">
                  <c:v>333.43389868775137</c:v>
                </c:pt>
                <c:pt idx="1642">
                  <c:v>314.93217880854399</c:v>
                </c:pt>
                <c:pt idx="1643">
                  <c:v>294.88756944143688</c:v>
                </c:pt>
                <c:pt idx="1644">
                  <c:v>272.06175781013798</c:v>
                </c:pt>
                <c:pt idx="1645">
                  <c:v>245.36168258669798</c:v>
                </c:pt>
                <c:pt idx="1646">
                  <c:v>213.07821229871911</c:v>
                </c:pt>
                <c:pt idx="1647">
                  <c:v>174.8590609429618</c:v>
                </c:pt>
                <c:pt idx="1648">
                  <c:v>128.21528139603146</c:v>
                </c:pt>
                <c:pt idx="1649">
                  <c:v>83.12454795025667</c:v>
                </c:pt>
                <c:pt idx="1650">
                  <c:v>42.745733124955969</c:v>
                </c:pt>
                <c:pt idx="1651">
                  <c:v>8.4293983320788529E-14</c:v>
                </c:pt>
                <c:pt idx="1652">
                  <c:v>-42.745733124955301</c:v>
                </c:pt>
                <c:pt idx="1653">
                  <c:v>-83.124547950256428</c:v>
                </c:pt>
                <c:pt idx="1654">
                  <c:v>-128.21528139603117</c:v>
                </c:pt>
                <c:pt idx="1655">
                  <c:v>-174.85906094296146</c:v>
                </c:pt>
                <c:pt idx="1656">
                  <c:v>-213.07821229871865</c:v>
                </c:pt>
                <c:pt idx="1657">
                  <c:v>-245.36168258669755</c:v>
                </c:pt>
                <c:pt idx="1658">
                  <c:v>-272.06175781013775</c:v>
                </c:pt>
                <c:pt idx="1659">
                  <c:v>-294.88756944143665</c:v>
                </c:pt>
                <c:pt idx="1660">
                  <c:v>-314.93217880854365</c:v>
                </c:pt>
                <c:pt idx="1661">
                  <c:v>-333.43389868775114</c:v>
                </c:pt>
                <c:pt idx="1662">
                  <c:v>-348.3815696434458</c:v>
                </c:pt>
                <c:pt idx="1663">
                  <c:v>-360.76201357853847</c:v>
                </c:pt>
                <c:pt idx="1664">
                  <c:v>-368.40455461856158</c:v>
                </c:pt>
                <c:pt idx="1665">
                  <c:v>-374.6102151753858</c:v>
                </c:pt>
                <c:pt idx="1666">
                  <c:v>-379.30195833096332</c:v>
                </c:pt>
                <c:pt idx="1667">
                  <c:v>-382.76551044667798</c:v>
                </c:pt>
                <c:pt idx="1668">
                  <c:v>-385.18682359391801</c:v>
                </c:pt>
                <c:pt idx="1669">
                  <c:v>-386.67833722080383</c:v>
                </c:pt>
                <c:pt idx="1670">
                  <c:v>-385.18682359391818</c:v>
                </c:pt>
                <c:pt idx="1671">
                  <c:v>-382.76551044667787</c:v>
                </c:pt>
                <c:pt idx="1672">
                  <c:v>-379.30195833096309</c:v>
                </c:pt>
                <c:pt idx="1673">
                  <c:v>-374.61021517538575</c:v>
                </c:pt>
                <c:pt idx="1674">
                  <c:v>-368.40455461856158</c:v>
                </c:pt>
                <c:pt idx="1675">
                  <c:v>-360.76201357853847</c:v>
                </c:pt>
                <c:pt idx="1676">
                  <c:v>-348.38156964344563</c:v>
                </c:pt>
                <c:pt idx="1677">
                  <c:v>-333.43389868775114</c:v>
                </c:pt>
                <c:pt idx="1678">
                  <c:v>-314.93217880854365</c:v>
                </c:pt>
                <c:pt idx="1679">
                  <c:v>-294.88756944143671</c:v>
                </c:pt>
                <c:pt idx="1680">
                  <c:v>-272.06175781013775</c:v>
                </c:pt>
                <c:pt idx="1681">
                  <c:v>-245.36168258669781</c:v>
                </c:pt>
                <c:pt idx="1682">
                  <c:v>-213.0782122987188</c:v>
                </c:pt>
                <c:pt idx="1683">
                  <c:v>-174.85906094296172</c:v>
                </c:pt>
                <c:pt idx="1684">
                  <c:v>-128.21528139603095</c:v>
                </c:pt>
                <c:pt idx="1685">
                  <c:v>-83.124547950256328</c:v>
                </c:pt>
                <c:pt idx="1686">
                  <c:v>-42.745733124955365</c:v>
                </c:pt>
                <c:pt idx="1687">
                  <c:v>1.0138253611581897E-13</c:v>
                </c:pt>
                <c:pt idx="1688">
                  <c:v>42.745733124955855</c:v>
                </c:pt>
                <c:pt idx="1689">
                  <c:v>83.124547950256542</c:v>
                </c:pt>
                <c:pt idx="1690">
                  <c:v>128.21528139603132</c:v>
                </c:pt>
                <c:pt idx="1691">
                  <c:v>174.85906094296149</c:v>
                </c:pt>
                <c:pt idx="1692">
                  <c:v>213.07821229871868</c:v>
                </c:pt>
                <c:pt idx="1693">
                  <c:v>245.36168258669798</c:v>
                </c:pt>
                <c:pt idx="1694">
                  <c:v>272.06175781013809</c:v>
                </c:pt>
                <c:pt idx="1695">
                  <c:v>294.88756944143688</c:v>
                </c:pt>
                <c:pt idx="1696">
                  <c:v>314.93217880854399</c:v>
                </c:pt>
                <c:pt idx="1697">
                  <c:v>333.43389868775137</c:v>
                </c:pt>
                <c:pt idx="1698">
                  <c:v>348.38156964344597</c:v>
                </c:pt>
                <c:pt idx="1699">
                  <c:v>360.76201357853898</c:v>
                </c:pt>
                <c:pt idx="1700">
                  <c:v>368.40455461856203</c:v>
                </c:pt>
                <c:pt idx="1701">
                  <c:v>374.6102151753862</c:v>
                </c:pt>
                <c:pt idx="1702">
                  <c:v>379.30195833096337</c:v>
                </c:pt>
                <c:pt idx="1703">
                  <c:v>382.76551044667787</c:v>
                </c:pt>
                <c:pt idx="1704">
                  <c:v>348.55152248746168</c:v>
                </c:pt>
                <c:pt idx="1705">
                  <c:v>347.04097711020421</c:v>
                </c:pt>
                <c:pt idx="1706">
                  <c:v>344.59713550593398</c:v>
                </c:pt>
                <c:pt idx="1707">
                  <c:v>341.10767873752991</c:v>
                </c:pt>
                <c:pt idx="1708">
                  <c:v>336.38686674311714</c:v>
                </c:pt>
                <c:pt idx="1709">
                  <c:v>330.11852141945815</c:v>
                </c:pt>
                <c:pt idx="1710">
                  <c:v>322.60481619095185</c:v>
                </c:pt>
                <c:pt idx="1711">
                  <c:v>311.63475871267673</c:v>
                </c:pt>
                <c:pt idx="1712">
                  <c:v>297.17054964983777</c:v>
                </c:pt>
                <c:pt idx="1713">
                  <c:v>282.12455205311988</c:v>
                </c:pt>
                <c:pt idx="1714">
                  <c:v>265.97486766683238</c:v>
                </c:pt>
                <c:pt idx="1715">
                  <c:v>248.02945293305874</c:v>
                </c:pt>
                <c:pt idx="1716">
                  <c:v>226.67484107469846</c:v>
                </c:pt>
                <c:pt idx="1717">
                  <c:v>202.70391880373296</c:v>
                </c:pt>
                <c:pt idx="1718">
                  <c:v>169.82686341079716</c:v>
                </c:pt>
                <c:pt idx="1719">
                  <c:v>126.06449194350837</c:v>
                </c:pt>
                <c:pt idx="1720">
                  <c:v>82.160927292345491</c:v>
                </c:pt>
                <c:pt idx="1721">
                  <c:v>39.864730004490106</c:v>
                </c:pt>
                <c:pt idx="1722">
                  <c:v>6.7482389419426311E-14</c:v>
                </c:pt>
                <c:pt idx="1723">
                  <c:v>-39.864730004489473</c:v>
                </c:pt>
                <c:pt idx="1724">
                  <c:v>-82.160927292345093</c:v>
                </c:pt>
                <c:pt idx="1725">
                  <c:v>-126.06449194350796</c:v>
                </c:pt>
                <c:pt idx="1726">
                  <c:v>-169.82686341079682</c:v>
                </c:pt>
                <c:pt idx="1727">
                  <c:v>-202.70391880373251</c:v>
                </c:pt>
                <c:pt idx="1728">
                  <c:v>-226.67484107469812</c:v>
                </c:pt>
                <c:pt idx="1729">
                  <c:v>-248.02945293305856</c:v>
                </c:pt>
                <c:pt idx="1730">
                  <c:v>-265.9748676668321</c:v>
                </c:pt>
                <c:pt idx="1731">
                  <c:v>-282.12455205311966</c:v>
                </c:pt>
                <c:pt idx="1732">
                  <c:v>-297.17054964983754</c:v>
                </c:pt>
                <c:pt idx="1733">
                  <c:v>-311.63475871267656</c:v>
                </c:pt>
                <c:pt idx="1734">
                  <c:v>-322.60481619095151</c:v>
                </c:pt>
                <c:pt idx="1735">
                  <c:v>-330.11852141945775</c:v>
                </c:pt>
                <c:pt idx="1736">
                  <c:v>-336.38686674311697</c:v>
                </c:pt>
                <c:pt idx="1737">
                  <c:v>-341.10767873752991</c:v>
                </c:pt>
                <c:pt idx="1738">
                  <c:v>-344.59713550593386</c:v>
                </c:pt>
                <c:pt idx="1739">
                  <c:v>-347.0409771102037</c:v>
                </c:pt>
                <c:pt idx="1740">
                  <c:v>-348.5515224874614</c:v>
                </c:pt>
                <c:pt idx="1741">
                  <c:v>-347.0409771102037</c:v>
                </c:pt>
                <c:pt idx="1742">
                  <c:v>-344.59713550593386</c:v>
                </c:pt>
                <c:pt idx="1743">
                  <c:v>-341.1076787375298</c:v>
                </c:pt>
                <c:pt idx="1744">
                  <c:v>-336.38686674311697</c:v>
                </c:pt>
                <c:pt idx="1745">
                  <c:v>-330.11852141945775</c:v>
                </c:pt>
                <c:pt idx="1746">
                  <c:v>-322.60481619095151</c:v>
                </c:pt>
                <c:pt idx="1747">
                  <c:v>-311.63475871267673</c:v>
                </c:pt>
                <c:pt idx="1748">
                  <c:v>-297.17054964983748</c:v>
                </c:pt>
                <c:pt idx="1749">
                  <c:v>-282.12455205311966</c:v>
                </c:pt>
                <c:pt idx="1750">
                  <c:v>-265.9748676668321</c:v>
                </c:pt>
                <c:pt idx="1751">
                  <c:v>-248.02945293305839</c:v>
                </c:pt>
                <c:pt idx="1752">
                  <c:v>-226.67484107469838</c:v>
                </c:pt>
                <c:pt idx="1753">
                  <c:v>-202.70391880373245</c:v>
                </c:pt>
                <c:pt idx="1754">
                  <c:v>-169.8268634107971</c:v>
                </c:pt>
                <c:pt idx="1755">
                  <c:v>-126.06449194350786</c:v>
                </c:pt>
                <c:pt idx="1756">
                  <c:v>-82.160927292345093</c:v>
                </c:pt>
                <c:pt idx="1757">
                  <c:v>-39.864730004489445</c:v>
                </c:pt>
                <c:pt idx="1758">
                  <c:v>7.5333886649575408E-14</c:v>
                </c:pt>
                <c:pt idx="1759">
                  <c:v>39.864730004489992</c:v>
                </c:pt>
                <c:pt idx="1760">
                  <c:v>82.160927292345292</c:v>
                </c:pt>
                <c:pt idx="1761">
                  <c:v>126.06449194350823</c:v>
                </c:pt>
                <c:pt idx="1762">
                  <c:v>169.82686341079699</c:v>
                </c:pt>
                <c:pt idx="1763">
                  <c:v>202.70391880373259</c:v>
                </c:pt>
                <c:pt idx="1764">
                  <c:v>226.67484107469841</c:v>
                </c:pt>
                <c:pt idx="1765">
                  <c:v>248.02945293305874</c:v>
                </c:pt>
                <c:pt idx="1766">
                  <c:v>265.97486766683238</c:v>
                </c:pt>
                <c:pt idx="1767">
                  <c:v>282.12455205311988</c:v>
                </c:pt>
                <c:pt idx="1768">
                  <c:v>297.17054964983782</c:v>
                </c:pt>
                <c:pt idx="1769">
                  <c:v>311.63475871267678</c:v>
                </c:pt>
                <c:pt idx="1770">
                  <c:v>322.60481619095168</c:v>
                </c:pt>
                <c:pt idx="1771">
                  <c:v>330.11852141945815</c:v>
                </c:pt>
                <c:pt idx="1772">
                  <c:v>336.38686674311708</c:v>
                </c:pt>
                <c:pt idx="1773">
                  <c:v>341.10767873753008</c:v>
                </c:pt>
                <c:pt idx="1774">
                  <c:v>344.59713550593398</c:v>
                </c:pt>
                <c:pt idx="1775">
                  <c:v>16.089533128015809</c:v>
                </c:pt>
                <c:pt idx="1776">
                  <c:v>24.724651111812825</c:v>
                </c:pt>
                <c:pt idx="1777">
                  <c:v>99.959906871158353</c:v>
                </c:pt>
                <c:pt idx="1778">
                  <c:v>85.608272608001926</c:v>
                </c:pt>
                <c:pt idx="1779">
                  <c:v>76.819455201176567</c:v>
                </c:pt>
                <c:pt idx="1780">
                  <c:v>69.826800304053833</c:v>
                </c:pt>
                <c:pt idx="1781">
                  <c:v>63.246826401958472</c:v>
                </c:pt>
                <c:pt idx="1782">
                  <c:v>56.362376075620496</c:v>
                </c:pt>
                <c:pt idx="1783">
                  <c:v>25.864335786345322</c:v>
                </c:pt>
                <c:pt idx="1784">
                  <c:v>29.25273169708403</c:v>
                </c:pt>
                <c:pt idx="1785">
                  <c:v>18.632609532941565</c:v>
                </c:pt>
                <c:pt idx="1786">
                  <c:v>15.08031202808683</c:v>
                </c:pt>
                <c:pt idx="1787">
                  <c:v>14.194252183675619</c:v>
                </c:pt>
                <c:pt idx="1788">
                  <c:v>86.804379026285332</c:v>
                </c:pt>
                <c:pt idx="1789">
                  <c:v>115.11862068187681</c:v>
                </c:pt>
                <c:pt idx="1790">
                  <c:v>120.39037930218831</c:v>
                </c:pt>
                <c:pt idx="1791">
                  <c:v>80.827641848648184</c:v>
                </c:pt>
                <c:pt idx="1792">
                  <c:v>38.731481491196497</c:v>
                </c:pt>
                <c:pt idx="1793">
                  <c:v>8.4785380208369224E-14</c:v>
                </c:pt>
                <c:pt idx="1794">
                  <c:v>-38.731481491212662</c:v>
                </c:pt>
                <c:pt idx="1795">
                  <c:v>-80.827641848647886</c:v>
                </c:pt>
                <c:pt idx="1796">
                  <c:v>-120.39037930218798</c:v>
                </c:pt>
                <c:pt idx="1797">
                  <c:v>-115.11862068187638</c:v>
                </c:pt>
                <c:pt idx="1798">
                  <c:v>-86.804379914465926</c:v>
                </c:pt>
                <c:pt idx="1799">
                  <c:v>-14.194251651278829</c:v>
                </c:pt>
                <c:pt idx="1800">
                  <c:v>-15.080312028086505</c:v>
                </c:pt>
                <c:pt idx="1801">
                  <c:v>-18.632609532941188</c:v>
                </c:pt>
                <c:pt idx="1802">
                  <c:v>-29.252730861867217</c:v>
                </c:pt>
                <c:pt idx="1803">
                  <c:v>-25.864336560979975</c:v>
                </c:pt>
                <c:pt idx="1804">
                  <c:v>-56.36237753247687</c:v>
                </c:pt>
                <c:pt idx="1805">
                  <c:v>-63.246826401958344</c:v>
                </c:pt>
                <c:pt idx="1806">
                  <c:v>-69.8267962144959</c:v>
                </c:pt>
                <c:pt idx="1807">
                  <c:v>-76.819455201176126</c:v>
                </c:pt>
                <c:pt idx="1808">
                  <c:v>-85.608269570902479</c:v>
                </c:pt>
                <c:pt idx="1809">
                  <c:v>-99.959902765343472</c:v>
                </c:pt>
                <c:pt idx="1810">
                  <c:v>-24.724651344751202</c:v>
                </c:pt>
                <c:pt idx="1811">
                  <c:v>-16.089533128015464</c:v>
                </c:pt>
                <c:pt idx="1812">
                  <c:v>-24.724651344751209</c:v>
                </c:pt>
                <c:pt idx="1813">
                  <c:v>-99.959906871158068</c:v>
                </c:pt>
                <c:pt idx="1814">
                  <c:v>-85.608272608001528</c:v>
                </c:pt>
                <c:pt idx="1815">
                  <c:v>-76.819455201176098</c:v>
                </c:pt>
                <c:pt idx="1816">
                  <c:v>-69.8267962144959</c:v>
                </c:pt>
                <c:pt idx="1817">
                  <c:v>-63.246824673729918</c:v>
                </c:pt>
                <c:pt idx="1818">
                  <c:v>-56.362376075620404</c:v>
                </c:pt>
                <c:pt idx="1819">
                  <c:v>-25.864336560979986</c:v>
                </c:pt>
                <c:pt idx="1820">
                  <c:v>-29.252730861867235</c:v>
                </c:pt>
                <c:pt idx="1821">
                  <c:v>-18.632609532941228</c:v>
                </c:pt>
                <c:pt idx="1822">
                  <c:v>-15.08031182216671</c:v>
                </c:pt>
                <c:pt idx="1823">
                  <c:v>-14.194251917477187</c:v>
                </c:pt>
                <c:pt idx="1824">
                  <c:v>-86.804379026284693</c:v>
                </c:pt>
                <c:pt idx="1825">
                  <c:v>-115.11862004321767</c:v>
                </c:pt>
                <c:pt idx="1826">
                  <c:v>-120.39037950857151</c:v>
                </c:pt>
                <c:pt idx="1827">
                  <c:v>-80.827641848647843</c:v>
                </c:pt>
                <c:pt idx="1828">
                  <c:v>-38.731481491212669</c:v>
                </c:pt>
                <c:pt idx="1829">
                  <c:v>9.4176386699331872E-14</c:v>
                </c:pt>
                <c:pt idx="1830">
                  <c:v>38.731481491213124</c:v>
                </c:pt>
                <c:pt idx="1831">
                  <c:v>80.827641848648014</c:v>
                </c:pt>
                <c:pt idx="1832">
                  <c:v>120.39037930218832</c:v>
                </c:pt>
                <c:pt idx="1833">
                  <c:v>115.11862068187689</c:v>
                </c:pt>
                <c:pt idx="1834">
                  <c:v>86.804379026285091</c:v>
                </c:pt>
                <c:pt idx="1835">
                  <c:v>14.194252183675646</c:v>
                </c:pt>
                <c:pt idx="1836">
                  <c:v>15.080312028086807</c:v>
                </c:pt>
                <c:pt idx="1837">
                  <c:v>18.632609532941533</c:v>
                </c:pt>
                <c:pt idx="1838">
                  <c:v>29.252731697084062</c:v>
                </c:pt>
                <c:pt idx="1839">
                  <c:v>25.864335786345308</c:v>
                </c:pt>
                <c:pt idx="1840">
                  <c:v>56.362376075620496</c:v>
                </c:pt>
                <c:pt idx="1841">
                  <c:v>63.246826401958607</c:v>
                </c:pt>
                <c:pt idx="1842">
                  <c:v>69.826796214496042</c:v>
                </c:pt>
                <c:pt idx="1843">
                  <c:v>76.819455201176751</c:v>
                </c:pt>
                <c:pt idx="1844">
                  <c:v>85.608272608001812</c:v>
                </c:pt>
                <c:pt idx="1845">
                  <c:v>99.959906871158395</c:v>
                </c:pt>
                <c:pt idx="1846">
                  <c:v>24.724651111812825</c:v>
                </c:pt>
                <c:pt idx="1847">
                  <c:v>16.08953312801582</c:v>
                </c:pt>
              </c:numCache>
            </c:numRef>
          </c:xVal>
          <c:yVal>
            <c:numRef>
              <c:f>failure_surface!$F$19:$F$1866</c:f>
              <c:numCache>
                <c:formatCode>General</c:formatCode>
                <c:ptCount val="1848"/>
                <c:pt idx="0">
                  <c:v>-300.9446460729946</c:v>
                </c:pt>
                <c:pt idx="1">
                  <c:v>-301.37809100148445</c:v>
                </c:pt>
                <c:pt idx="2">
                  <c:v>-301.38931334230909</c:v>
                </c:pt>
                <c:pt idx="3">
                  <c:v>-301.39435815618486</c:v>
                </c:pt>
                <c:pt idx="4">
                  <c:v>-301.39744114270707</c:v>
                </c:pt>
                <c:pt idx="5">
                  <c:v>-301.39960742327048</c:v>
                </c:pt>
                <c:pt idx="6">
                  <c:v>-301.40127309888322</c:v>
                </c:pt>
                <c:pt idx="7">
                  <c:v>-301.40263195706524</c:v>
                </c:pt>
                <c:pt idx="8">
                  <c:v>-301.40379272349111</c:v>
                </c:pt>
                <c:pt idx="9">
                  <c:v>-301.40482209273785</c:v>
                </c:pt>
                <c:pt idx="10">
                  <c:v>-301.40576501938426</c:v>
                </c:pt>
                <c:pt idx="11">
                  <c:v>-301.40665476324699</c:v>
                </c:pt>
                <c:pt idx="12">
                  <c:v>-301.4075187780644</c:v>
                </c:pt>
                <c:pt idx="13">
                  <c:v>-301.40838301864557</c:v>
                </c:pt>
                <c:pt idx="14">
                  <c:v>-301.4092766487426</c:v>
                </c:pt>
                <c:pt idx="15">
                  <c:v>-301.41023832685596</c:v>
                </c:pt>
                <c:pt idx="16">
                  <c:v>-301.41133564808598</c:v>
                </c:pt>
                <c:pt idx="17">
                  <c:v>-301.41272902798283</c:v>
                </c:pt>
                <c:pt idx="18">
                  <c:v>-301.41588225481848</c:v>
                </c:pt>
                <c:pt idx="19">
                  <c:v>-301.41272902798283</c:v>
                </c:pt>
                <c:pt idx="20">
                  <c:v>-301.41133564808598</c:v>
                </c:pt>
                <c:pt idx="21">
                  <c:v>-301.41023832685596</c:v>
                </c:pt>
                <c:pt idx="22">
                  <c:v>-301.4092766487426</c:v>
                </c:pt>
                <c:pt idx="23">
                  <c:v>-301.40838301864557</c:v>
                </c:pt>
                <c:pt idx="24">
                  <c:v>-301.4075187780644</c:v>
                </c:pt>
                <c:pt idx="25">
                  <c:v>-301.40665476324705</c:v>
                </c:pt>
                <c:pt idx="26">
                  <c:v>-301.40576501938426</c:v>
                </c:pt>
                <c:pt idx="27">
                  <c:v>-301.40482209273785</c:v>
                </c:pt>
                <c:pt idx="28">
                  <c:v>-301.40379272349111</c:v>
                </c:pt>
                <c:pt idx="29">
                  <c:v>-301.40263195706524</c:v>
                </c:pt>
                <c:pt idx="30">
                  <c:v>-301.40127309888322</c:v>
                </c:pt>
                <c:pt idx="31">
                  <c:v>-301.39960742327048</c:v>
                </c:pt>
                <c:pt idx="32">
                  <c:v>-301.39744114270707</c:v>
                </c:pt>
                <c:pt idx="33">
                  <c:v>-301.39435815618486</c:v>
                </c:pt>
                <c:pt idx="34">
                  <c:v>-301.38931334230909</c:v>
                </c:pt>
                <c:pt idx="35">
                  <c:v>-301.37809100148445</c:v>
                </c:pt>
                <c:pt idx="36">
                  <c:v>-300.9446460729946</c:v>
                </c:pt>
                <c:pt idx="37">
                  <c:v>-300.51120114450475</c:v>
                </c:pt>
                <c:pt idx="38">
                  <c:v>-300.49997880368011</c:v>
                </c:pt>
                <c:pt idx="39">
                  <c:v>-300.49493398980434</c:v>
                </c:pt>
                <c:pt idx="40">
                  <c:v>-300.49185100328214</c:v>
                </c:pt>
                <c:pt idx="41">
                  <c:v>-300.48968472271872</c:v>
                </c:pt>
                <c:pt idx="42">
                  <c:v>-300.48801904710598</c:v>
                </c:pt>
                <c:pt idx="43">
                  <c:v>-300.48666018892396</c:v>
                </c:pt>
                <c:pt idx="44">
                  <c:v>-300.48549942249809</c:v>
                </c:pt>
                <c:pt idx="45">
                  <c:v>-300.48447005325136</c:v>
                </c:pt>
                <c:pt idx="46">
                  <c:v>-300.48352712660494</c:v>
                </c:pt>
                <c:pt idx="47">
                  <c:v>-300.48263738274215</c:v>
                </c:pt>
                <c:pt idx="48">
                  <c:v>-300.4817733679248</c:v>
                </c:pt>
                <c:pt idx="49">
                  <c:v>-300.48090912734364</c:v>
                </c:pt>
                <c:pt idx="50">
                  <c:v>-300.4800154972466</c:v>
                </c:pt>
                <c:pt idx="51">
                  <c:v>-300.47905381913324</c:v>
                </c:pt>
                <c:pt idx="52">
                  <c:v>-300.47795649790322</c:v>
                </c:pt>
                <c:pt idx="53">
                  <c:v>-300.47656311800637</c:v>
                </c:pt>
                <c:pt idx="54">
                  <c:v>-300.47340989117072</c:v>
                </c:pt>
                <c:pt idx="55">
                  <c:v>-300.47656311800637</c:v>
                </c:pt>
                <c:pt idx="56">
                  <c:v>-300.47795649790322</c:v>
                </c:pt>
                <c:pt idx="57">
                  <c:v>-300.4790538191333</c:v>
                </c:pt>
                <c:pt idx="58">
                  <c:v>-300.4800154972466</c:v>
                </c:pt>
                <c:pt idx="59">
                  <c:v>-300.48090912734364</c:v>
                </c:pt>
                <c:pt idx="60">
                  <c:v>-300.4817733679248</c:v>
                </c:pt>
                <c:pt idx="61">
                  <c:v>-300.48263738274215</c:v>
                </c:pt>
                <c:pt idx="62">
                  <c:v>-300.483527126605</c:v>
                </c:pt>
                <c:pt idx="63">
                  <c:v>-300.48447005325136</c:v>
                </c:pt>
                <c:pt idx="64">
                  <c:v>-300.48549942249809</c:v>
                </c:pt>
                <c:pt idx="65">
                  <c:v>-300.48666018892396</c:v>
                </c:pt>
                <c:pt idx="66">
                  <c:v>-300.48801904710598</c:v>
                </c:pt>
                <c:pt idx="67">
                  <c:v>-300.48968472271872</c:v>
                </c:pt>
                <c:pt idx="68">
                  <c:v>-300.49185100328214</c:v>
                </c:pt>
                <c:pt idx="69">
                  <c:v>-300.49493398980434</c:v>
                </c:pt>
                <c:pt idx="70">
                  <c:v>-300.49997880368011</c:v>
                </c:pt>
                <c:pt idx="71">
                  <c:v>-244.32039487742185</c:v>
                </c:pt>
                <c:pt idx="72">
                  <c:v>-257.73744456790484</c:v>
                </c:pt>
                <c:pt idx="73">
                  <c:v>-265.8785966978902</c:v>
                </c:pt>
                <c:pt idx="74">
                  <c:v>-268.27761995160068</c:v>
                </c:pt>
                <c:pt idx="75">
                  <c:v>-269.71377008541111</c:v>
                </c:pt>
                <c:pt idx="76">
                  <c:v>-270.86214411412402</c:v>
                </c:pt>
                <c:pt idx="77">
                  <c:v>-271.42823920868688</c:v>
                </c:pt>
                <c:pt idx="78">
                  <c:v>-271.79386648296077</c:v>
                </c:pt>
                <c:pt idx="79">
                  <c:v>-272.10350752137697</c:v>
                </c:pt>
                <c:pt idx="80">
                  <c:v>-272.38803474975805</c:v>
                </c:pt>
                <c:pt idx="81">
                  <c:v>-272.66901126719887</c:v>
                </c:pt>
                <c:pt idx="82">
                  <c:v>-272.96540518623584</c:v>
                </c:pt>
                <c:pt idx="83">
                  <c:v>-273.29858637511444</c:v>
                </c:pt>
                <c:pt idx="84">
                  <c:v>-273.69856632206154</c:v>
                </c:pt>
                <c:pt idx="85">
                  <c:v>-274.21593886924916</c:v>
                </c:pt>
                <c:pt idx="86">
                  <c:v>-274.95232026781048</c:v>
                </c:pt>
                <c:pt idx="87">
                  <c:v>-276.14294093431351</c:v>
                </c:pt>
                <c:pt idx="88">
                  <c:v>-278.8230776404053</c:v>
                </c:pt>
                <c:pt idx="89">
                  <c:v>-281.22266692794005</c:v>
                </c:pt>
                <c:pt idx="90">
                  <c:v>-278.8230776404053</c:v>
                </c:pt>
                <c:pt idx="91">
                  <c:v>-276.14294093431357</c:v>
                </c:pt>
                <c:pt idx="92">
                  <c:v>-274.95232026781048</c:v>
                </c:pt>
                <c:pt idx="93">
                  <c:v>-274.21593886924916</c:v>
                </c:pt>
                <c:pt idx="94">
                  <c:v>-273.69856632206154</c:v>
                </c:pt>
                <c:pt idx="95">
                  <c:v>-273.29858637511444</c:v>
                </c:pt>
                <c:pt idx="96">
                  <c:v>-272.9654051862359</c:v>
                </c:pt>
                <c:pt idx="97">
                  <c:v>-272.66901126719881</c:v>
                </c:pt>
                <c:pt idx="98">
                  <c:v>-272.38803474975811</c:v>
                </c:pt>
                <c:pt idx="99">
                  <c:v>-272.10350752137697</c:v>
                </c:pt>
                <c:pt idx="100">
                  <c:v>-271.79386648296077</c:v>
                </c:pt>
                <c:pt idx="101">
                  <c:v>-271.42823920868688</c:v>
                </c:pt>
                <c:pt idx="102">
                  <c:v>-270.86214411412402</c:v>
                </c:pt>
                <c:pt idx="103">
                  <c:v>-269.71377008541111</c:v>
                </c:pt>
                <c:pt idx="104">
                  <c:v>-268.27761995160063</c:v>
                </c:pt>
                <c:pt idx="105">
                  <c:v>-265.8785966978902</c:v>
                </c:pt>
                <c:pt idx="106">
                  <c:v>-257.73744456790484</c:v>
                </c:pt>
                <c:pt idx="107">
                  <c:v>-244.32039487742182</c:v>
                </c:pt>
                <c:pt idx="108">
                  <c:v>-230.90334518693876</c:v>
                </c:pt>
                <c:pt idx="109">
                  <c:v>-222.76219305695344</c:v>
                </c:pt>
                <c:pt idx="110">
                  <c:v>-220.36316980324295</c:v>
                </c:pt>
                <c:pt idx="111">
                  <c:v>-218.92701966943253</c:v>
                </c:pt>
                <c:pt idx="112">
                  <c:v>-217.77864564071959</c:v>
                </c:pt>
                <c:pt idx="113">
                  <c:v>-217.21255054615676</c:v>
                </c:pt>
                <c:pt idx="114">
                  <c:v>-216.84692327188282</c:v>
                </c:pt>
                <c:pt idx="115">
                  <c:v>-216.53728223346667</c:v>
                </c:pt>
                <c:pt idx="116">
                  <c:v>-216.25275500508559</c:v>
                </c:pt>
                <c:pt idx="117">
                  <c:v>-215.9717784876448</c:v>
                </c:pt>
                <c:pt idx="118">
                  <c:v>-215.67538456860774</c:v>
                </c:pt>
                <c:pt idx="119">
                  <c:v>-215.3422033797292</c:v>
                </c:pt>
                <c:pt idx="120">
                  <c:v>-214.94222343278207</c:v>
                </c:pt>
                <c:pt idx="121">
                  <c:v>-214.42485088559442</c:v>
                </c:pt>
                <c:pt idx="122">
                  <c:v>-213.68846948703313</c:v>
                </c:pt>
                <c:pt idx="123">
                  <c:v>-212.49784882053004</c:v>
                </c:pt>
                <c:pt idx="124">
                  <c:v>-209.81771211443836</c:v>
                </c:pt>
                <c:pt idx="125">
                  <c:v>-207.41812282690358</c:v>
                </c:pt>
                <c:pt idx="126">
                  <c:v>-209.81771211443839</c:v>
                </c:pt>
                <c:pt idx="127">
                  <c:v>-212.49784882053007</c:v>
                </c:pt>
                <c:pt idx="128">
                  <c:v>-213.68846948703319</c:v>
                </c:pt>
                <c:pt idx="129">
                  <c:v>-214.42485088559448</c:v>
                </c:pt>
                <c:pt idx="130">
                  <c:v>-214.9422234327821</c:v>
                </c:pt>
                <c:pt idx="131">
                  <c:v>-215.34220337972923</c:v>
                </c:pt>
                <c:pt idx="132">
                  <c:v>-215.67538456860783</c:v>
                </c:pt>
                <c:pt idx="133">
                  <c:v>-215.97177848764485</c:v>
                </c:pt>
                <c:pt idx="134">
                  <c:v>-216.25275500508562</c:v>
                </c:pt>
                <c:pt idx="135">
                  <c:v>-216.5372822334667</c:v>
                </c:pt>
                <c:pt idx="136">
                  <c:v>-216.84692327188284</c:v>
                </c:pt>
                <c:pt idx="137">
                  <c:v>-217.21255054615679</c:v>
                </c:pt>
                <c:pt idx="138">
                  <c:v>-217.77864564071962</c:v>
                </c:pt>
                <c:pt idx="139">
                  <c:v>-218.92701966943253</c:v>
                </c:pt>
                <c:pt idx="140">
                  <c:v>-220.36316980324295</c:v>
                </c:pt>
                <c:pt idx="141">
                  <c:v>-222.76219305695346</c:v>
                </c:pt>
                <c:pt idx="142">
                  <c:v>-187.69614368184907</c:v>
                </c:pt>
                <c:pt idx="143">
                  <c:v>-203.9871510028108</c:v>
                </c:pt>
                <c:pt idx="144">
                  <c:v>-215.97125284322087</c:v>
                </c:pt>
                <c:pt idx="145">
                  <c:v>-221.62770526004914</c:v>
                </c:pt>
                <c:pt idx="146">
                  <c:v>-225.58486697283533</c:v>
                </c:pt>
                <c:pt idx="147">
                  <c:v>-228.96633769178609</c:v>
                </c:pt>
                <c:pt idx="148">
                  <c:v>-230.86129912171131</c:v>
                </c:pt>
                <c:pt idx="149">
                  <c:v>-232.3619446833826</c:v>
                </c:pt>
                <c:pt idx="150">
                  <c:v>-234.10551072231664</c:v>
                </c:pt>
                <c:pt idx="151">
                  <c:v>-235.7985949132418</c:v>
                </c:pt>
                <c:pt idx="152">
                  <c:v>-237.52857156519929</c:v>
                </c:pt>
                <c:pt idx="153">
                  <c:v>-239.37971103269092</c:v>
                </c:pt>
                <c:pt idx="154">
                  <c:v>-241.45388310807695</c:v>
                </c:pt>
                <c:pt idx="155">
                  <c:v>-243.64828100355379</c:v>
                </c:pt>
                <c:pt idx="156">
                  <c:v>-244.44264079657631</c:v>
                </c:pt>
                <c:pt idx="157">
                  <c:v>-245.42594358183328</c:v>
                </c:pt>
                <c:pt idx="158">
                  <c:v>-246.91251442904883</c:v>
                </c:pt>
                <c:pt idx="159">
                  <c:v>-250.65210924655116</c:v>
                </c:pt>
                <c:pt idx="160">
                  <c:v>-258.4568330132301</c:v>
                </c:pt>
                <c:pt idx="161">
                  <c:v>-250.65210924655122</c:v>
                </c:pt>
                <c:pt idx="162">
                  <c:v>-246.91251442904877</c:v>
                </c:pt>
                <c:pt idx="163">
                  <c:v>-245.42594358183325</c:v>
                </c:pt>
                <c:pt idx="164">
                  <c:v>-244.44264079657631</c:v>
                </c:pt>
                <c:pt idx="165">
                  <c:v>-243.64828100355373</c:v>
                </c:pt>
                <c:pt idx="166">
                  <c:v>-241.45388310807695</c:v>
                </c:pt>
                <c:pt idx="167">
                  <c:v>-239.37971103269092</c:v>
                </c:pt>
                <c:pt idx="168">
                  <c:v>-237.52857156519929</c:v>
                </c:pt>
                <c:pt idx="169">
                  <c:v>-235.79859491324174</c:v>
                </c:pt>
                <c:pt idx="170">
                  <c:v>-234.10551072231664</c:v>
                </c:pt>
                <c:pt idx="171">
                  <c:v>-232.36194468338255</c:v>
                </c:pt>
                <c:pt idx="172">
                  <c:v>-230.86129912171126</c:v>
                </c:pt>
                <c:pt idx="173">
                  <c:v>-228.96633769178601</c:v>
                </c:pt>
                <c:pt idx="174">
                  <c:v>-225.5848669728353</c:v>
                </c:pt>
                <c:pt idx="175">
                  <c:v>-221.62770526004905</c:v>
                </c:pt>
                <c:pt idx="176">
                  <c:v>-215.97125284322087</c:v>
                </c:pt>
                <c:pt idx="177">
                  <c:v>-203.98715100281078</c:v>
                </c:pt>
                <c:pt idx="178">
                  <c:v>-187.69614368184904</c:v>
                </c:pt>
                <c:pt idx="179">
                  <c:v>-171.40513636088727</c:v>
                </c:pt>
                <c:pt idx="180">
                  <c:v>-159.42103452047721</c:v>
                </c:pt>
                <c:pt idx="181">
                  <c:v>-153.76458210364896</c:v>
                </c:pt>
                <c:pt idx="182">
                  <c:v>-149.80742039086275</c:v>
                </c:pt>
                <c:pt idx="183">
                  <c:v>-146.42594967191201</c:v>
                </c:pt>
                <c:pt idx="184">
                  <c:v>-144.53098824198676</c:v>
                </c:pt>
                <c:pt idx="185">
                  <c:v>-143.0303426803155</c:v>
                </c:pt>
                <c:pt idx="186">
                  <c:v>-141.28677664138141</c:v>
                </c:pt>
                <c:pt idx="187">
                  <c:v>-139.59369245045627</c:v>
                </c:pt>
                <c:pt idx="188">
                  <c:v>-137.86371579849879</c:v>
                </c:pt>
                <c:pt idx="189">
                  <c:v>-136.01257633100718</c:v>
                </c:pt>
                <c:pt idx="190">
                  <c:v>-133.93840425562112</c:v>
                </c:pt>
                <c:pt idx="191">
                  <c:v>-131.74400636014428</c:v>
                </c:pt>
                <c:pt idx="192">
                  <c:v>-130.94964656712173</c:v>
                </c:pt>
                <c:pt idx="193">
                  <c:v>-129.96634378186485</c:v>
                </c:pt>
                <c:pt idx="194">
                  <c:v>-128.47977293464928</c:v>
                </c:pt>
                <c:pt idx="195">
                  <c:v>-124.74017811714683</c:v>
                </c:pt>
                <c:pt idx="196">
                  <c:v>-116.93545435046798</c:v>
                </c:pt>
                <c:pt idx="197">
                  <c:v>-124.74017811714688</c:v>
                </c:pt>
                <c:pt idx="198">
                  <c:v>-128.4797729346493</c:v>
                </c:pt>
                <c:pt idx="199">
                  <c:v>-129.96634378186482</c:v>
                </c:pt>
                <c:pt idx="200">
                  <c:v>-130.94964656712176</c:v>
                </c:pt>
                <c:pt idx="201">
                  <c:v>-131.74400636014431</c:v>
                </c:pt>
                <c:pt idx="202">
                  <c:v>-133.93840425562115</c:v>
                </c:pt>
                <c:pt idx="203">
                  <c:v>-136.01257633100721</c:v>
                </c:pt>
                <c:pt idx="204">
                  <c:v>-137.86371579849882</c:v>
                </c:pt>
                <c:pt idx="205">
                  <c:v>-139.5936924504563</c:v>
                </c:pt>
                <c:pt idx="206">
                  <c:v>-141.28677664138144</c:v>
                </c:pt>
                <c:pt idx="207">
                  <c:v>-143.0303426803155</c:v>
                </c:pt>
                <c:pt idx="208">
                  <c:v>-144.53098824198679</c:v>
                </c:pt>
                <c:pt idx="209">
                  <c:v>-146.42594967191204</c:v>
                </c:pt>
                <c:pt idx="210">
                  <c:v>-149.80742039086275</c:v>
                </c:pt>
                <c:pt idx="211">
                  <c:v>-153.76458210364902</c:v>
                </c:pt>
                <c:pt idx="212">
                  <c:v>-159.42103452047721</c:v>
                </c:pt>
                <c:pt idx="213">
                  <c:v>-131.07189248627625</c:v>
                </c:pt>
                <c:pt idx="214">
                  <c:v>-146.42057975838651</c:v>
                </c:pt>
                <c:pt idx="215">
                  <c:v>-159.99209675497551</c:v>
                </c:pt>
                <c:pt idx="216">
                  <c:v>-168.58966653437702</c:v>
                </c:pt>
                <c:pt idx="217">
                  <c:v>-174.05170795433057</c:v>
                </c:pt>
                <c:pt idx="218">
                  <c:v>-179.39777962344209</c:v>
                </c:pt>
                <c:pt idx="219">
                  <c:v>-184.44217998745648</c:v>
                </c:pt>
                <c:pt idx="220">
                  <c:v>-189.02749511224974</c:v>
                </c:pt>
                <c:pt idx="221">
                  <c:v>-193.42879215502992</c:v>
                </c:pt>
                <c:pt idx="222">
                  <c:v>-197.11374433871509</c:v>
                </c:pt>
                <c:pt idx="223">
                  <c:v>-200.21339619114258</c:v>
                </c:pt>
                <c:pt idx="224">
                  <c:v>-202.5772533764524</c:v>
                </c:pt>
                <c:pt idx="225">
                  <c:v>-205.08671314678296</c:v>
                </c:pt>
                <c:pt idx="226">
                  <c:v>-207.92546775380973</c:v>
                </c:pt>
                <c:pt idx="227">
                  <c:v>-211.37342720193544</c:v>
                </c:pt>
                <c:pt idx="228">
                  <c:v>-215.50214669589957</c:v>
                </c:pt>
                <c:pt idx="229">
                  <c:v>-217.37346377423563</c:v>
                </c:pt>
                <c:pt idx="230">
                  <c:v>-221.73582131109274</c:v>
                </c:pt>
                <c:pt idx="231">
                  <c:v>-228.89352604265014</c:v>
                </c:pt>
                <c:pt idx="232">
                  <c:v>-221.73582131109271</c:v>
                </c:pt>
                <c:pt idx="233">
                  <c:v>-217.37346377423563</c:v>
                </c:pt>
                <c:pt idx="234">
                  <c:v>-215.50214669589957</c:v>
                </c:pt>
                <c:pt idx="235">
                  <c:v>-211.37342720193541</c:v>
                </c:pt>
                <c:pt idx="236">
                  <c:v>-207.9254677538097</c:v>
                </c:pt>
                <c:pt idx="237">
                  <c:v>-205.08671314678293</c:v>
                </c:pt>
                <c:pt idx="238">
                  <c:v>-202.57725337645235</c:v>
                </c:pt>
                <c:pt idx="239">
                  <c:v>-200.21339619114252</c:v>
                </c:pt>
                <c:pt idx="240">
                  <c:v>-197.11374433871509</c:v>
                </c:pt>
                <c:pt idx="241">
                  <c:v>-193.42879215502987</c:v>
                </c:pt>
                <c:pt idx="242">
                  <c:v>-189.02749511224977</c:v>
                </c:pt>
                <c:pt idx="243">
                  <c:v>-184.44217998745643</c:v>
                </c:pt>
                <c:pt idx="244">
                  <c:v>-179.39777962344203</c:v>
                </c:pt>
                <c:pt idx="245">
                  <c:v>-174.05170795433054</c:v>
                </c:pt>
                <c:pt idx="246">
                  <c:v>-168.58966653437696</c:v>
                </c:pt>
                <c:pt idx="247">
                  <c:v>-159.99209675497551</c:v>
                </c:pt>
                <c:pt idx="248">
                  <c:v>-146.42057975838648</c:v>
                </c:pt>
                <c:pt idx="249">
                  <c:v>-131.0718924862762</c:v>
                </c:pt>
                <c:pt idx="250">
                  <c:v>-115.72320521416593</c:v>
                </c:pt>
                <c:pt idx="251">
                  <c:v>-102.15168821757696</c:v>
                </c:pt>
                <c:pt idx="252">
                  <c:v>-93.554118438175465</c:v>
                </c:pt>
                <c:pt idx="253">
                  <c:v>-88.092077018221886</c:v>
                </c:pt>
                <c:pt idx="254">
                  <c:v>-82.746005349110391</c:v>
                </c:pt>
                <c:pt idx="255">
                  <c:v>-77.701604985095983</c:v>
                </c:pt>
                <c:pt idx="256">
                  <c:v>-73.1162898603027</c:v>
                </c:pt>
                <c:pt idx="257">
                  <c:v>-68.714992817522585</c:v>
                </c:pt>
                <c:pt idx="258">
                  <c:v>-65.030040633837345</c:v>
                </c:pt>
                <c:pt idx="259">
                  <c:v>-61.930388781409945</c:v>
                </c:pt>
                <c:pt idx="260">
                  <c:v>-59.56653159610002</c:v>
                </c:pt>
                <c:pt idx="261">
                  <c:v>-57.057071825769555</c:v>
                </c:pt>
                <c:pt idx="262">
                  <c:v>-54.218317218742797</c:v>
                </c:pt>
                <c:pt idx="263">
                  <c:v>-50.770357770617025</c:v>
                </c:pt>
                <c:pt idx="264">
                  <c:v>-46.641638276652898</c:v>
                </c:pt>
                <c:pt idx="265">
                  <c:v>-44.770321198316807</c:v>
                </c:pt>
                <c:pt idx="266">
                  <c:v>-40.40796366145976</c:v>
                </c:pt>
                <c:pt idx="267">
                  <c:v>-33.250258929902316</c:v>
                </c:pt>
                <c:pt idx="268">
                  <c:v>-40.407963661459803</c:v>
                </c:pt>
                <c:pt idx="269">
                  <c:v>-44.770321198316807</c:v>
                </c:pt>
                <c:pt idx="270">
                  <c:v>-46.64163827665287</c:v>
                </c:pt>
                <c:pt idx="271">
                  <c:v>-50.770357770616997</c:v>
                </c:pt>
                <c:pt idx="272">
                  <c:v>-54.218317218742783</c:v>
                </c:pt>
                <c:pt idx="273">
                  <c:v>-57.057071825769569</c:v>
                </c:pt>
                <c:pt idx="274">
                  <c:v>-59.566531596100091</c:v>
                </c:pt>
                <c:pt idx="275">
                  <c:v>-61.930388781409931</c:v>
                </c:pt>
                <c:pt idx="276">
                  <c:v>-65.030040633837373</c:v>
                </c:pt>
                <c:pt idx="277">
                  <c:v>-68.714992817522557</c:v>
                </c:pt>
                <c:pt idx="278">
                  <c:v>-73.116289860302729</c:v>
                </c:pt>
                <c:pt idx="279">
                  <c:v>-77.701604985095969</c:v>
                </c:pt>
                <c:pt idx="280">
                  <c:v>-82.746005349110362</c:v>
                </c:pt>
                <c:pt idx="281">
                  <c:v>-88.092077018221858</c:v>
                </c:pt>
                <c:pt idx="282">
                  <c:v>-93.554118438175493</c:v>
                </c:pt>
                <c:pt idx="283">
                  <c:v>-102.15168821757698</c:v>
                </c:pt>
                <c:pt idx="284">
                  <c:v>-74.447641290703473</c:v>
                </c:pt>
                <c:pt idx="285">
                  <c:v>-89.013653973090825</c:v>
                </c:pt>
                <c:pt idx="286">
                  <c:v>-102.31265163841678</c:v>
                </c:pt>
                <c:pt idx="287">
                  <c:v>-114.83325874179127</c:v>
                </c:pt>
                <c:pt idx="288">
                  <c:v>-124.11528854764501</c:v>
                </c:pt>
                <c:pt idx="289">
                  <c:v>-131.42289041435023</c:v>
                </c:pt>
                <c:pt idx="290">
                  <c:v>-137.31076771560038</c:v>
                </c:pt>
                <c:pt idx="291">
                  <c:v>-142.48965105017447</c:v>
                </c:pt>
                <c:pt idx="292">
                  <c:v>-147.34165105169293</c:v>
                </c:pt>
                <c:pt idx="293">
                  <c:v>-152.60686475238327</c:v>
                </c:pt>
                <c:pt idx="294">
                  <c:v>-158.21050687779945</c:v>
                </c:pt>
                <c:pt idx="295">
                  <c:v>-164.09385253186423</c:v>
                </c:pt>
                <c:pt idx="296">
                  <c:v>-169.45968629170883</c:v>
                </c:pt>
                <c:pt idx="297">
                  <c:v>-172.72549180895521</c:v>
                </c:pt>
                <c:pt idx="298">
                  <c:v>-176.63307946755458</c:v>
                </c:pt>
                <c:pt idx="299">
                  <c:v>-181.66391726713567</c:v>
                </c:pt>
                <c:pt idx="300">
                  <c:v>-187.73368083454321</c:v>
                </c:pt>
                <c:pt idx="301">
                  <c:v>-192.89123650212986</c:v>
                </c:pt>
                <c:pt idx="302">
                  <c:v>-198.26872931939644</c:v>
                </c:pt>
                <c:pt idx="303">
                  <c:v>-192.89123650212991</c:v>
                </c:pt>
                <c:pt idx="304">
                  <c:v>-187.73368083454324</c:v>
                </c:pt>
                <c:pt idx="305">
                  <c:v>-181.66391726713556</c:v>
                </c:pt>
                <c:pt idx="306">
                  <c:v>-176.63307946755455</c:v>
                </c:pt>
                <c:pt idx="307">
                  <c:v>-172.72549180895518</c:v>
                </c:pt>
                <c:pt idx="308">
                  <c:v>-169.45968629170881</c:v>
                </c:pt>
                <c:pt idx="309">
                  <c:v>-164.09385253186429</c:v>
                </c:pt>
                <c:pt idx="310">
                  <c:v>-158.21050687779939</c:v>
                </c:pt>
                <c:pt idx="311">
                  <c:v>-152.60686475238327</c:v>
                </c:pt>
                <c:pt idx="312">
                  <c:v>-147.34165105169288</c:v>
                </c:pt>
                <c:pt idx="313">
                  <c:v>-142.48965105017447</c:v>
                </c:pt>
                <c:pt idx="314">
                  <c:v>-137.31076771560035</c:v>
                </c:pt>
                <c:pt idx="315">
                  <c:v>-131.42289041435015</c:v>
                </c:pt>
                <c:pt idx="316">
                  <c:v>-124.11528854764494</c:v>
                </c:pt>
                <c:pt idx="317">
                  <c:v>-114.83325874179121</c:v>
                </c:pt>
                <c:pt idx="318">
                  <c:v>-102.31265163841675</c:v>
                </c:pt>
                <c:pt idx="319">
                  <c:v>-89.013653973090769</c:v>
                </c:pt>
                <c:pt idx="320">
                  <c:v>-74.447641290703402</c:v>
                </c:pt>
                <c:pt idx="321">
                  <c:v>-59.881628608316049</c:v>
                </c:pt>
                <c:pt idx="322">
                  <c:v>-46.582630942990122</c:v>
                </c:pt>
                <c:pt idx="323">
                  <c:v>-34.062023839615591</c:v>
                </c:pt>
                <c:pt idx="324">
                  <c:v>-24.779994033761859</c:v>
                </c:pt>
                <c:pt idx="325">
                  <c:v>-17.472392167056611</c:v>
                </c:pt>
                <c:pt idx="326">
                  <c:v>-11.584514865806433</c:v>
                </c:pt>
                <c:pt idx="327">
                  <c:v>-6.4056315312324159</c:v>
                </c:pt>
                <c:pt idx="328">
                  <c:v>-1.5536315297139538</c:v>
                </c:pt>
                <c:pt idx="329">
                  <c:v>3.711582170976456</c:v>
                </c:pt>
                <c:pt idx="330">
                  <c:v>9.3152242963925289</c:v>
                </c:pt>
                <c:pt idx="331">
                  <c:v>15.198569950457426</c:v>
                </c:pt>
                <c:pt idx="332">
                  <c:v>20.56440371030196</c:v>
                </c:pt>
                <c:pt idx="333">
                  <c:v>23.830209227548337</c:v>
                </c:pt>
                <c:pt idx="334">
                  <c:v>27.737796886147663</c:v>
                </c:pt>
                <c:pt idx="335">
                  <c:v>32.768634685728827</c:v>
                </c:pt>
                <c:pt idx="336">
                  <c:v>38.838398253136347</c:v>
                </c:pt>
                <c:pt idx="337">
                  <c:v>43.995953920723053</c:v>
                </c:pt>
                <c:pt idx="338">
                  <c:v>49.373446737989568</c:v>
                </c:pt>
                <c:pt idx="339">
                  <c:v>43.995953920722968</c:v>
                </c:pt>
                <c:pt idx="340">
                  <c:v>38.838398253136361</c:v>
                </c:pt>
                <c:pt idx="341">
                  <c:v>32.768634685728813</c:v>
                </c:pt>
                <c:pt idx="342">
                  <c:v>27.737796886147677</c:v>
                </c:pt>
                <c:pt idx="343">
                  <c:v>23.830209227548337</c:v>
                </c:pt>
                <c:pt idx="344">
                  <c:v>20.564403710301889</c:v>
                </c:pt>
                <c:pt idx="345">
                  <c:v>15.198569950457355</c:v>
                </c:pt>
                <c:pt idx="346">
                  <c:v>9.3152242963925431</c:v>
                </c:pt>
                <c:pt idx="347">
                  <c:v>3.711582170976385</c:v>
                </c:pt>
                <c:pt idx="348">
                  <c:v>-1.5536315297139538</c:v>
                </c:pt>
                <c:pt idx="349">
                  <c:v>-6.4056315312323875</c:v>
                </c:pt>
                <c:pt idx="350">
                  <c:v>-11.584514865806504</c:v>
                </c:pt>
                <c:pt idx="351">
                  <c:v>-17.472392167056604</c:v>
                </c:pt>
                <c:pt idx="352">
                  <c:v>-24.779994033761831</c:v>
                </c:pt>
                <c:pt idx="353">
                  <c:v>-34.062023839615698</c:v>
                </c:pt>
                <c:pt idx="354">
                  <c:v>-46.582630942990157</c:v>
                </c:pt>
                <c:pt idx="355">
                  <c:v>-17.82339009513068</c:v>
                </c:pt>
                <c:pt idx="356">
                  <c:v>-31.759214024373087</c:v>
                </c:pt>
                <c:pt idx="357">
                  <c:v>-44.218629476088225</c:v>
                </c:pt>
                <c:pt idx="358">
                  <c:v>-60.421438385217627</c:v>
                </c:pt>
                <c:pt idx="359">
                  <c:v>-73.869519865560434</c:v>
                </c:pt>
                <c:pt idx="360">
                  <c:v>-83.162670203641895</c:v>
                </c:pt>
                <c:pt idx="361">
                  <c:v>-90.433374868079028</c:v>
                </c:pt>
                <c:pt idx="362">
                  <c:v>-97.228604836773982</c:v>
                </c:pt>
                <c:pt idx="363">
                  <c:v>-103.67516809683492</c:v>
                </c:pt>
                <c:pt idx="364">
                  <c:v>-109.72901019706791</c:v>
                </c:pt>
                <c:pt idx="365">
                  <c:v>-115.7081248762111</c:v>
                </c:pt>
                <c:pt idx="366">
                  <c:v>-120.90580144098634</c:v>
                </c:pt>
                <c:pt idx="367">
                  <c:v>-127.98259325465429</c:v>
                </c:pt>
                <c:pt idx="368">
                  <c:v>-136.54668581541338</c:v>
                </c:pt>
                <c:pt idx="369">
                  <c:v>-142.3655112094894</c:v>
                </c:pt>
                <c:pt idx="370">
                  <c:v>-147.88654278660957</c:v>
                </c:pt>
                <c:pt idx="371">
                  <c:v>-155.89913943384767</c:v>
                </c:pt>
                <c:pt idx="372">
                  <c:v>-163.8278430906725</c:v>
                </c:pt>
                <c:pt idx="373">
                  <c:v>-167.72188310431676</c:v>
                </c:pt>
                <c:pt idx="374">
                  <c:v>-163.8278430906725</c:v>
                </c:pt>
                <c:pt idx="375">
                  <c:v>-155.89913943384764</c:v>
                </c:pt>
                <c:pt idx="376">
                  <c:v>-147.88654278660948</c:v>
                </c:pt>
                <c:pt idx="377">
                  <c:v>-142.36551120948928</c:v>
                </c:pt>
                <c:pt idx="378">
                  <c:v>-136.54668581541335</c:v>
                </c:pt>
                <c:pt idx="379">
                  <c:v>-127.98259325465435</c:v>
                </c:pt>
                <c:pt idx="380">
                  <c:v>-120.90580144098631</c:v>
                </c:pt>
                <c:pt idx="381">
                  <c:v>-115.70812487621109</c:v>
                </c:pt>
                <c:pt idx="382">
                  <c:v>-109.72901019706786</c:v>
                </c:pt>
                <c:pt idx="383">
                  <c:v>-103.67516809683488</c:v>
                </c:pt>
                <c:pt idx="384">
                  <c:v>-97.228604836773926</c:v>
                </c:pt>
                <c:pt idx="385">
                  <c:v>-90.433374868078943</c:v>
                </c:pt>
                <c:pt idx="386">
                  <c:v>-83.162670203641838</c:v>
                </c:pt>
                <c:pt idx="387">
                  <c:v>-73.869519865560363</c:v>
                </c:pt>
                <c:pt idx="388">
                  <c:v>-60.421438385217556</c:v>
                </c:pt>
                <c:pt idx="389">
                  <c:v>-44.218629476088211</c:v>
                </c:pt>
                <c:pt idx="390">
                  <c:v>-31.759214024373009</c:v>
                </c:pt>
                <c:pt idx="391">
                  <c:v>-17.823390095130602</c:v>
                </c:pt>
                <c:pt idx="392">
                  <c:v>-3.8875661658881864</c:v>
                </c:pt>
                <c:pt idx="393">
                  <c:v>8.5718492858269251</c:v>
                </c:pt>
                <c:pt idx="394">
                  <c:v>24.77465819495637</c:v>
                </c:pt>
                <c:pt idx="395">
                  <c:v>38.222739675299167</c:v>
                </c:pt>
                <c:pt idx="396">
                  <c:v>47.515890013380627</c:v>
                </c:pt>
                <c:pt idx="397">
                  <c:v>54.786594677817718</c:v>
                </c:pt>
                <c:pt idx="398">
                  <c:v>61.581824646512644</c:v>
                </c:pt>
                <c:pt idx="399">
                  <c:v>68.028387906573641</c:v>
                </c:pt>
                <c:pt idx="400">
                  <c:v>74.08223000680664</c:v>
                </c:pt>
                <c:pt idx="401">
                  <c:v>80.06134468594982</c:v>
                </c:pt>
                <c:pt idx="402">
                  <c:v>85.259021250725056</c:v>
                </c:pt>
                <c:pt idx="403">
                  <c:v>92.335813064393122</c:v>
                </c:pt>
                <c:pt idx="404">
                  <c:v>100.89990562515202</c:v>
                </c:pt>
                <c:pt idx="405">
                  <c:v>106.71873101922806</c:v>
                </c:pt>
                <c:pt idx="406">
                  <c:v>112.2397625963483</c:v>
                </c:pt>
                <c:pt idx="407">
                  <c:v>120.2523592435864</c:v>
                </c:pt>
                <c:pt idx="408">
                  <c:v>128.18106290041123</c:v>
                </c:pt>
                <c:pt idx="409">
                  <c:v>132.07510291405546</c:v>
                </c:pt>
                <c:pt idx="410">
                  <c:v>128.18106290041126</c:v>
                </c:pt>
                <c:pt idx="411">
                  <c:v>120.25235924358634</c:v>
                </c:pt>
                <c:pt idx="412">
                  <c:v>112.23976259634827</c:v>
                </c:pt>
                <c:pt idx="413">
                  <c:v>106.71873101922807</c:v>
                </c:pt>
                <c:pt idx="414">
                  <c:v>100.89990562515213</c:v>
                </c:pt>
                <c:pt idx="415">
                  <c:v>92.335813064393065</c:v>
                </c:pt>
                <c:pt idx="416">
                  <c:v>85.259021250725041</c:v>
                </c:pt>
                <c:pt idx="417">
                  <c:v>80.061344685949848</c:v>
                </c:pt>
                <c:pt idx="418">
                  <c:v>74.08223000680654</c:v>
                </c:pt>
                <c:pt idx="419">
                  <c:v>68.028387906573656</c:v>
                </c:pt>
                <c:pt idx="420">
                  <c:v>61.581824646512658</c:v>
                </c:pt>
                <c:pt idx="421">
                  <c:v>54.786594677817746</c:v>
                </c:pt>
                <c:pt idx="422">
                  <c:v>47.515890013380641</c:v>
                </c:pt>
                <c:pt idx="423">
                  <c:v>38.222739675299223</c:v>
                </c:pt>
                <c:pt idx="424">
                  <c:v>24.774658194956199</c:v>
                </c:pt>
                <c:pt idx="425">
                  <c:v>8.5718492858269073</c:v>
                </c:pt>
                <c:pt idx="426">
                  <c:v>38.800861100442113</c:v>
                </c:pt>
                <c:pt idx="427">
                  <c:v>25.794489193355041</c:v>
                </c:pt>
                <c:pt idx="428">
                  <c:v>9.5358099727282095</c:v>
                </c:pt>
                <c:pt idx="429">
                  <c:v>-4.9998187522839288</c:v>
                </c:pt>
                <c:pt idx="430">
                  <c:v>-19.046776253156906</c:v>
                </c:pt>
                <c:pt idx="431">
                  <c:v>-30.078003427747056</c:v>
                </c:pt>
                <c:pt idx="432">
                  <c:v>-40.270769196955506</c:v>
                </c:pt>
                <c:pt idx="433">
                  <c:v>-46.847929157778928</c:v>
                </c:pt>
                <c:pt idx="434">
                  <c:v>-52.566769117229448</c:v>
                </c:pt>
                <c:pt idx="435">
                  <c:v>-58.01179318114314</c:v>
                </c:pt>
                <c:pt idx="436">
                  <c:v>-64.369861446825325</c:v>
                </c:pt>
                <c:pt idx="437">
                  <c:v>-71.766607360720542</c:v>
                </c:pt>
                <c:pt idx="438">
                  <c:v>-79.332234495137925</c:v>
                </c:pt>
                <c:pt idx="439">
                  <c:v>-87.676880136227339</c:v>
                </c:pt>
                <c:pt idx="440">
                  <c:v>-98.399077529147434</c:v>
                </c:pt>
                <c:pt idx="441">
                  <c:v>-109.34042367929138</c:v>
                </c:pt>
                <c:pt idx="442">
                  <c:v>-123.24890016794143</c:v>
                </c:pt>
                <c:pt idx="443">
                  <c:v>-134.2412894140268</c:v>
                </c:pt>
                <c:pt idx="444">
                  <c:v>-137.02655942412142</c:v>
                </c:pt>
                <c:pt idx="445">
                  <c:v>-134.2412894140268</c:v>
                </c:pt>
                <c:pt idx="446">
                  <c:v>-123.24890016794154</c:v>
                </c:pt>
                <c:pt idx="447">
                  <c:v>-109.34042367929132</c:v>
                </c:pt>
                <c:pt idx="448">
                  <c:v>-98.399077529147348</c:v>
                </c:pt>
                <c:pt idx="449">
                  <c:v>-87.676880136227368</c:v>
                </c:pt>
                <c:pt idx="450">
                  <c:v>-79.332234495137897</c:v>
                </c:pt>
                <c:pt idx="451">
                  <c:v>-71.766607360720542</c:v>
                </c:pt>
                <c:pt idx="452">
                  <c:v>-64.36986144682524</c:v>
                </c:pt>
                <c:pt idx="453">
                  <c:v>-58.01179318114314</c:v>
                </c:pt>
                <c:pt idx="454">
                  <c:v>-52.566769117229391</c:v>
                </c:pt>
                <c:pt idx="455">
                  <c:v>-46.847929157778843</c:v>
                </c:pt>
                <c:pt idx="456">
                  <c:v>-40.27076919695542</c:v>
                </c:pt>
                <c:pt idx="457">
                  <c:v>-30.078003427746971</c:v>
                </c:pt>
                <c:pt idx="458">
                  <c:v>-19.046776253156843</c:v>
                </c:pt>
                <c:pt idx="459">
                  <c:v>-4.9998187522838364</c:v>
                </c:pt>
                <c:pt idx="460">
                  <c:v>9.5358099727282095</c:v>
                </c:pt>
                <c:pt idx="461">
                  <c:v>25.794489193355155</c:v>
                </c:pt>
                <c:pt idx="462">
                  <c:v>38.800861100442205</c:v>
                </c:pt>
                <c:pt idx="463">
                  <c:v>51.807233007529263</c:v>
                </c:pt>
                <c:pt idx="464">
                  <c:v>68.065912228156122</c:v>
                </c:pt>
                <c:pt idx="465">
                  <c:v>82.601540953168239</c:v>
                </c:pt>
                <c:pt idx="466">
                  <c:v>96.648498454041231</c:v>
                </c:pt>
                <c:pt idx="467">
                  <c:v>107.67972562863136</c:v>
                </c:pt>
                <c:pt idx="468">
                  <c:v>117.87249139783981</c:v>
                </c:pt>
                <c:pt idx="469">
                  <c:v>124.44965135866326</c:v>
                </c:pt>
                <c:pt idx="470">
                  <c:v>130.16849131811378</c:v>
                </c:pt>
                <c:pt idx="471">
                  <c:v>135.61351538202749</c:v>
                </c:pt>
                <c:pt idx="472">
                  <c:v>141.97158364770962</c:v>
                </c:pt>
                <c:pt idx="473">
                  <c:v>149.36832956160492</c:v>
                </c:pt>
                <c:pt idx="474">
                  <c:v>156.93395669602222</c:v>
                </c:pt>
                <c:pt idx="475">
                  <c:v>165.27860233711166</c:v>
                </c:pt>
                <c:pt idx="476">
                  <c:v>176.00079973003173</c:v>
                </c:pt>
                <c:pt idx="477">
                  <c:v>186.94214588017573</c:v>
                </c:pt>
                <c:pt idx="478">
                  <c:v>200.85062236882592</c:v>
                </c:pt>
                <c:pt idx="479">
                  <c:v>211.84301161491118</c:v>
                </c:pt>
                <c:pt idx="480">
                  <c:v>214.62828162500583</c:v>
                </c:pt>
                <c:pt idx="481">
                  <c:v>211.84301161491106</c:v>
                </c:pt>
                <c:pt idx="482">
                  <c:v>200.85062236882592</c:v>
                </c:pt>
                <c:pt idx="483">
                  <c:v>186.94214588017567</c:v>
                </c:pt>
                <c:pt idx="484">
                  <c:v>176.00079973003179</c:v>
                </c:pt>
                <c:pt idx="485">
                  <c:v>165.27860233711175</c:v>
                </c:pt>
                <c:pt idx="486">
                  <c:v>156.93395669602225</c:v>
                </c:pt>
                <c:pt idx="487">
                  <c:v>149.36832956160481</c:v>
                </c:pt>
                <c:pt idx="488">
                  <c:v>141.97158364770962</c:v>
                </c:pt>
                <c:pt idx="489">
                  <c:v>135.6135153820274</c:v>
                </c:pt>
                <c:pt idx="490">
                  <c:v>130.16849131811372</c:v>
                </c:pt>
                <c:pt idx="491">
                  <c:v>124.44965135866323</c:v>
                </c:pt>
                <c:pt idx="492">
                  <c:v>117.87249139783981</c:v>
                </c:pt>
                <c:pt idx="493">
                  <c:v>107.67972562863142</c:v>
                </c:pt>
                <c:pt idx="494">
                  <c:v>96.648498454041288</c:v>
                </c:pt>
                <c:pt idx="495">
                  <c:v>82.601540953168126</c:v>
                </c:pt>
                <c:pt idx="496">
                  <c:v>68.065912228156066</c:v>
                </c:pt>
                <c:pt idx="497">
                  <c:v>95.425112296014902</c:v>
                </c:pt>
                <c:pt idx="498">
                  <c:v>81.368171796517345</c:v>
                </c:pt>
                <c:pt idx="499">
                  <c:v>66.899013415934462</c:v>
                </c:pt>
                <c:pt idx="500">
                  <c:v>52.846146117434472</c:v>
                </c:pt>
                <c:pt idx="501">
                  <c:v>38.767988309590912</c:v>
                </c:pt>
                <c:pt idx="502">
                  <c:v>25.323286087043286</c:v>
                </c:pt>
                <c:pt idx="503">
                  <c:v>15.820940288772576</c:v>
                </c:pt>
                <c:pt idx="504">
                  <c:v>8.4421968646889383</c:v>
                </c:pt>
                <c:pt idx="505">
                  <c:v>1.8789617606200295</c:v>
                </c:pt>
                <c:pt idx="506">
                  <c:v>-5.4541974637033945</c:v>
                </c:pt>
                <c:pt idx="507">
                  <c:v>-12.607750624310441</c:v>
                </c:pt>
                <c:pt idx="508">
                  <c:v>-20.052190132882203</c:v>
                </c:pt>
                <c:pt idx="509">
                  <c:v>-28.314522266569895</c:v>
                </c:pt>
                <c:pt idx="510">
                  <c:v>-38.140615934650597</c:v>
                </c:pt>
                <c:pt idx="511">
                  <c:v>-49.982720323575549</c:v>
                </c:pt>
                <c:pt idx="512">
                  <c:v>-65.269878779084124</c:v>
                </c:pt>
                <c:pt idx="513">
                  <c:v>-83.47066489982636</c:v>
                </c:pt>
                <c:pt idx="514">
                  <c:v>-102.10955025616978</c:v>
                </c:pt>
                <c:pt idx="515">
                  <c:v>-105.88366515579288</c:v>
                </c:pt>
                <c:pt idx="516">
                  <c:v>-102.10955025616975</c:v>
                </c:pt>
                <c:pt idx="517">
                  <c:v>-83.470664899826389</c:v>
                </c:pt>
                <c:pt idx="518">
                  <c:v>-65.269878779084095</c:v>
                </c:pt>
                <c:pt idx="519">
                  <c:v>-49.982720323575379</c:v>
                </c:pt>
                <c:pt idx="520">
                  <c:v>-38.140615934650512</c:v>
                </c:pt>
                <c:pt idx="521">
                  <c:v>-28.314522266569909</c:v>
                </c:pt>
                <c:pt idx="522">
                  <c:v>-20.052190132882245</c:v>
                </c:pt>
                <c:pt idx="523">
                  <c:v>-12.607750624310356</c:v>
                </c:pt>
                <c:pt idx="524">
                  <c:v>-5.4541974637033377</c:v>
                </c:pt>
                <c:pt idx="525">
                  <c:v>1.8789617606200864</c:v>
                </c:pt>
                <c:pt idx="526">
                  <c:v>8.4421968646889951</c:v>
                </c:pt>
                <c:pt idx="527">
                  <c:v>15.820940288772647</c:v>
                </c:pt>
                <c:pt idx="528">
                  <c:v>25.323286087043385</c:v>
                </c:pt>
                <c:pt idx="529">
                  <c:v>38.767988309591026</c:v>
                </c:pt>
                <c:pt idx="530">
                  <c:v>52.846146117434586</c:v>
                </c:pt>
                <c:pt idx="531">
                  <c:v>66.89901341593449</c:v>
                </c:pt>
                <c:pt idx="532">
                  <c:v>81.368171796517444</c:v>
                </c:pt>
                <c:pt idx="533">
                  <c:v>95.425112296015016</c:v>
                </c:pt>
                <c:pt idx="534">
                  <c:v>109.48205279551259</c:v>
                </c:pt>
                <c:pt idx="535">
                  <c:v>123.95121117609547</c:v>
                </c:pt>
                <c:pt idx="536">
                  <c:v>138.00407847459547</c:v>
                </c:pt>
                <c:pt idx="537">
                  <c:v>152.082236282439</c:v>
                </c:pt>
                <c:pt idx="538">
                  <c:v>165.52693850498659</c:v>
                </c:pt>
                <c:pt idx="539">
                  <c:v>175.02928430325738</c:v>
                </c:pt>
                <c:pt idx="540">
                  <c:v>182.40802772734099</c:v>
                </c:pt>
                <c:pt idx="541">
                  <c:v>188.97126283140992</c:v>
                </c:pt>
                <c:pt idx="542">
                  <c:v>196.30442205573328</c:v>
                </c:pt>
                <c:pt idx="543">
                  <c:v>203.45797521634034</c:v>
                </c:pt>
                <c:pt idx="544">
                  <c:v>210.90241472491215</c:v>
                </c:pt>
                <c:pt idx="545">
                  <c:v>219.16474685859993</c:v>
                </c:pt>
                <c:pt idx="546">
                  <c:v>228.99084052668047</c:v>
                </c:pt>
                <c:pt idx="547">
                  <c:v>240.83294491560537</c:v>
                </c:pt>
                <c:pt idx="548">
                  <c:v>256.12010337111411</c:v>
                </c:pt>
                <c:pt idx="549">
                  <c:v>274.32088949185641</c:v>
                </c:pt>
                <c:pt idx="550">
                  <c:v>292.95977484819969</c:v>
                </c:pt>
                <c:pt idx="551">
                  <c:v>296.73388974782284</c:v>
                </c:pt>
                <c:pt idx="552">
                  <c:v>292.95977484819969</c:v>
                </c:pt>
                <c:pt idx="553">
                  <c:v>274.32088949185641</c:v>
                </c:pt>
                <c:pt idx="554">
                  <c:v>256.12010337111411</c:v>
                </c:pt>
                <c:pt idx="555">
                  <c:v>240.83294491560542</c:v>
                </c:pt>
                <c:pt idx="556">
                  <c:v>228.99084052668053</c:v>
                </c:pt>
                <c:pt idx="557">
                  <c:v>219.16474685859978</c:v>
                </c:pt>
                <c:pt idx="558">
                  <c:v>210.90241472491209</c:v>
                </c:pt>
                <c:pt idx="559">
                  <c:v>203.45797521634029</c:v>
                </c:pt>
                <c:pt idx="560">
                  <c:v>196.30442205573328</c:v>
                </c:pt>
                <c:pt idx="561">
                  <c:v>188.97126283140986</c:v>
                </c:pt>
                <c:pt idx="562">
                  <c:v>182.40802772734094</c:v>
                </c:pt>
                <c:pt idx="563">
                  <c:v>175.02928430325733</c:v>
                </c:pt>
                <c:pt idx="564">
                  <c:v>165.52693850498662</c:v>
                </c:pt>
                <c:pt idx="565">
                  <c:v>152.08223628243908</c:v>
                </c:pt>
                <c:pt idx="566">
                  <c:v>138.00407847459533</c:v>
                </c:pt>
                <c:pt idx="567">
                  <c:v>123.9512111760954</c:v>
                </c:pt>
                <c:pt idx="568">
                  <c:v>152.04936349158768</c:v>
                </c:pt>
                <c:pt idx="569">
                  <c:v>137.12613746297825</c:v>
                </c:pt>
                <c:pt idx="570">
                  <c:v>124.33265073230734</c:v>
                </c:pt>
                <c:pt idx="571">
                  <c:v>111.27160524457581</c:v>
                </c:pt>
                <c:pt idx="572">
                  <c:v>97.542092964653108</c:v>
                </c:pt>
                <c:pt idx="573">
                  <c:v>84.820064728445715</c:v>
                </c:pt>
                <c:pt idx="574">
                  <c:v>73.653523008917119</c:v>
                </c:pt>
                <c:pt idx="575">
                  <c:v>63.865433286363483</c:v>
                </c:pt>
                <c:pt idx="576">
                  <c:v>55.26471477813844</c:v>
                </c:pt>
                <c:pt idx="577">
                  <c:v>47.497653085801318</c:v>
                </c:pt>
                <c:pt idx="578">
                  <c:v>39.912567078283445</c:v>
                </c:pt>
                <c:pt idx="579">
                  <c:v>32.034974247862337</c:v>
                </c:pt>
                <c:pt idx="580">
                  <c:v>23.255033589333522</c:v>
                </c:pt>
                <c:pt idx="581">
                  <c:v>14.190866126699603</c:v>
                </c:pt>
                <c:pt idx="582">
                  <c:v>1.4757488805931587</c:v>
                </c:pt>
                <c:pt idx="583">
                  <c:v>-16.417179588572907</c:v>
                </c:pt>
                <c:pt idx="584">
                  <c:v>-38.112007699558546</c:v>
                </c:pt>
                <c:pt idx="585">
                  <c:v>-61.978561825418382</c:v>
                </c:pt>
                <c:pt idx="586">
                  <c:v>-73.954873323193084</c:v>
                </c:pt>
                <c:pt idx="587">
                  <c:v>-61.978561825418382</c:v>
                </c:pt>
                <c:pt idx="588">
                  <c:v>-38.112007699558461</c:v>
                </c:pt>
                <c:pt idx="589">
                  <c:v>-16.417179588572878</c:v>
                </c:pt>
                <c:pt idx="590">
                  <c:v>1.4757488805933292</c:v>
                </c:pt>
                <c:pt idx="591">
                  <c:v>14.19086612669966</c:v>
                </c:pt>
                <c:pt idx="592">
                  <c:v>23.255033589333522</c:v>
                </c:pt>
                <c:pt idx="593">
                  <c:v>32.034974247862294</c:v>
                </c:pt>
                <c:pt idx="594">
                  <c:v>39.91256707828353</c:v>
                </c:pt>
                <c:pt idx="595">
                  <c:v>47.497653085801403</c:v>
                </c:pt>
                <c:pt idx="596">
                  <c:v>55.264714778138483</c:v>
                </c:pt>
                <c:pt idx="597">
                  <c:v>63.865433286363583</c:v>
                </c:pt>
                <c:pt idx="598">
                  <c:v>73.653523008917219</c:v>
                </c:pt>
                <c:pt idx="599">
                  <c:v>84.8200647284458</c:v>
                </c:pt>
                <c:pt idx="600">
                  <c:v>97.542092964653222</c:v>
                </c:pt>
                <c:pt idx="601">
                  <c:v>111.27160524457594</c:v>
                </c:pt>
                <c:pt idx="602">
                  <c:v>124.33265073230736</c:v>
                </c:pt>
                <c:pt idx="603">
                  <c:v>137.12613746297833</c:v>
                </c:pt>
                <c:pt idx="604">
                  <c:v>152.04936349158783</c:v>
                </c:pt>
                <c:pt idx="605">
                  <c:v>166.97258952019729</c:v>
                </c:pt>
                <c:pt idx="606">
                  <c:v>179.76607625086822</c:v>
                </c:pt>
                <c:pt idx="607">
                  <c:v>192.82712173859969</c:v>
                </c:pt>
                <c:pt idx="608">
                  <c:v>206.5566340185224</c:v>
                </c:pt>
                <c:pt idx="609">
                  <c:v>219.2786622547298</c:v>
                </c:pt>
                <c:pt idx="610">
                  <c:v>230.44520397425839</c:v>
                </c:pt>
                <c:pt idx="611">
                  <c:v>240.23329369681204</c:v>
                </c:pt>
                <c:pt idx="612">
                  <c:v>248.83401220503708</c:v>
                </c:pt>
                <c:pt idx="613">
                  <c:v>256.60107389737425</c:v>
                </c:pt>
                <c:pt idx="614">
                  <c:v>264.18615990489207</c:v>
                </c:pt>
                <c:pt idx="615">
                  <c:v>272.06375273531324</c:v>
                </c:pt>
                <c:pt idx="616">
                  <c:v>280.8436933938421</c:v>
                </c:pt>
                <c:pt idx="617">
                  <c:v>289.90786085647585</c:v>
                </c:pt>
                <c:pt idx="618">
                  <c:v>302.62297810258235</c:v>
                </c:pt>
                <c:pt idx="619">
                  <c:v>320.51590657174847</c:v>
                </c:pt>
                <c:pt idx="620">
                  <c:v>342.21073468273408</c:v>
                </c:pt>
                <c:pt idx="621">
                  <c:v>366.07728880859395</c:v>
                </c:pt>
                <c:pt idx="622">
                  <c:v>378.05360030636859</c:v>
                </c:pt>
                <c:pt idx="623">
                  <c:v>366.07728880859395</c:v>
                </c:pt>
                <c:pt idx="624">
                  <c:v>342.21073468273414</c:v>
                </c:pt>
                <c:pt idx="625">
                  <c:v>320.51590657174847</c:v>
                </c:pt>
                <c:pt idx="626">
                  <c:v>302.62297810258235</c:v>
                </c:pt>
                <c:pt idx="627">
                  <c:v>289.90786085647585</c:v>
                </c:pt>
                <c:pt idx="628">
                  <c:v>280.84369339384199</c:v>
                </c:pt>
                <c:pt idx="629">
                  <c:v>272.06375273531319</c:v>
                </c:pt>
                <c:pt idx="630">
                  <c:v>264.18615990489201</c:v>
                </c:pt>
                <c:pt idx="631">
                  <c:v>256.60107389737414</c:v>
                </c:pt>
                <c:pt idx="632">
                  <c:v>248.83401220503703</c:v>
                </c:pt>
                <c:pt idx="633">
                  <c:v>240.23329369681204</c:v>
                </c:pt>
                <c:pt idx="634">
                  <c:v>230.44520397425839</c:v>
                </c:pt>
                <c:pt idx="635">
                  <c:v>219.27866225472985</c:v>
                </c:pt>
                <c:pt idx="636">
                  <c:v>206.55663401852246</c:v>
                </c:pt>
                <c:pt idx="637">
                  <c:v>192.82712173859957</c:v>
                </c:pt>
                <c:pt idx="638">
                  <c:v>179.76607625086811</c:v>
                </c:pt>
                <c:pt idx="639">
                  <c:v>208.67361468716047</c:v>
                </c:pt>
                <c:pt idx="640">
                  <c:v>194.17683886558694</c:v>
                </c:pt>
                <c:pt idx="641">
                  <c:v>181.41583868127296</c:v>
                </c:pt>
                <c:pt idx="642">
                  <c:v>167.95016960589024</c:v>
                </c:pt>
                <c:pt idx="643">
                  <c:v>156.89873612195171</c:v>
                </c:pt>
                <c:pt idx="644">
                  <c:v>146.07116018886722</c:v>
                </c:pt>
                <c:pt idx="645">
                  <c:v>133.55077661662665</c:v>
                </c:pt>
                <c:pt idx="646">
                  <c:v>121.80378675204076</c:v>
                </c:pt>
                <c:pt idx="647">
                  <c:v>111.9586251250943</c:v>
                </c:pt>
                <c:pt idx="648">
                  <c:v>103.18135300647022</c:v>
                </c:pt>
                <c:pt idx="649">
                  <c:v>95.779841332155797</c:v>
                </c:pt>
                <c:pt idx="650">
                  <c:v>87.278232908423888</c:v>
                </c:pt>
                <c:pt idx="651">
                  <c:v>77.909172795786247</c:v>
                </c:pt>
                <c:pt idx="652">
                  <c:v>66.89636526015434</c:v>
                </c:pt>
                <c:pt idx="653">
                  <c:v>52.792076209566858</c:v>
                </c:pt>
                <c:pt idx="654">
                  <c:v>33.169959480657838</c:v>
                </c:pt>
                <c:pt idx="655">
                  <c:v>9.6597070557867255</c:v>
                </c:pt>
                <c:pt idx="656">
                  <c:v>-10.294540318237836</c:v>
                </c:pt>
                <c:pt idx="657">
                  <c:v>-34.436427046632105</c:v>
                </c:pt>
                <c:pt idx="658">
                  <c:v>-10.294540318237836</c:v>
                </c:pt>
                <c:pt idx="659">
                  <c:v>9.6597070557867255</c:v>
                </c:pt>
                <c:pt idx="660">
                  <c:v>33.169959480657894</c:v>
                </c:pt>
                <c:pt idx="661">
                  <c:v>52.792076209567028</c:v>
                </c:pt>
                <c:pt idx="662">
                  <c:v>66.896365260154397</c:v>
                </c:pt>
                <c:pt idx="663">
                  <c:v>77.909172795786276</c:v>
                </c:pt>
                <c:pt idx="664">
                  <c:v>87.27823290842386</c:v>
                </c:pt>
                <c:pt idx="665">
                  <c:v>95.779841332155925</c:v>
                </c:pt>
                <c:pt idx="666">
                  <c:v>103.1813530064703</c:v>
                </c:pt>
                <c:pt idx="667">
                  <c:v>111.95862512509437</c:v>
                </c:pt>
                <c:pt idx="668">
                  <c:v>121.80378675204085</c:v>
                </c:pt>
                <c:pt idx="669">
                  <c:v>133.55077661662676</c:v>
                </c:pt>
                <c:pt idx="670">
                  <c:v>146.07116018886731</c:v>
                </c:pt>
                <c:pt idx="671">
                  <c:v>156.89873612195186</c:v>
                </c:pt>
                <c:pt idx="672">
                  <c:v>167.95016960589035</c:v>
                </c:pt>
                <c:pt idx="673">
                  <c:v>181.41583868127299</c:v>
                </c:pt>
                <c:pt idx="674">
                  <c:v>194.17683886558706</c:v>
                </c:pt>
                <c:pt idx="675">
                  <c:v>208.67361468716061</c:v>
                </c:pt>
                <c:pt idx="676">
                  <c:v>223.17039050873413</c:v>
                </c:pt>
                <c:pt idx="677">
                  <c:v>235.93139069304814</c:v>
                </c:pt>
                <c:pt idx="678">
                  <c:v>249.39705976843086</c:v>
                </c:pt>
                <c:pt idx="679">
                  <c:v>260.4484932523693</c:v>
                </c:pt>
                <c:pt idx="680">
                  <c:v>271.27606918545388</c:v>
                </c:pt>
                <c:pt idx="681">
                  <c:v>283.7964527576944</c:v>
                </c:pt>
                <c:pt idx="682">
                  <c:v>295.54344262228028</c:v>
                </c:pt>
                <c:pt idx="683">
                  <c:v>305.38860424922677</c:v>
                </c:pt>
                <c:pt idx="684">
                  <c:v>314.16587636785084</c:v>
                </c:pt>
                <c:pt idx="685">
                  <c:v>321.56738804216525</c:v>
                </c:pt>
                <c:pt idx="686">
                  <c:v>330.06899646589727</c:v>
                </c:pt>
                <c:pt idx="687">
                  <c:v>339.43805657853488</c:v>
                </c:pt>
                <c:pt idx="688">
                  <c:v>350.45086411416673</c:v>
                </c:pt>
                <c:pt idx="689">
                  <c:v>364.55515316475413</c:v>
                </c:pt>
                <c:pt idx="690">
                  <c:v>384.17726989366327</c:v>
                </c:pt>
                <c:pt idx="691">
                  <c:v>407.68752231853443</c:v>
                </c:pt>
                <c:pt idx="692">
                  <c:v>427.64176969255891</c:v>
                </c:pt>
                <c:pt idx="693">
                  <c:v>451.78365642095321</c:v>
                </c:pt>
                <c:pt idx="694">
                  <c:v>427.64176969255902</c:v>
                </c:pt>
                <c:pt idx="695">
                  <c:v>407.68752231853455</c:v>
                </c:pt>
                <c:pt idx="696">
                  <c:v>384.17726989366327</c:v>
                </c:pt>
                <c:pt idx="697">
                  <c:v>364.5551531647543</c:v>
                </c:pt>
                <c:pt idx="698">
                  <c:v>350.45086411416673</c:v>
                </c:pt>
                <c:pt idx="699">
                  <c:v>339.43805657853477</c:v>
                </c:pt>
                <c:pt idx="700">
                  <c:v>330.06899646589716</c:v>
                </c:pt>
                <c:pt idx="701">
                  <c:v>321.56738804216519</c:v>
                </c:pt>
                <c:pt idx="702">
                  <c:v>314.16587636785079</c:v>
                </c:pt>
                <c:pt idx="703">
                  <c:v>305.38860424922672</c:v>
                </c:pt>
                <c:pt idx="704">
                  <c:v>295.54344262228034</c:v>
                </c:pt>
                <c:pt idx="705">
                  <c:v>283.79645275769445</c:v>
                </c:pt>
                <c:pt idx="706">
                  <c:v>271.27606918545388</c:v>
                </c:pt>
                <c:pt idx="707">
                  <c:v>260.44849325236936</c:v>
                </c:pt>
                <c:pt idx="708">
                  <c:v>249.39705976843072</c:v>
                </c:pt>
                <c:pt idx="709">
                  <c:v>235.93139069304806</c:v>
                </c:pt>
                <c:pt idx="710">
                  <c:v>265.29786588273322</c:v>
                </c:pt>
                <c:pt idx="711">
                  <c:v>251.43547891083728</c:v>
                </c:pt>
                <c:pt idx="712">
                  <c:v>238.97759308867424</c:v>
                </c:pt>
                <c:pt idx="713">
                  <c:v>227.98935960583637</c:v>
                </c:pt>
                <c:pt idx="714">
                  <c:v>217.60821654198446</c:v>
                </c:pt>
                <c:pt idx="715">
                  <c:v>205.36692263877617</c:v>
                </c:pt>
                <c:pt idx="716">
                  <c:v>193.99325133243491</c:v>
                </c:pt>
                <c:pt idx="717">
                  <c:v>181.33529397969613</c:v>
                </c:pt>
                <c:pt idx="718">
                  <c:v>171.00820432585525</c:v>
                </c:pt>
                <c:pt idx="719">
                  <c:v>161.01801750342133</c:v>
                </c:pt>
                <c:pt idx="720">
                  <c:v>150.96193677811402</c:v>
                </c:pt>
                <c:pt idx="721">
                  <c:v>140.90690060974691</c:v>
                </c:pt>
                <c:pt idx="722">
                  <c:v>130.40147443331225</c:v>
                </c:pt>
                <c:pt idx="723">
                  <c:v>119.04381986290809</c:v>
                </c:pt>
                <c:pt idx="724">
                  <c:v>104.86391390982007</c:v>
                </c:pt>
                <c:pt idx="725">
                  <c:v>84.591337627940163</c:v>
                </c:pt>
                <c:pt idx="726">
                  <c:v>63.636312379167464</c:v>
                </c:pt>
                <c:pt idx="727">
                  <c:v>43.97722114462178</c:v>
                </c:pt>
                <c:pt idx="728">
                  <c:v>23.68296705219106</c:v>
                </c:pt>
                <c:pt idx="729">
                  <c:v>43.97722114462178</c:v>
                </c:pt>
                <c:pt idx="730">
                  <c:v>63.636312379167464</c:v>
                </c:pt>
                <c:pt idx="731">
                  <c:v>84.591337627940192</c:v>
                </c:pt>
                <c:pt idx="732">
                  <c:v>104.86391390982021</c:v>
                </c:pt>
                <c:pt idx="733">
                  <c:v>119.04381986290815</c:v>
                </c:pt>
                <c:pt idx="734">
                  <c:v>130.40147443331222</c:v>
                </c:pt>
                <c:pt idx="735">
                  <c:v>140.90690060974697</c:v>
                </c:pt>
                <c:pt idx="736">
                  <c:v>150.96193677811408</c:v>
                </c:pt>
                <c:pt idx="737">
                  <c:v>161.01801750342139</c:v>
                </c:pt>
                <c:pt idx="738">
                  <c:v>171.0082043258553</c:v>
                </c:pt>
                <c:pt idx="739">
                  <c:v>181.33529397969619</c:v>
                </c:pt>
                <c:pt idx="740">
                  <c:v>193.99325133243508</c:v>
                </c:pt>
                <c:pt idx="741">
                  <c:v>205.36692263877626</c:v>
                </c:pt>
                <c:pt idx="742">
                  <c:v>217.6082165419846</c:v>
                </c:pt>
                <c:pt idx="743">
                  <c:v>227.98935960583646</c:v>
                </c:pt>
                <c:pt idx="744">
                  <c:v>238.97759308867427</c:v>
                </c:pt>
                <c:pt idx="745">
                  <c:v>251.43547891083739</c:v>
                </c:pt>
                <c:pt idx="746">
                  <c:v>265.29786588273339</c:v>
                </c:pt>
                <c:pt idx="747">
                  <c:v>279.16025285462939</c:v>
                </c:pt>
                <c:pt idx="748">
                  <c:v>291.6181386767924</c:v>
                </c:pt>
                <c:pt idx="749">
                  <c:v>302.60637215963027</c:v>
                </c:pt>
                <c:pt idx="750">
                  <c:v>312.98751522348215</c:v>
                </c:pt>
                <c:pt idx="751">
                  <c:v>325.22880912669041</c:v>
                </c:pt>
                <c:pt idx="752">
                  <c:v>336.6024804330317</c:v>
                </c:pt>
                <c:pt idx="753">
                  <c:v>349.26043778577042</c:v>
                </c:pt>
                <c:pt idx="754">
                  <c:v>359.58752743961145</c:v>
                </c:pt>
                <c:pt idx="755">
                  <c:v>369.57771426204528</c:v>
                </c:pt>
                <c:pt idx="756">
                  <c:v>379.63379498735264</c:v>
                </c:pt>
                <c:pt idx="757">
                  <c:v>389.6888311557197</c:v>
                </c:pt>
                <c:pt idx="758">
                  <c:v>400.19425733215439</c:v>
                </c:pt>
                <c:pt idx="759">
                  <c:v>411.55191190255857</c:v>
                </c:pt>
                <c:pt idx="760">
                  <c:v>425.73181785564645</c:v>
                </c:pt>
                <c:pt idx="761">
                  <c:v>446.00439413752645</c:v>
                </c:pt>
                <c:pt idx="762">
                  <c:v>466.95941938629926</c:v>
                </c:pt>
                <c:pt idx="763">
                  <c:v>486.61851062084486</c:v>
                </c:pt>
                <c:pt idx="764">
                  <c:v>506.91276471327558</c:v>
                </c:pt>
                <c:pt idx="765">
                  <c:v>486.61851062084492</c:v>
                </c:pt>
                <c:pt idx="766">
                  <c:v>466.95941938629937</c:v>
                </c:pt>
                <c:pt idx="767">
                  <c:v>446.00439413752656</c:v>
                </c:pt>
                <c:pt idx="768">
                  <c:v>425.73181785564657</c:v>
                </c:pt>
                <c:pt idx="769">
                  <c:v>411.55191190255857</c:v>
                </c:pt>
                <c:pt idx="770">
                  <c:v>400.19425733215439</c:v>
                </c:pt>
                <c:pt idx="771">
                  <c:v>389.68883115571964</c:v>
                </c:pt>
                <c:pt idx="772">
                  <c:v>379.63379498735253</c:v>
                </c:pt>
                <c:pt idx="773">
                  <c:v>369.57771426204528</c:v>
                </c:pt>
                <c:pt idx="774">
                  <c:v>359.58752743961134</c:v>
                </c:pt>
                <c:pt idx="775">
                  <c:v>349.26043778577048</c:v>
                </c:pt>
                <c:pt idx="776">
                  <c:v>336.6024804330317</c:v>
                </c:pt>
                <c:pt idx="777">
                  <c:v>325.22880912669046</c:v>
                </c:pt>
                <c:pt idx="778">
                  <c:v>312.98751522348221</c:v>
                </c:pt>
                <c:pt idx="779">
                  <c:v>302.60637215963015</c:v>
                </c:pt>
                <c:pt idx="780">
                  <c:v>291.61813867679234</c:v>
                </c:pt>
                <c:pt idx="781">
                  <c:v>321.92211707830609</c:v>
                </c:pt>
                <c:pt idx="782">
                  <c:v>309.54464391413399</c:v>
                </c:pt>
                <c:pt idx="783">
                  <c:v>298.77559947953728</c:v>
                </c:pt>
                <c:pt idx="784">
                  <c:v>287.97135719439342</c:v>
                </c:pt>
                <c:pt idx="785">
                  <c:v>276.50226383659464</c:v>
                </c:pt>
                <c:pt idx="786">
                  <c:v>265.18430230580702</c:v>
                </c:pt>
                <c:pt idx="787">
                  <c:v>254.95332590342741</c:v>
                </c:pt>
                <c:pt idx="788">
                  <c:v>242.86777482726293</c:v>
                </c:pt>
                <c:pt idx="789">
                  <c:v>228.79128411264423</c:v>
                </c:pt>
                <c:pt idx="790">
                  <c:v>215.83928267773166</c:v>
                </c:pt>
                <c:pt idx="791">
                  <c:v>203.8942037569746</c:v>
                </c:pt>
                <c:pt idx="792">
                  <c:v>192.26379025898896</c:v>
                </c:pt>
                <c:pt idx="793">
                  <c:v>180.28488457754176</c:v>
                </c:pt>
                <c:pt idx="794">
                  <c:v>167.16614570641516</c:v>
                </c:pt>
                <c:pt idx="795">
                  <c:v>152.17528718935591</c:v>
                </c:pt>
                <c:pt idx="796">
                  <c:v>135.57894491655699</c:v>
                </c:pt>
                <c:pt idx="797">
                  <c:v>119.88789059851933</c:v>
                </c:pt>
                <c:pt idx="798">
                  <c:v>103.19893651182548</c:v>
                </c:pt>
                <c:pt idx="799">
                  <c:v>84.163012482558827</c:v>
                </c:pt>
                <c:pt idx="800">
                  <c:v>103.19893651182542</c:v>
                </c:pt>
                <c:pt idx="801">
                  <c:v>119.88789059851925</c:v>
                </c:pt>
                <c:pt idx="802">
                  <c:v>135.57894491655699</c:v>
                </c:pt>
                <c:pt idx="803">
                  <c:v>152.17528718935608</c:v>
                </c:pt>
                <c:pt idx="804">
                  <c:v>167.16614570641519</c:v>
                </c:pt>
                <c:pt idx="805">
                  <c:v>180.28488457754176</c:v>
                </c:pt>
                <c:pt idx="806">
                  <c:v>192.26379025898902</c:v>
                </c:pt>
                <c:pt idx="807">
                  <c:v>203.89420375697472</c:v>
                </c:pt>
                <c:pt idx="808">
                  <c:v>215.83928267773177</c:v>
                </c:pt>
                <c:pt idx="809">
                  <c:v>228.79128411264429</c:v>
                </c:pt>
                <c:pt idx="810">
                  <c:v>242.86777482726302</c:v>
                </c:pt>
                <c:pt idx="811">
                  <c:v>254.95332590342755</c:v>
                </c:pt>
                <c:pt idx="812">
                  <c:v>265.18430230580719</c:v>
                </c:pt>
                <c:pt idx="813">
                  <c:v>276.50226383659475</c:v>
                </c:pt>
                <c:pt idx="814">
                  <c:v>287.97135719439353</c:v>
                </c:pt>
                <c:pt idx="815">
                  <c:v>298.77559947953733</c:v>
                </c:pt>
                <c:pt idx="816">
                  <c:v>309.54464391413416</c:v>
                </c:pt>
                <c:pt idx="817">
                  <c:v>321.9221170783062</c:v>
                </c:pt>
                <c:pt idx="818">
                  <c:v>334.29959024247825</c:v>
                </c:pt>
                <c:pt idx="819">
                  <c:v>345.06863467707501</c:v>
                </c:pt>
                <c:pt idx="820">
                  <c:v>355.87287696221887</c:v>
                </c:pt>
                <c:pt idx="821">
                  <c:v>367.34197032001759</c:v>
                </c:pt>
                <c:pt idx="822">
                  <c:v>378.65993185080515</c:v>
                </c:pt>
                <c:pt idx="823">
                  <c:v>388.89090825318482</c:v>
                </c:pt>
                <c:pt idx="824">
                  <c:v>400.97645932934927</c:v>
                </c:pt>
                <c:pt idx="825">
                  <c:v>415.05295004396805</c:v>
                </c:pt>
                <c:pt idx="826">
                  <c:v>428.00495147888057</c:v>
                </c:pt>
                <c:pt idx="827">
                  <c:v>439.95003039963763</c:v>
                </c:pt>
                <c:pt idx="828">
                  <c:v>451.5804438976233</c:v>
                </c:pt>
                <c:pt idx="829">
                  <c:v>463.5593495790705</c:v>
                </c:pt>
                <c:pt idx="830">
                  <c:v>476.67808845019704</c:v>
                </c:pt>
                <c:pt idx="831">
                  <c:v>491.66894696725626</c:v>
                </c:pt>
                <c:pt idx="832">
                  <c:v>508.26528924005527</c:v>
                </c:pt>
                <c:pt idx="833">
                  <c:v>523.95634355809307</c:v>
                </c:pt>
                <c:pt idx="834">
                  <c:v>540.64529764478687</c:v>
                </c:pt>
                <c:pt idx="835">
                  <c:v>559.6812216740534</c:v>
                </c:pt>
                <c:pt idx="836">
                  <c:v>540.64529764478687</c:v>
                </c:pt>
                <c:pt idx="837">
                  <c:v>523.95634355809307</c:v>
                </c:pt>
                <c:pt idx="838">
                  <c:v>508.26528924005538</c:v>
                </c:pt>
                <c:pt idx="839">
                  <c:v>491.66894696725637</c:v>
                </c:pt>
                <c:pt idx="840">
                  <c:v>476.67808845019715</c:v>
                </c:pt>
                <c:pt idx="841">
                  <c:v>463.5593495790705</c:v>
                </c:pt>
                <c:pt idx="842">
                  <c:v>451.58044389762324</c:v>
                </c:pt>
                <c:pt idx="843">
                  <c:v>439.95003039963757</c:v>
                </c:pt>
                <c:pt idx="844">
                  <c:v>428.00495147888057</c:v>
                </c:pt>
                <c:pt idx="845">
                  <c:v>415.052950043968</c:v>
                </c:pt>
                <c:pt idx="846">
                  <c:v>400.97645932934927</c:v>
                </c:pt>
                <c:pt idx="847">
                  <c:v>388.89090825318488</c:v>
                </c:pt>
                <c:pt idx="848">
                  <c:v>378.65993185080521</c:v>
                </c:pt>
                <c:pt idx="849">
                  <c:v>367.34197032001765</c:v>
                </c:pt>
                <c:pt idx="850">
                  <c:v>355.8728769622187</c:v>
                </c:pt>
                <c:pt idx="851">
                  <c:v>345.0686346770749</c:v>
                </c:pt>
                <c:pt idx="852">
                  <c:v>378.54636827387884</c:v>
                </c:pt>
                <c:pt idx="853">
                  <c:v>368.19141769489261</c:v>
                </c:pt>
                <c:pt idx="854">
                  <c:v>356.90042918636823</c:v>
                </c:pt>
                <c:pt idx="855">
                  <c:v>346.20173717402059</c:v>
                </c:pt>
                <c:pt idx="856">
                  <c:v>336.25754934740485</c:v>
                </c:pt>
                <c:pt idx="857">
                  <c:v>324.89139719054123</c:v>
                </c:pt>
                <c:pt idx="858">
                  <c:v>312.8884822147611</c:v>
                </c:pt>
                <c:pt idx="859">
                  <c:v>299.93572546317188</c:v>
                </c:pt>
                <c:pt idx="860">
                  <c:v>286.57025092446679</c:v>
                </c:pt>
                <c:pt idx="861">
                  <c:v>271.50510455576597</c:v>
                </c:pt>
                <c:pt idx="862">
                  <c:v>257.59845595839431</c:v>
                </c:pt>
                <c:pt idx="863">
                  <c:v>244.1895268933294</c:v>
                </c:pt>
                <c:pt idx="864">
                  <c:v>230.554435161421</c:v>
                </c:pt>
                <c:pt idx="865">
                  <c:v>216.50054634271046</c:v>
                </c:pt>
                <c:pt idx="866">
                  <c:v>199.97671426535061</c:v>
                </c:pt>
                <c:pt idx="867">
                  <c:v>184.07949626319703</c:v>
                </c:pt>
                <c:pt idx="868">
                  <c:v>170.74952321506038</c:v>
                </c:pt>
                <c:pt idx="869">
                  <c:v>157.6737924840476</c:v>
                </c:pt>
                <c:pt idx="870">
                  <c:v>144.53886733209362</c:v>
                </c:pt>
                <c:pt idx="871">
                  <c:v>157.67379248404762</c:v>
                </c:pt>
                <c:pt idx="872">
                  <c:v>170.74952321506038</c:v>
                </c:pt>
                <c:pt idx="873">
                  <c:v>184.07949626319709</c:v>
                </c:pt>
                <c:pt idx="874">
                  <c:v>199.97671426535072</c:v>
                </c:pt>
                <c:pt idx="875">
                  <c:v>216.50054634271055</c:v>
                </c:pt>
                <c:pt idx="876">
                  <c:v>230.55443516142103</c:v>
                </c:pt>
                <c:pt idx="877">
                  <c:v>244.18952689332934</c:v>
                </c:pt>
                <c:pt idx="878">
                  <c:v>257.59845595839448</c:v>
                </c:pt>
                <c:pt idx="879">
                  <c:v>271.50510455576608</c:v>
                </c:pt>
                <c:pt idx="880">
                  <c:v>286.57025092446679</c:v>
                </c:pt>
                <c:pt idx="881">
                  <c:v>299.93572546317199</c:v>
                </c:pt>
                <c:pt idx="882">
                  <c:v>312.88848221476121</c:v>
                </c:pt>
                <c:pt idx="883">
                  <c:v>324.89139719054128</c:v>
                </c:pt>
                <c:pt idx="884">
                  <c:v>336.25754934740496</c:v>
                </c:pt>
                <c:pt idx="885">
                  <c:v>346.20173717402071</c:v>
                </c:pt>
                <c:pt idx="886">
                  <c:v>356.90042918636829</c:v>
                </c:pt>
                <c:pt idx="887">
                  <c:v>368.19141769489272</c:v>
                </c:pt>
                <c:pt idx="888">
                  <c:v>378.54636827387895</c:v>
                </c:pt>
                <c:pt idx="889">
                  <c:v>388.90131885286519</c:v>
                </c:pt>
                <c:pt idx="890">
                  <c:v>400.19230736138957</c:v>
                </c:pt>
                <c:pt idx="891">
                  <c:v>410.8909993737372</c:v>
                </c:pt>
                <c:pt idx="892">
                  <c:v>420.83518720035289</c:v>
                </c:pt>
                <c:pt idx="893">
                  <c:v>432.20133935721657</c:v>
                </c:pt>
                <c:pt idx="894">
                  <c:v>444.2042543329967</c:v>
                </c:pt>
                <c:pt idx="895">
                  <c:v>457.1570110845858</c:v>
                </c:pt>
                <c:pt idx="896">
                  <c:v>470.52248562329106</c:v>
                </c:pt>
                <c:pt idx="897">
                  <c:v>485.58763199199183</c:v>
                </c:pt>
                <c:pt idx="898">
                  <c:v>499.49428058936337</c:v>
                </c:pt>
                <c:pt idx="899">
                  <c:v>512.90320965442845</c:v>
                </c:pt>
                <c:pt idx="900">
                  <c:v>526.5383013863368</c:v>
                </c:pt>
                <c:pt idx="901">
                  <c:v>540.59219020504725</c:v>
                </c:pt>
                <c:pt idx="902">
                  <c:v>557.11602228240702</c:v>
                </c:pt>
                <c:pt idx="903">
                  <c:v>573.01324028456077</c:v>
                </c:pt>
                <c:pt idx="904">
                  <c:v>586.34321333269747</c:v>
                </c:pt>
                <c:pt idx="905">
                  <c:v>599.41894406371011</c:v>
                </c:pt>
                <c:pt idx="906">
                  <c:v>612.55386921566424</c:v>
                </c:pt>
                <c:pt idx="907">
                  <c:v>599.41894406371023</c:v>
                </c:pt>
                <c:pt idx="908">
                  <c:v>586.34321333269747</c:v>
                </c:pt>
                <c:pt idx="909">
                  <c:v>573.01324028456077</c:v>
                </c:pt>
                <c:pt idx="910">
                  <c:v>557.11602228240713</c:v>
                </c:pt>
                <c:pt idx="911">
                  <c:v>540.59219020504747</c:v>
                </c:pt>
                <c:pt idx="912">
                  <c:v>526.5383013863368</c:v>
                </c:pt>
                <c:pt idx="913">
                  <c:v>512.90320965442834</c:v>
                </c:pt>
                <c:pt idx="914">
                  <c:v>499.49428058936337</c:v>
                </c:pt>
                <c:pt idx="915">
                  <c:v>485.58763199199166</c:v>
                </c:pt>
                <c:pt idx="916">
                  <c:v>470.522485623291</c:v>
                </c:pt>
                <c:pt idx="917">
                  <c:v>457.15701108458586</c:v>
                </c:pt>
                <c:pt idx="918">
                  <c:v>444.20425433299664</c:v>
                </c:pt>
                <c:pt idx="919">
                  <c:v>432.20133935721657</c:v>
                </c:pt>
                <c:pt idx="920">
                  <c:v>420.83518720035295</c:v>
                </c:pt>
                <c:pt idx="921">
                  <c:v>410.89099937373709</c:v>
                </c:pt>
                <c:pt idx="922">
                  <c:v>400.19230736138945</c:v>
                </c:pt>
                <c:pt idx="923">
                  <c:v>435.17061946945165</c:v>
                </c:pt>
                <c:pt idx="924">
                  <c:v>425.03620141552835</c:v>
                </c:pt>
                <c:pt idx="925">
                  <c:v>415.41468521876408</c:v>
                </c:pt>
                <c:pt idx="926">
                  <c:v>404.73912763423124</c:v>
                </c:pt>
                <c:pt idx="927">
                  <c:v>393.88554700547434</c:v>
                </c:pt>
                <c:pt idx="928">
                  <c:v>382.62824392965581</c:v>
                </c:pt>
                <c:pt idx="929">
                  <c:v>370.71297678392011</c:v>
                </c:pt>
                <c:pt idx="930">
                  <c:v>357.82880128708041</c:v>
                </c:pt>
                <c:pt idx="931">
                  <c:v>343.57095522595387</c:v>
                </c:pt>
                <c:pt idx="932">
                  <c:v>328.38016294289986</c:v>
                </c:pt>
                <c:pt idx="933">
                  <c:v>312.26315731687714</c:v>
                </c:pt>
                <c:pt idx="934">
                  <c:v>296.83748210942741</c:v>
                </c:pt>
                <c:pt idx="935">
                  <c:v>282.07480590123805</c:v>
                </c:pt>
                <c:pt idx="936">
                  <c:v>265.45979413496548</c:v>
                </c:pt>
                <c:pt idx="937">
                  <c:v>248.11063943231488</c:v>
                </c:pt>
                <c:pt idx="938">
                  <c:v>233.62639888428677</c:v>
                </c:pt>
                <c:pt idx="939">
                  <c:v>221.62071522029598</c:v>
                </c:pt>
                <c:pt idx="940">
                  <c:v>210.14930818478041</c:v>
                </c:pt>
                <c:pt idx="941">
                  <c:v>198.97746096262804</c:v>
                </c:pt>
                <c:pt idx="942">
                  <c:v>210.14930818478041</c:v>
                </c:pt>
                <c:pt idx="943">
                  <c:v>221.62071522029598</c:v>
                </c:pt>
                <c:pt idx="944">
                  <c:v>233.62639888428677</c:v>
                </c:pt>
                <c:pt idx="945">
                  <c:v>248.11063943231494</c:v>
                </c:pt>
                <c:pt idx="946">
                  <c:v>265.45979413496559</c:v>
                </c:pt>
                <c:pt idx="947">
                  <c:v>282.07480590123794</c:v>
                </c:pt>
                <c:pt idx="948">
                  <c:v>296.83748210942736</c:v>
                </c:pt>
                <c:pt idx="949">
                  <c:v>312.26315731687725</c:v>
                </c:pt>
                <c:pt idx="950">
                  <c:v>328.38016294289991</c:v>
                </c:pt>
                <c:pt idx="951">
                  <c:v>343.57095522595392</c:v>
                </c:pt>
                <c:pt idx="952">
                  <c:v>357.82880128708047</c:v>
                </c:pt>
                <c:pt idx="953">
                  <c:v>370.71297678392023</c:v>
                </c:pt>
                <c:pt idx="954">
                  <c:v>382.62824392965592</c:v>
                </c:pt>
                <c:pt idx="955">
                  <c:v>393.88554700547445</c:v>
                </c:pt>
                <c:pt idx="956">
                  <c:v>404.73912763423135</c:v>
                </c:pt>
                <c:pt idx="957">
                  <c:v>415.41468521876413</c:v>
                </c:pt>
                <c:pt idx="958">
                  <c:v>425.03620141552847</c:v>
                </c:pt>
                <c:pt idx="959">
                  <c:v>435.17061946945176</c:v>
                </c:pt>
                <c:pt idx="960">
                  <c:v>445.30503752337506</c:v>
                </c:pt>
                <c:pt idx="961">
                  <c:v>454.92655372013928</c:v>
                </c:pt>
                <c:pt idx="962">
                  <c:v>465.60211130467218</c:v>
                </c:pt>
                <c:pt idx="963">
                  <c:v>476.45569193342908</c:v>
                </c:pt>
                <c:pt idx="964">
                  <c:v>487.71299500924761</c:v>
                </c:pt>
                <c:pt idx="965">
                  <c:v>499.6282621549833</c:v>
                </c:pt>
                <c:pt idx="966">
                  <c:v>512.51243765182289</c:v>
                </c:pt>
                <c:pt idx="967">
                  <c:v>526.77028371294955</c:v>
                </c:pt>
                <c:pt idx="968">
                  <c:v>541.9610759960035</c:v>
                </c:pt>
                <c:pt idx="969">
                  <c:v>558.07808162202616</c:v>
                </c:pt>
                <c:pt idx="970">
                  <c:v>573.50375682947595</c:v>
                </c:pt>
                <c:pt idx="971">
                  <c:v>588.26643303766537</c:v>
                </c:pt>
                <c:pt idx="972">
                  <c:v>604.88144480393782</c:v>
                </c:pt>
                <c:pt idx="973">
                  <c:v>622.23059950658842</c:v>
                </c:pt>
                <c:pt idx="974">
                  <c:v>636.71484005461662</c:v>
                </c:pt>
                <c:pt idx="975">
                  <c:v>648.72052371860741</c:v>
                </c:pt>
                <c:pt idx="976">
                  <c:v>660.19193075412295</c:v>
                </c:pt>
                <c:pt idx="977">
                  <c:v>671.3637779762754</c:v>
                </c:pt>
                <c:pt idx="978">
                  <c:v>660.19193075412295</c:v>
                </c:pt>
                <c:pt idx="979">
                  <c:v>648.72052371860741</c:v>
                </c:pt>
                <c:pt idx="980">
                  <c:v>636.71484005461662</c:v>
                </c:pt>
                <c:pt idx="981">
                  <c:v>622.23059950658865</c:v>
                </c:pt>
                <c:pt idx="982">
                  <c:v>604.88144480393794</c:v>
                </c:pt>
                <c:pt idx="983">
                  <c:v>588.26643303766537</c:v>
                </c:pt>
                <c:pt idx="984">
                  <c:v>573.50375682947595</c:v>
                </c:pt>
                <c:pt idx="985">
                  <c:v>558.07808162202627</c:v>
                </c:pt>
                <c:pt idx="986">
                  <c:v>541.9610759960035</c:v>
                </c:pt>
                <c:pt idx="987">
                  <c:v>526.77028371294955</c:v>
                </c:pt>
                <c:pt idx="988">
                  <c:v>512.51243765182301</c:v>
                </c:pt>
                <c:pt idx="989">
                  <c:v>499.6282621549833</c:v>
                </c:pt>
                <c:pt idx="990">
                  <c:v>487.71299500924761</c:v>
                </c:pt>
                <c:pt idx="991">
                  <c:v>476.45569193342914</c:v>
                </c:pt>
                <c:pt idx="992">
                  <c:v>465.60211130467201</c:v>
                </c:pt>
                <c:pt idx="993">
                  <c:v>454.92655372013922</c:v>
                </c:pt>
                <c:pt idx="994">
                  <c:v>491.79487066502452</c:v>
                </c:pt>
                <c:pt idx="995">
                  <c:v>482.8483589934329</c:v>
                </c:pt>
                <c:pt idx="996">
                  <c:v>472.6893426326144</c:v>
                </c:pt>
                <c:pt idx="997">
                  <c:v>462.15682834697748</c:v>
                </c:pt>
                <c:pt idx="998">
                  <c:v>451.42474181815612</c:v>
                </c:pt>
                <c:pt idx="999">
                  <c:v>440.26811434677762</c:v>
                </c:pt>
                <c:pt idx="1000">
                  <c:v>428.43472361189083</c:v>
                </c:pt>
                <c:pt idx="1001">
                  <c:v>415.61558249261066</c:v>
                </c:pt>
                <c:pt idx="1002">
                  <c:v>401.40690623744024</c:v>
                </c:pt>
                <c:pt idx="1003">
                  <c:v>385.25124803829044</c:v>
                </c:pt>
                <c:pt idx="1004">
                  <c:v>368.05064860448294</c:v>
                </c:pt>
                <c:pt idx="1005">
                  <c:v>351.27018136478102</c:v>
                </c:pt>
                <c:pt idx="1006">
                  <c:v>333.53472833957642</c:v>
                </c:pt>
                <c:pt idx="1007">
                  <c:v>314.92405270382937</c:v>
                </c:pt>
                <c:pt idx="1008">
                  <c:v>298.09498450435171</c:v>
                </c:pt>
                <c:pt idx="1009">
                  <c:v>285.07135329681444</c:v>
                </c:pt>
                <c:pt idx="1010">
                  <c:v>273.60715479135558</c:v>
                </c:pt>
                <c:pt idx="1011">
                  <c:v>263.3217460589326</c:v>
                </c:pt>
                <c:pt idx="1012">
                  <c:v>253.79801206796245</c:v>
                </c:pt>
                <c:pt idx="1013">
                  <c:v>263.3217460589326</c:v>
                </c:pt>
                <c:pt idx="1014">
                  <c:v>273.60715479135558</c:v>
                </c:pt>
                <c:pt idx="1015">
                  <c:v>285.07135329681444</c:v>
                </c:pt>
                <c:pt idx="1016">
                  <c:v>298.094984504352</c:v>
                </c:pt>
                <c:pt idx="1017">
                  <c:v>314.92405270382937</c:v>
                </c:pt>
                <c:pt idx="1018">
                  <c:v>333.5347283395763</c:v>
                </c:pt>
                <c:pt idx="1019">
                  <c:v>351.27018136478097</c:v>
                </c:pt>
                <c:pt idx="1020">
                  <c:v>368.050648604483</c:v>
                </c:pt>
                <c:pt idx="1021">
                  <c:v>385.25124803829044</c:v>
                </c:pt>
                <c:pt idx="1022">
                  <c:v>401.40690623744035</c:v>
                </c:pt>
                <c:pt idx="1023">
                  <c:v>415.61558249261077</c:v>
                </c:pt>
                <c:pt idx="1024">
                  <c:v>428.434723611891</c:v>
                </c:pt>
                <c:pt idx="1025">
                  <c:v>440.26811434677768</c:v>
                </c:pt>
                <c:pt idx="1026">
                  <c:v>451.42474181815624</c:v>
                </c:pt>
                <c:pt idx="1027">
                  <c:v>462.15682834697759</c:v>
                </c:pt>
                <c:pt idx="1028">
                  <c:v>472.6893426326144</c:v>
                </c:pt>
                <c:pt idx="1029">
                  <c:v>482.84835899343307</c:v>
                </c:pt>
                <c:pt idx="1030">
                  <c:v>491.79487066502463</c:v>
                </c:pt>
                <c:pt idx="1031">
                  <c:v>500.7413823366162</c:v>
                </c:pt>
                <c:pt idx="1032">
                  <c:v>510.90039869743475</c:v>
                </c:pt>
                <c:pt idx="1033">
                  <c:v>521.43291298307167</c:v>
                </c:pt>
                <c:pt idx="1034">
                  <c:v>532.16499951189303</c:v>
                </c:pt>
                <c:pt idx="1035">
                  <c:v>543.32162698327147</c:v>
                </c:pt>
                <c:pt idx="1036">
                  <c:v>555.15501771815832</c:v>
                </c:pt>
                <c:pt idx="1037">
                  <c:v>567.97415883743838</c:v>
                </c:pt>
                <c:pt idx="1038">
                  <c:v>582.18283509260891</c:v>
                </c:pt>
                <c:pt idx="1039">
                  <c:v>598.33849329175871</c:v>
                </c:pt>
                <c:pt idx="1040">
                  <c:v>615.53909272556621</c:v>
                </c:pt>
                <c:pt idx="1041">
                  <c:v>632.31955996526813</c:v>
                </c:pt>
                <c:pt idx="1042">
                  <c:v>650.05501299047273</c:v>
                </c:pt>
                <c:pt idx="1043">
                  <c:v>668.66568862621978</c:v>
                </c:pt>
                <c:pt idx="1044">
                  <c:v>685.4947568256971</c:v>
                </c:pt>
                <c:pt idx="1045">
                  <c:v>698.5183880332346</c:v>
                </c:pt>
                <c:pt idx="1046">
                  <c:v>709.98258653869357</c:v>
                </c:pt>
                <c:pt idx="1047">
                  <c:v>720.26799527111655</c:v>
                </c:pt>
                <c:pt idx="1048">
                  <c:v>729.79172926208673</c:v>
                </c:pt>
                <c:pt idx="1049">
                  <c:v>720.26799527111655</c:v>
                </c:pt>
                <c:pt idx="1050">
                  <c:v>709.98258653869357</c:v>
                </c:pt>
                <c:pt idx="1051">
                  <c:v>698.51838803323471</c:v>
                </c:pt>
                <c:pt idx="1052">
                  <c:v>685.49475682569732</c:v>
                </c:pt>
                <c:pt idx="1053">
                  <c:v>668.66568862621978</c:v>
                </c:pt>
                <c:pt idx="1054">
                  <c:v>650.05501299047273</c:v>
                </c:pt>
                <c:pt idx="1055">
                  <c:v>632.31955996526813</c:v>
                </c:pt>
                <c:pt idx="1056">
                  <c:v>615.53909272556621</c:v>
                </c:pt>
                <c:pt idx="1057">
                  <c:v>598.3384932917586</c:v>
                </c:pt>
                <c:pt idx="1058">
                  <c:v>582.18283509260891</c:v>
                </c:pt>
                <c:pt idx="1059">
                  <c:v>567.97415883743838</c:v>
                </c:pt>
                <c:pt idx="1060">
                  <c:v>555.15501771815821</c:v>
                </c:pt>
                <c:pt idx="1061">
                  <c:v>543.32162698327147</c:v>
                </c:pt>
                <c:pt idx="1062">
                  <c:v>532.16499951189303</c:v>
                </c:pt>
                <c:pt idx="1063">
                  <c:v>521.43291298307156</c:v>
                </c:pt>
                <c:pt idx="1064">
                  <c:v>510.9003986974347</c:v>
                </c:pt>
                <c:pt idx="1065">
                  <c:v>548.41912186059722</c:v>
                </c:pt>
                <c:pt idx="1066">
                  <c:v>538.63546424849494</c:v>
                </c:pt>
                <c:pt idx="1067">
                  <c:v>529.90224669800114</c:v>
                </c:pt>
                <c:pt idx="1068">
                  <c:v>519.50876426921832</c:v>
                </c:pt>
                <c:pt idx="1069">
                  <c:v>508.88178928584455</c:v>
                </c:pt>
                <c:pt idx="1070">
                  <c:v>497.81842549466046</c:v>
                </c:pt>
                <c:pt idx="1071">
                  <c:v>486.0618241762765</c:v>
                </c:pt>
                <c:pt idx="1072">
                  <c:v>473.30464124269668</c:v>
                </c:pt>
                <c:pt idx="1073">
                  <c:v>459.14397944297104</c:v>
                </c:pt>
                <c:pt idx="1074">
                  <c:v>443.02245051818568</c:v>
                </c:pt>
                <c:pt idx="1075">
                  <c:v>425.1791452698676</c:v>
                </c:pt>
                <c:pt idx="1076">
                  <c:v>405.88383963987826</c:v>
                </c:pt>
                <c:pt idx="1077">
                  <c:v>385.80817155319568</c:v>
                </c:pt>
                <c:pt idx="1078">
                  <c:v>365.94070892770901</c:v>
                </c:pt>
                <c:pt idx="1079">
                  <c:v>350.58248119558738</c:v>
                </c:pt>
                <c:pt idx="1080">
                  <c:v>337.54775016899123</c:v>
                </c:pt>
                <c:pt idx="1081">
                  <c:v>326.79257803420739</c:v>
                </c:pt>
                <c:pt idx="1082">
                  <c:v>317.67839468738509</c:v>
                </c:pt>
                <c:pt idx="1083">
                  <c:v>309.33756706340512</c:v>
                </c:pt>
                <c:pt idx="1084">
                  <c:v>317.67839468738509</c:v>
                </c:pt>
                <c:pt idx="1085">
                  <c:v>326.79257803420739</c:v>
                </c:pt>
                <c:pt idx="1086">
                  <c:v>337.54775016899123</c:v>
                </c:pt>
                <c:pt idx="1087">
                  <c:v>350.58248119558755</c:v>
                </c:pt>
                <c:pt idx="1088">
                  <c:v>365.94070892770901</c:v>
                </c:pt>
                <c:pt idx="1089">
                  <c:v>385.80817155319562</c:v>
                </c:pt>
                <c:pt idx="1090">
                  <c:v>405.88383963987809</c:v>
                </c:pt>
                <c:pt idx="1091">
                  <c:v>425.17914526986777</c:v>
                </c:pt>
                <c:pt idx="1092">
                  <c:v>443.02245051818574</c:v>
                </c:pt>
                <c:pt idx="1093">
                  <c:v>459.1439794429711</c:v>
                </c:pt>
                <c:pt idx="1094">
                  <c:v>473.30464124269679</c:v>
                </c:pt>
                <c:pt idx="1095">
                  <c:v>486.06182417627673</c:v>
                </c:pt>
                <c:pt idx="1096">
                  <c:v>497.81842549466057</c:v>
                </c:pt>
                <c:pt idx="1097">
                  <c:v>508.88178928584466</c:v>
                </c:pt>
                <c:pt idx="1098">
                  <c:v>519.50876426921843</c:v>
                </c:pt>
                <c:pt idx="1099">
                  <c:v>529.90224669800114</c:v>
                </c:pt>
                <c:pt idx="1100">
                  <c:v>538.63546424849505</c:v>
                </c:pt>
                <c:pt idx="1101">
                  <c:v>548.41912186059733</c:v>
                </c:pt>
                <c:pt idx="1102">
                  <c:v>558.20277947269972</c:v>
                </c:pt>
                <c:pt idx="1103">
                  <c:v>566.93599702319352</c:v>
                </c:pt>
                <c:pt idx="1104">
                  <c:v>577.32947945197634</c:v>
                </c:pt>
                <c:pt idx="1105">
                  <c:v>587.95645443535011</c:v>
                </c:pt>
                <c:pt idx="1106">
                  <c:v>599.0198182265342</c:v>
                </c:pt>
                <c:pt idx="1107">
                  <c:v>610.77641954491799</c:v>
                </c:pt>
                <c:pt idx="1108">
                  <c:v>623.53360247849787</c:v>
                </c:pt>
                <c:pt idx="1109">
                  <c:v>637.69426427822373</c:v>
                </c:pt>
                <c:pt idx="1110">
                  <c:v>653.81579320300898</c:v>
                </c:pt>
                <c:pt idx="1111">
                  <c:v>671.65909845132694</c:v>
                </c:pt>
                <c:pt idx="1112">
                  <c:v>690.9544040813164</c:v>
                </c:pt>
                <c:pt idx="1113">
                  <c:v>711.03007216799892</c:v>
                </c:pt>
                <c:pt idx="1114">
                  <c:v>730.89753479348565</c:v>
                </c:pt>
                <c:pt idx="1115">
                  <c:v>746.25576252560722</c:v>
                </c:pt>
                <c:pt idx="1116">
                  <c:v>759.29049355220343</c:v>
                </c:pt>
                <c:pt idx="1117">
                  <c:v>770.04566568698726</c:v>
                </c:pt>
                <c:pt idx="1118">
                  <c:v>779.15984903380968</c:v>
                </c:pt>
                <c:pt idx="1119">
                  <c:v>787.50067665778954</c:v>
                </c:pt>
                <c:pt idx="1120">
                  <c:v>779.15984903380956</c:v>
                </c:pt>
                <c:pt idx="1121">
                  <c:v>770.04566568698738</c:v>
                </c:pt>
                <c:pt idx="1122">
                  <c:v>759.29049355220343</c:v>
                </c:pt>
                <c:pt idx="1123">
                  <c:v>746.25576252560734</c:v>
                </c:pt>
                <c:pt idx="1124">
                  <c:v>730.89753479348565</c:v>
                </c:pt>
                <c:pt idx="1125">
                  <c:v>711.03007216799892</c:v>
                </c:pt>
                <c:pt idx="1126">
                  <c:v>690.9544040813164</c:v>
                </c:pt>
                <c:pt idx="1127">
                  <c:v>671.65909845132694</c:v>
                </c:pt>
                <c:pt idx="1128">
                  <c:v>653.81579320300898</c:v>
                </c:pt>
                <c:pt idx="1129">
                  <c:v>637.69426427822361</c:v>
                </c:pt>
                <c:pt idx="1130">
                  <c:v>623.53360247849787</c:v>
                </c:pt>
                <c:pt idx="1131">
                  <c:v>610.7764195449181</c:v>
                </c:pt>
                <c:pt idx="1132">
                  <c:v>599.0198182265342</c:v>
                </c:pt>
                <c:pt idx="1133">
                  <c:v>587.95645443535011</c:v>
                </c:pt>
                <c:pt idx="1134">
                  <c:v>577.32947945197623</c:v>
                </c:pt>
                <c:pt idx="1135">
                  <c:v>566.93599702319341</c:v>
                </c:pt>
                <c:pt idx="1136">
                  <c:v>605.04337305617003</c:v>
                </c:pt>
                <c:pt idx="1137">
                  <c:v>595.40243355460109</c:v>
                </c:pt>
                <c:pt idx="1138">
                  <c:v>585.81593127203098</c:v>
                </c:pt>
                <c:pt idx="1139">
                  <c:v>575.81603922849683</c:v>
                </c:pt>
                <c:pt idx="1140">
                  <c:v>566.27101064172962</c:v>
                </c:pt>
                <c:pt idx="1141">
                  <c:v>555.28666683365861</c:v>
                </c:pt>
                <c:pt idx="1142">
                  <c:v>543.60230689522439</c:v>
                </c:pt>
                <c:pt idx="1143">
                  <c:v>530.9043368396317</c:v>
                </c:pt>
                <c:pt idx="1144">
                  <c:v>516.79065428707202</c:v>
                </c:pt>
                <c:pt idx="1145">
                  <c:v>501.75116202447896</c:v>
                </c:pt>
                <c:pt idx="1146">
                  <c:v>482.8788309299303</c:v>
                </c:pt>
                <c:pt idx="1147">
                  <c:v>460.60835707269831</c:v>
                </c:pt>
                <c:pt idx="1148">
                  <c:v>439.00175867420961</c:v>
                </c:pt>
                <c:pt idx="1149">
                  <c:v>418.98313167337994</c:v>
                </c:pt>
                <c:pt idx="1150">
                  <c:v>404.19540169913193</c:v>
                </c:pt>
                <c:pt idx="1151">
                  <c:v>391.72228418648785</c:v>
                </c:pt>
                <c:pt idx="1152">
                  <c:v>381.64424641997874</c:v>
                </c:pt>
                <c:pt idx="1153">
                  <c:v>373.31283666390783</c:v>
                </c:pt>
                <c:pt idx="1154">
                  <c:v>367.0105301944235</c:v>
                </c:pt>
                <c:pt idx="1155">
                  <c:v>373.31283666390777</c:v>
                </c:pt>
                <c:pt idx="1156">
                  <c:v>381.64424641997874</c:v>
                </c:pt>
                <c:pt idx="1157">
                  <c:v>391.72228418648785</c:v>
                </c:pt>
                <c:pt idx="1158">
                  <c:v>404.19540169913211</c:v>
                </c:pt>
                <c:pt idx="1159">
                  <c:v>418.98313167338011</c:v>
                </c:pt>
                <c:pt idx="1160">
                  <c:v>439.00175867420955</c:v>
                </c:pt>
                <c:pt idx="1161">
                  <c:v>460.60835707269837</c:v>
                </c:pt>
                <c:pt idx="1162">
                  <c:v>482.87883092993047</c:v>
                </c:pt>
                <c:pt idx="1163">
                  <c:v>501.75116202447902</c:v>
                </c:pt>
                <c:pt idx="1164">
                  <c:v>516.79065428707213</c:v>
                </c:pt>
                <c:pt idx="1165">
                  <c:v>530.9043368396317</c:v>
                </c:pt>
                <c:pt idx="1166">
                  <c:v>543.6023068952245</c:v>
                </c:pt>
                <c:pt idx="1167">
                  <c:v>555.28666683365873</c:v>
                </c:pt>
                <c:pt idx="1168">
                  <c:v>566.27101064172973</c:v>
                </c:pt>
                <c:pt idx="1169">
                  <c:v>575.81603922849695</c:v>
                </c:pt>
                <c:pt idx="1170">
                  <c:v>585.81593127203109</c:v>
                </c:pt>
                <c:pt idx="1171">
                  <c:v>595.4024335546012</c:v>
                </c:pt>
                <c:pt idx="1172">
                  <c:v>605.04337305617014</c:v>
                </c:pt>
                <c:pt idx="1173">
                  <c:v>614.68431255773919</c:v>
                </c:pt>
                <c:pt idx="1174">
                  <c:v>624.2708148403093</c:v>
                </c:pt>
                <c:pt idx="1175">
                  <c:v>634.27070688384345</c:v>
                </c:pt>
                <c:pt idx="1176">
                  <c:v>643.81573547061066</c:v>
                </c:pt>
                <c:pt idx="1177">
                  <c:v>654.80007927868155</c:v>
                </c:pt>
                <c:pt idx="1178">
                  <c:v>666.48443921711578</c:v>
                </c:pt>
                <c:pt idx="1179">
                  <c:v>679.18240927270858</c:v>
                </c:pt>
                <c:pt idx="1180">
                  <c:v>693.29609182526826</c:v>
                </c:pt>
                <c:pt idx="1181">
                  <c:v>708.33558408786132</c:v>
                </c:pt>
                <c:pt idx="1182">
                  <c:v>727.20791518240981</c:v>
                </c:pt>
                <c:pt idx="1183">
                  <c:v>749.47838903964191</c:v>
                </c:pt>
                <c:pt idx="1184">
                  <c:v>771.08498743813061</c:v>
                </c:pt>
                <c:pt idx="1185">
                  <c:v>791.10361443896022</c:v>
                </c:pt>
                <c:pt idx="1186">
                  <c:v>805.89134441320823</c:v>
                </c:pt>
                <c:pt idx="1187">
                  <c:v>818.36446192585242</c:v>
                </c:pt>
                <c:pt idx="1188">
                  <c:v>828.44249969236159</c:v>
                </c:pt>
                <c:pt idx="1189">
                  <c:v>836.77390944843251</c:v>
                </c:pt>
                <c:pt idx="1190">
                  <c:v>843.07621591791678</c:v>
                </c:pt>
                <c:pt idx="1191">
                  <c:v>836.77390944843251</c:v>
                </c:pt>
                <c:pt idx="1192">
                  <c:v>828.44249969236171</c:v>
                </c:pt>
                <c:pt idx="1193">
                  <c:v>818.36446192585242</c:v>
                </c:pt>
                <c:pt idx="1194">
                  <c:v>805.89134441320834</c:v>
                </c:pt>
                <c:pt idx="1195">
                  <c:v>791.10361443896034</c:v>
                </c:pt>
                <c:pt idx="1196">
                  <c:v>771.08498743813072</c:v>
                </c:pt>
                <c:pt idx="1197">
                  <c:v>749.47838903964191</c:v>
                </c:pt>
                <c:pt idx="1198">
                  <c:v>727.20791518240981</c:v>
                </c:pt>
                <c:pt idx="1199">
                  <c:v>708.33558408786121</c:v>
                </c:pt>
                <c:pt idx="1200">
                  <c:v>693.29609182526815</c:v>
                </c:pt>
                <c:pt idx="1201">
                  <c:v>679.18240927270858</c:v>
                </c:pt>
                <c:pt idx="1202">
                  <c:v>666.48443921711589</c:v>
                </c:pt>
                <c:pt idx="1203">
                  <c:v>654.80007927868166</c:v>
                </c:pt>
                <c:pt idx="1204">
                  <c:v>643.81573547061066</c:v>
                </c:pt>
                <c:pt idx="1205">
                  <c:v>634.27070688384345</c:v>
                </c:pt>
                <c:pt idx="1206">
                  <c:v>624.27081484030919</c:v>
                </c:pt>
                <c:pt idx="1207">
                  <c:v>661.66762425174284</c:v>
                </c:pt>
                <c:pt idx="1208">
                  <c:v>652.15497508901149</c:v>
                </c:pt>
                <c:pt idx="1209">
                  <c:v>642.67595108605724</c:v>
                </c:pt>
                <c:pt idx="1210">
                  <c:v>633.03397322168848</c:v>
                </c:pt>
                <c:pt idx="1211">
                  <c:v>622.61500652669633</c:v>
                </c:pt>
                <c:pt idx="1212">
                  <c:v>611.71622091639983</c:v>
                </c:pt>
                <c:pt idx="1213">
                  <c:v>601.06392848757025</c:v>
                </c:pt>
                <c:pt idx="1214">
                  <c:v>588.42265439624896</c:v>
                </c:pt>
                <c:pt idx="1215">
                  <c:v>575.39724816300179</c:v>
                </c:pt>
                <c:pt idx="1216">
                  <c:v>559.3473592715751</c:v>
                </c:pt>
                <c:pt idx="1217">
                  <c:v>540.49902907314208</c:v>
                </c:pt>
                <c:pt idx="1218">
                  <c:v>517.59504825673093</c:v>
                </c:pt>
                <c:pt idx="1219">
                  <c:v>493.92238967936817</c:v>
                </c:pt>
                <c:pt idx="1220">
                  <c:v>475.19811569553423</c:v>
                </c:pt>
                <c:pt idx="1221">
                  <c:v>459.85862290749731</c:v>
                </c:pt>
                <c:pt idx="1222">
                  <c:v>447.79436380817873</c:v>
                </c:pt>
                <c:pt idx="1223">
                  <c:v>438.21644990049379</c:v>
                </c:pt>
                <c:pt idx="1224">
                  <c:v>430.74957699918025</c:v>
                </c:pt>
                <c:pt idx="1225">
                  <c:v>425.92790353135297</c:v>
                </c:pt>
                <c:pt idx="1226">
                  <c:v>430.74957699918025</c:v>
                </c:pt>
                <c:pt idx="1227">
                  <c:v>438.21644990049379</c:v>
                </c:pt>
                <c:pt idx="1228">
                  <c:v>447.79436380817873</c:v>
                </c:pt>
                <c:pt idx="1229">
                  <c:v>459.85862290749753</c:v>
                </c:pt>
                <c:pt idx="1230">
                  <c:v>475.19811569553434</c:v>
                </c:pt>
                <c:pt idx="1231">
                  <c:v>493.92238967936817</c:v>
                </c:pt>
                <c:pt idx="1232">
                  <c:v>517.59504825673082</c:v>
                </c:pt>
                <c:pt idx="1233">
                  <c:v>540.49902907314231</c:v>
                </c:pt>
                <c:pt idx="1234">
                  <c:v>559.34735927157521</c:v>
                </c:pt>
                <c:pt idx="1235">
                  <c:v>575.3972481630019</c:v>
                </c:pt>
                <c:pt idx="1236">
                  <c:v>588.42265439624907</c:v>
                </c:pt>
                <c:pt idx="1237">
                  <c:v>601.06392848757048</c:v>
                </c:pt>
                <c:pt idx="1238">
                  <c:v>611.71622091639995</c:v>
                </c:pt>
                <c:pt idx="1239">
                  <c:v>622.61500652669645</c:v>
                </c:pt>
                <c:pt idx="1240">
                  <c:v>633.0339732216886</c:v>
                </c:pt>
                <c:pt idx="1241">
                  <c:v>642.67595108605724</c:v>
                </c:pt>
                <c:pt idx="1242">
                  <c:v>652.15497508901171</c:v>
                </c:pt>
                <c:pt idx="1243">
                  <c:v>661.66762425174295</c:v>
                </c:pt>
                <c:pt idx="1244">
                  <c:v>671.1802734144743</c:v>
                </c:pt>
                <c:pt idx="1245">
                  <c:v>680.65929741742866</c:v>
                </c:pt>
                <c:pt idx="1246">
                  <c:v>690.30127528179742</c:v>
                </c:pt>
                <c:pt idx="1247">
                  <c:v>700.72024197678957</c:v>
                </c:pt>
                <c:pt idx="1248">
                  <c:v>711.61902758708607</c:v>
                </c:pt>
                <c:pt idx="1249">
                  <c:v>722.27132001591553</c:v>
                </c:pt>
                <c:pt idx="1250">
                  <c:v>734.91259410723683</c:v>
                </c:pt>
                <c:pt idx="1251">
                  <c:v>747.93800034048411</c:v>
                </c:pt>
                <c:pt idx="1252">
                  <c:v>763.9878892319108</c:v>
                </c:pt>
                <c:pt idx="1253">
                  <c:v>782.83621943034359</c:v>
                </c:pt>
                <c:pt idx="1254">
                  <c:v>805.74020024675497</c:v>
                </c:pt>
                <c:pt idx="1255">
                  <c:v>829.41285882411773</c:v>
                </c:pt>
                <c:pt idx="1256">
                  <c:v>848.13713280795162</c:v>
                </c:pt>
                <c:pt idx="1257">
                  <c:v>863.47662559598848</c:v>
                </c:pt>
                <c:pt idx="1258">
                  <c:v>875.54088469530711</c:v>
                </c:pt>
                <c:pt idx="1259">
                  <c:v>885.11879860299223</c:v>
                </c:pt>
                <c:pt idx="1260">
                  <c:v>892.58567150430554</c:v>
                </c:pt>
                <c:pt idx="1261">
                  <c:v>897.40734497213293</c:v>
                </c:pt>
                <c:pt idx="1262">
                  <c:v>892.58567150430554</c:v>
                </c:pt>
                <c:pt idx="1263">
                  <c:v>885.11879860299223</c:v>
                </c:pt>
                <c:pt idx="1264">
                  <c:v>875.54088469530711</c:v>
                </c:pt>
                <c:pt idx="1265">
                  <c:v>863.47662559598859</c:v>
                </c:pt>
                <c:pt idx="1266">
                  <c:v>848.13713280795173</c:v>
                </c:pt>
                <c:pt idx="1267">
                  <c:v>829.41285882411762</c:v>
                </c:pt>
                <c:pt idx="1268">
                  <c:v>805.74020024675497</c:v>
                </c:pt>
                <c:pt idx="1269">
                  <c:v>782.8362194303437</c:v>
                </c:pt>
                <c:pt idx="1270">
                  <c:v>763.98788923191069</c:v>
                </c:pt>
                <c:pt idx="1271">
                  <c:v>747.938000340484</c:v>
                </c:pt>
                <c:pt idx="1272">
                  <c:v>734.91259410723683</c:v>
                </c:pt>
                <c:pt idx="1273">
                  <c:v>722.27132001591565</c:v>
                </c:pt>
                <c:pt idx="1274">
                  <c:v>711.61902758708607</c:v>
                </c:pt>
                <c:pt idx="1275">
                  <c:v>700.72024197678957</c:v>
                </c:pt>
                <c:pt idx="1276">
                  <c:v>690.3012752817973</c:v>
                </c:pt>
                <c:pt idx="1277">
                  <c:v>680.65929741742855</c:v>
                </c:pt>
                <c:pt idx="1278">
                  <c:v>718.29187544731565</c:v>
                </c:pt>
                <c:pt idx="1279">
                  <c:v>708.89453871380283</c:v>
                </c:pt>
                <c:pt idx="1280">
                  <c:v>699.512638759845</c:v>
                </c:pt>
                <c:pt idx="1281">
                  <c:v>689.9828835102345</c:v>
                </c:pt>
                <c:pt idx="1282">
                  <c:v>679.86666457469801</c:v>
                </c:pt>
                <c:pt idx="1283">
                  <c:v>669.04470960695369</c:v>
                </c:pt>
                <c:pt idx="1284">
                  <c:v>658.52380134026191</c:v>
                </c:pt>
                <c:pt idx="1285">
                  <c:v>646.90435287292951</c:v>
                </c:pt>
                <c:pt idx="1286">
                  <c:v>632.88355353710506</c:v>
                </c:pt>
                <c:pt idx="1287">
                  <c:v>616.86929201720056</c:v>
                </c:pt>
                <c:pt idx="1288">
                  <c:v>598.04665356262331</c:v>
                </c:pt>
                <c:pt idx="1289">
                  <c:v>575.1569492932382</c:v>
                </c:pt>
                <c:pt idx="1290">
                  <c:v>551.44580141088818</c:v>
                </c:pt>
                <c:pt idx="1291">
                  <c:v>532.84069306928347</c:v>
                </c:pt>
                <c:pt idx="1292">
                  <c:v>517.73016527979337</c:v>
                </c:pt>
                <c:pt idx="1293">
                  <c:v>505.94501400623346</c:v>
                </c:pt>
                <c:pt idx="1294">
                  <c:v>496.92181495861814</c:v>
                </c:pt>
                <c:pt idx="1295">
                  <c:v>489.99508362374627</c:v>
                </c:pt>
                <c:pt idx="1296">
                  <c:v>486.80262523129062</c:v>
                </c:pt>
                <c:pt idx="1297">
                  <c:v>489.99508362374627</c:v>
                </c:pt>
                <c:pt idx="1298">
                  <c:v>496.9218149586182</c:v>
                </c:pt>
                <c:pt idx="1299">
                  <c:v>505.94501400623346</c:v>
                </c:pt>
                <c:pt idx="1300">
                  <c:v>517.73016527979348</c:v>
                </c:pt>
                <c:pt idx="1301">
                  <c:v>532.84069306928359</c:v>
                </c:pt>
                <c:pt idx="1302">
                  <c:v>551.44580141088829</c:v>
                </c:pt>
                <c:pt idx="1303">
                  <c:v>575.15694929323809</c:v>
                </c:pt>
                <c:pt idx="1304">
                  <c:v>598.04665356262353</c:v>
                </c:pt>
                <c:pt idx="1305">
                  <c:v>616.86929201720068</c:v>
                </c:pt>
                <c:pt idx="1306">
                  <c:v>632.88355353710517</c:v>
                </c:pt>
                <c:pt idx="1307">
                  <c:v>646.90435287292962</c:v>
                </c:pt>
                <c:pt idx="1308">
                  <c:v>658.52380134026214</c:v>
                </c:pt>
                <c:pt idx="1309">
                  <c:v>669.0447096069538</c:v>
                </c:pt>
                <c:pt idx="1310">
                  <c:v>679.86666457469812</c:v>
                </c:pt>
                <c:pt idx="1311">
                  <c:v>689.98288351023473</c:v>
                </c:pt>
                <c:pt idx="1312">
                  <c:v>699.512638759845</c:v>
                </c:pt>
                <c:pt idx="1313">
                  <c:v>708.89453871380306</c:v>
                </c:pt>
                <c:pt idx="1314">
                  <c:v>718.29187544731576</c:v>
                </c:pt>
                <c:pt idx="1315">
                  <c:v>727.68921218082858</c:v>
                </c:pt>
                <c:pt idx="1316">
                  <c:v>737.07111213478663</c:v>
                </c:pt>
                <c:pt idx="1317">
                  <c:v>746.60086738439702</c:v>
                </c:pt>
                <c:pt idx="1318">
                  <c:v>756.71708631993351</c:v>
                </c:pt>
                <c:pt idx="1319">
                  <c:v>767.53904128767783</c:v>
                </c:pt>
                <c:pt idx="1320">
                  <c:v>778.05994955436938</c:v>
                </c:pt>
                <c:pt idx="1321">
                  <c:v>789.67939802170201</c:v>
                </c:pt>
                <c:pt idx="1322">
                  <c:v>803.70019735752658</c:v>
                </c:pt>
                <c:pt idx="1323">
                  <c:v>819.71445887743096</c:v>
                </c:pt>
                <c:pt idx="1324">
                  <c:v>838.53709733200799</c:v>
                </c:pt>
                <c:pt idx="1325">
                  <c:v>861.42680160139321</c:v>
                </c:pt>
                <c:pt idx="1326">
                  <c:v>885.13794948374334</c:v>
                </c:pt>
                <c:pt idx="1327">
                  <c:v>903.74305782534793</c:v>
                </c:pt>
                <c:pt idx="1328">
                  <c:v>918.85358561483804</c:v>
                </c:pt>
                <c:pt idx="1329">
                  <c:v>930.63873688839806</c:v>
                </c:pt>
                <c:pt idx="1330">
                  <c:v>939.66193593601338</c:v>
                </c:pt>
                <c:pt idx="1331">
                  <c:v>946.58866727088525</c:v>
                </c:pt>
                <c:pt idx="1332">
                  <c:v>949.78112566334084</c:v>
                </c:pt>
                <c:pt idx="1333">
                  <c:v>946.58866727088525</c:v>
                </c:pt>
                <c:pt idx="1334">
                  <c:v>939.66193593601338</c:v>
                </c:pt>
                <c:pt idx="1335">
                  <c:v>930.63873688839806</c:v>
                </c:pt>
                <c:pt idx="1336">
                  <c:v>918.85358561483804</c:v>
                </c:pt>
                <c:pt idx="1337">
                  <c:v>903.74305782534805</c:v>
                </c:pt>
                <c:pt idx="1338">
                  <c:v>885.13794948374323</c:v>
                </c:pt>
                <c:pt idx="1339">
                  <c:v>861.42680160139321</c:v>
                </c:pt>
                <c:pt idx="1340">
                  <c:v>838.5370973320081</c:v>
                </c:pt>
                <c:pt idx="1341">
                  <c:v>819.71445887743084</c:v>
                </c:pt>
                <c:pt idx="1342">
                  <c:v>803.70019735752646</c:v>
                </c:pt>
                <c:pt idx="1343">
                  <c:v>789.67939802170201</c:v>
                </c:pt>
                <c:pt idx="1344">
                  <c:v>778.0599495543695</c:v>
                </c:pt>
                <c:pt idx="1345">
                  <c:v>767.53904128767783</c:v>
                </c:pt>
                <c:pt idx="1346">
                  <c:v>756.71708631993351</c:v>
                </c:pt>
                <c:pt idx="1347">
                  <c:v>746.60086738439691</c:v>
                </c:pt>
                <c:pt idx="1348">
                  <c:v>737.07111213478652</c:v>
                </c:pt>
                <c:pt idx="1349">
                  <c:v>774.91612664288846</c:v>
                </c:pt>
                <c:pt idx="1350">
                  <c:v>765.62250709809052</c:v>
                </c:pt>
                <c:pt idx="1351">
                  <c:v>756.3284801043593</c:v>
                </c:pt>
                <c:pt idx="1352">
                  <c:v>746.8741960943737</c:v>
                </c:pt>
                <c:pt idx="1353">
                  <c:v>738.08779054570789</c:v>
                </c:pt>
                <c:pt idx="1354">
                  <c:v>727.34054455499222</c:v>
                </c:pt>
                <c:pt idx="1355">
                  <c:v>715.84911458756596</c:v>
                </c:pt>
                <c:pt idx="1356">
                  <c:v>703.31191997245708</c:v>
                </c:pt>
                <c:pt idx="1357">
                  <c:v>689.33231329655746</c:v>
                </c:pt>
                <c:pt idx="1358">
                  <c:v>674.32365860703499</c:v>
                </c:pt>
                <c:pt idx="1359">
                  <c:v>655.52805507561663</c:v>
                </c:pt>
                <c:pt idx="1360">
                  <c:v>633.13643898283328</c:v>
                </c:pt>
                <c:pt idx="1361">
                  <c:v>611.5435848534114</c:v>
                </c:pt>
                <c:pt idx="1362">
                  <c:v>592.13562871536271</c:v>
                </c:pt>
                <c:pt idx="1363">
                  <c:v>577.95204821583991</c:v>
                </c:pt>
                <c:pt idx="1364">
                  <c:v>566.52380001122242</c:v>
                </c:pt>
                <c:pt idx="1365">
                  <c:v>557.81588678573246</c:v>
                </c:pt>
                <c:pt idx="1366">
                  <c:v>551.7875997376924</c:v>
                </c:pt>
                <c:pt idx="1367">
                  <c:v>549.23821357814813</c:v>
                </c:pt>
                <c:pt idx="1368">
                  <c:v>551.7875997376924</c:v>
                </c:pt>
                <c:pt idx="1369">
                  <c:v>557.81588678573257</c:v>
                </c:pt>
                <c:pt idx="1370">
                  <c:v>566.52380001122242</c:v>
                </c:pt>
                <c:pt idx="1371">
                  <c:v>577.95204821584014</c:v>
                </c:pt>
                <c:pt idx="1372">
                  <c:v>592.13562871536283</c:v>
                </c:pt>
                <c:pt idx="1373">
                  <c:v>611.5435848534114</c:v>
                </c:pt>
                <c:pt idx="1374">
                  <c:v>633.13643898283328</c:v>
                </c:pt>
                <c:pt idx="1375">
                  <c:v>655.52805507561686</c:v>
                </c:pt>
                <c:pt idx="1376">
                  <c:v>674.3236586070351</c:v>
                </c:pt>
                <c:pt idx="1377">
                  <c:v>689.33231329655757</c:v>
                </c:pt>
                <c:pt idx="1378">
                  <c:v>703.3119199724573</c:v>
                </c:pt>
                <c:pt idx="1379">
                  <c:v>715.84911458756608</c:v>
                </c:pt>
                <c:pt idx="1380">
                  <c:v>727.34054455499233</c:v>
                </c:pt>
                <c:pt idx="1381">
                  <c:v>738.087790545708</c:v>
                </c:pt>
                <c:pt idx="1382">
                  <c:v>746.87419609437381</c:v>
                </c:pt>
                <c:pt idx="1383">
                  <c:v>756.3284801043593</c:v>
                </c:pt>
                <c:pt idx="1384">
                  <c:v>765.62250709809064</c:v>
                </c:pt>
                <c:pt idx="1385">
                  <c:v>774.91612664288857</c:v>
                </c:pt>
                <c:pt idx="1386">
                  <c:v>784.20974618768662</c:v>
                </c:pt>
                <c:pt idx="1387">
                  <c:v>793.50377318141784</c:v>
                </c:pt>
                <c:pt idx="1388">
                  <c:v>802.95805719140333</c:v>
                </c:pt>
                <c:pt idx="1389">
                  <c:v>811.74446274006914</c:v>
                </c:pt>
                <c:pt idx="1390">
                  <c:v>822.49170873078492</c:v>
                </c:pt>
                <c:pt idx="1391">
                  <c:v>833.98313869821118</c:v>
                </c:pt>
                <c:pt idx="1392">
                  <c:v>846.52033331331984</c:v>
                </c:pt>
                <c:pt idx="1393">
                  <c:v>860.49993998921968</c:v>
                </c:pt>
                <c:pt idx="1394">
                  <c:v>875.50859467874204</c:v>
                </c:pt>
                <c:pt idx="1395">
                  <c:v>894.30419821016039</c:v>
                </c:pt>
                <c:pt idx="1396">
                  <c:v>916.69581430294386</c:v>
                </c:pt>
                <c:pt idx="1397">
                  <c:v>938.28866843236574</c:v>
                </c:pt>
                <c:pt idx="1398">
                  <c:v>957.69662457041443</c:v>
                </c:pt>
                <c:pt idx="1399">
                  <c:v>971.88020506993712</c:v>
                </c:pt>
                <c:pt idx="1400">
                  <c:v>983.30845327455472</c:v>
                </c:pt>
                <c:pt idx="1401">
                  <c:v>992.0163665000448</c:v>
                </c:pt>
                <c:pt idx="1402">
                  <c:v>998.04465354808474</c:v>
                </c:pt>
                <c:pt idx="1403">
                  <c:v>1000.594039707629</c:v>
                </c:pt>
                <c:pt idx="1404">
                  <c:v>998.04465354808474</c:v>
                </c:pt>
                <c:pt idx="1405">
                  <c:v>992.0163665000448</c:v>
                </c:pt>
                <c:pt idx="1406">
                  <c:v>983.30845327455472</c:v>
                </c:pt>
                <c:pt idx="1407">
                  <c:v>971.88020506993712</c:v>
                </c:pt>
                <c:pt idx="1408">
                  <c:v>957.69662457041443</c:v>
                </c:pt>
                <c:pt idx="1409">
                  <c:v>938.28866843236574</c:v>
                </c:pt>
                <c:pt idx="1410">
                  <c:v>916.69581430294386</c:v>
                </c:pt>
                <c:pt idx="1411">
                  <c:v>894.30419821016039</c:v>
                </c:pt>
                <c:pt idx="1412">
                  <c:v>875.50859467874204</c:v>
                </c:pt>
                <c:pt idx="1413">
                  <c:v>860.49993998921957</c:v>
                </c:pt>
                <c:pt idx="1414">
                  <c:v>846.52033331331995</c:v>
                </c:pt>
                <c:pt idx="1415">
                  <c:v>833.98313869821118</c:v>
                </c:pt>
                <c:pt idx="1416">
                  <c:v>822.49170873078492</c:v>
                </c:pt>
                <c:pt idx="1417">
                  <c:v>811.74446274006925</c:v>
                </c:pt>
                <c:pt idx="1418">
                  <c:v>802.95805719140333</c:v>
                </c:pt>
                <c:pt idx="1419">
                  <c:v>793.50377318141784</c:v>
                </c:pt>
                <c:pt idx="1420">
                  <c:v>831.54037783846127</c:v>
                </c:pt>
                <c:pt idx="1421">
                  <c:v>822.3401655080944</c:v>
                </c:pt>
                <c:pt idx="1422">
                  <c:v>814.13598669868759</c:v>
                </c:pt>
                <c:pt idx="1423">
                  <c:v>804.75340937029011</c:v>
                </c:pt>
                <c:pt idx="1424">
                  <c:v>795.03203762258306</c:v>
                </c:pt>
                <c:pt idx="1425">
                  <c:v>784.54833902537962</c:v>
                </c:pt>
                <c:pt idx="1426">
                  <c:v>773.11525295955585</c:v>
                </c:pt>
                <c:pt idx="1427">
                  <c:v>760.62888211598533</c:v>
                </c:pt>
                <c:pt idx="1428">
                  <c:v>746.68964065404964</c:v>
                </c:pt>
                <c:pt idx="1429">
                  <c:v>730.74573234110858</c:v>
                </c:pt>
                <c:pt idx="1430">
                  <c:v>712.94903874954025</c:v>
                </c:pt>
                <c:pt idx="1431">
                  <c:v>693.67862238422606</c:v>
                </c:pt>
                <c:pt idx="1432">
                  <c:v>673.85710599182039</c:v>
                </c:pt>
                <c:pt idx="1433">
                  <c:v>654.89687759961441</c:v>
                </c:pt>
                <c:pt idx="1434">
                  <c:v>640.82398863429125</c:v>
                </c:pt>
                <c:pt idx="1435">
                  <c:v>629.57314931450037</c:v>
                </c:pt>
                <c:pt idx="1436">
                  <c:v>621.01220397374675</c:v>
                </c:pt>
                <c:pt idx="1437">
                  <c:v>615.70639642896322</c:v>
                </c:pt>
                <c:pt idx="1438">
                  <c:v>613.73721647924197</c:v>
                </c:pt>
                <c:pt idx="1439">
                  <c:v>615.70639642896322</c:v>
                </c:pt>
                <c:pt idx="1440">
                  <c:v>621.01220397374675</c:v>
                </c:pt>
                <c:pt idx="1441">
                  <c:v>629.57314931450037</c:v>
                </c:pt>
                <c:pt idx="1442">
                  <c:v>640.8239886342916</c:v>
                </c:pt>
                <c:pt idx="1443">
                  <c:v>654.89687759961453</c:v>
                </c:pt>
                <c:pt idx="1444">
                  <c:v>673.85710599182039</c:v>
                </c:pt>
                <c:pt idx="1445">
                  <c:v>693.67862238422595</c:v>
                </c:pt>
                <c:pt idx="1446">
                  <c:v>712.94903874954059</c:v>
                </c:pt>
                <c:pt idx="1447">
                  <c:v>730.74573234110858</c:v>
                </c:pt>
                <c:pt idx="1448">
                  <c:v>746.68964065404975</c:v>
                </c:pt>
                <c:pt idx="1449">
                  <c:v>760.62888211598533</c:v>
                </c:pt>
                <c:pt idx="1450">
                  <c:v>773.11525295955607</c:v>
                </c:pt>
                <c:pt idx="1451">
                  <c:v>784.54833902537973</c:v>
                </c:pt>
                <c:pt idx="1452">
                  <c:v>795.03203762258318</c:v>
                </c:pt>
                <c:pt idx="1453">
                  <c:v>804.75340937029023</c:v>
                </c:pt>
                <c:pt idx="1454">
                  <c:v>814.13598669868759</c:v>
                </c:pt>
                <c:pt idx="1455">
                  <c:v>822.34016550809463</c:v>
                </c:pt>
                <c:pt idx="1456">
                  <c:v>831.54037783846138</c:v>
                </c:pt>
                <c:pt idx="1457">
                  <c:v>840.74059016882825</c:v>
                </c:pt>
                <c:pt idx="1458">
                  <c:v>848.94476897823517</c:v>
                </c:pt>
                <c:pt idx="1459">
                  <c:v>858.32734630663265</c:v>
                </c:pt>
                <c:pt idx="1460">
                  <c:v>868.04871805433982</c:v>
                </c:pt>
                <c:pt idx="1461">
                  <c:v>878.53241665154314</c:v>
                </c:pt>
                <c:pt idx="1462">
                  <c:v>889.9655027173668</c:v>
                </c:pt>
                <c:pt idx="1463">
                  <c:v>902.45187356093732</c:v>
                </c:pt>
                <c:pt idx="1464">
                  <c:v>916.39111502287301</c:v>
                </c:pt>
                <c:pt idx="1465">
                  <c:v>932.33502333581418</c:v>
                </c:pt>
                <c:pt idx="1466">
                  <c:v>950.13171692738229</c:v>
                </c:pt>
                <c:pt idx="1467">
                  <c:v>969.4021332926967</c:v>
                </c:pt>
                <c:pt idx="1468">
                  <c:v>989.22364968510237</c:v>
                </c:pt>
                <c:pt idx="1469">
                  <c:v>1008.1838780773082</c:v>
                </c:pt>
                <c:pt idx="1470">
                  <c:v>1022.2567670426313</c:v>
                </c:pt>
                <c:pt idx="1471">
                  <c:v>1033.5076063624224</c:v>
                </c:pt>
                <c:pt idx="1472">
                  <c:v>1042.0685517031761</c:v>
                </c:pt>
                <c:pt idx="1473">
                  <c:v>1047.3743592479595</c:v>
                </c:pt>
                <c:pt idx="1474">
                  <c:v>1049.3435391976809</c:v>
                </c:pt>
                <c:pt idx="1475">
                  <c:v>1047.3743592479595</c:v>
                </c:pt>
                <c:pt idx="1476">
                  <c:v>1042.0685517031761</c:v>
                </c:pt>
                <c:pt idx="1477">
                  <c:v>1033.5076063624224</c:v>
                </c:pt>
                <c:pt idx="1478">
                  <c:v>1022.2567670426314</c:v>
                </c:pt>
                <c:pt idx="1479">
                  <c:v>1008.1838780773083</c:v>
                </c:pt>
                <c:pt idx="1480">
                  <c:v>989.22364968510226</c:v>
                </c:pt>
                <c:pt idx="1481">
                  <c:v>969.40213329269659</c:v>
                </c:pt>
                <c:pt idx="1482">
                  <c:v>950.13171692738229</c:v>
                </c:pt>
                <c:pt idx="1483">
                  <c:v>932.33502333581418</c:v>
                </c:pt>
                <c:pt idx="1484">
                  <c:v>916.39111502287301</c:v>
                </c:pt>
                <c:pt idx="1485">
                  <c:v>902.45187356093743</c:v>
                </c:pt>
                <c:pt idx="1486">
                  <c:v>889.96550271736692</c:v>
                </c:pt>
                <c:pt idx="1487">
                  <c:v>878.53241665154314</c:v>
                </c:pt>
                <c:pt idx="1488">
                  <c:v>868.04871805433982</c:v>
                </c:pt>
                <c:pt idx="1489">
                  <c:v>858.32734630663253</c:v>
                </c:pt>
                <c:pt idx="1490">
                  <c:v>848.94476897823506</c:v>
                </c:pt>
                <c:pt idx="1491">
                  <c:v>888.16462903403408</c:v>
                </c:pt>
                <c:pt idx="1492">
                  <c:v>880.05523115509675</c:v>
                </c:pt>
                <c:pt idx="1493">
                  <c:v>870.91613014694337</c:v>
                </c:pt>
                <c:pt idx="1494">
                  <c:v>861.59623013245573</c:v>
                </c:pt>
                <c:pt idx="1495">
                  <c:v>851.93005803041842</c:v>
                </c:pt>
                <c:pt idx="1496">
                  <c:v>841.70616092501518</c:v>
                </c:pt>
                <c:pt idx="1497">
                  <c:v>830.3282066256811</c:v>
                </c:pt>
                <c:pt idx="1498">
                  <c:v>817.89043882108342</c:v>
                </c:pt>
                <c:pt idx="1499">
                  <c:v>803.99367785466268</c:v>
                </c:pt>
                <c:pt idx="1500">
                  <c:v>788.08070192528442</c:v>
                </c:pt>
                <c:pt idx="1501">
                  <c:v>771.19129537235074</c:v>
                </c:pt>
                <c:pt idx="1502">
                  <c:v>754.65616107641245</c:v>
                </c:pt>
                <c:pt idx="1503">
                  <c:v>737.59622295082067</c:v>
                </c:pt>
                <c:pt idx="1504">
                  <c:v>720.48376949759222</c:v>
                </c:pt>
                <c:pt idx="1505">
                  <c:v>705.82491528897594</c:v>
                </c:pt>
                <c:pt idx="1506">
                  <c:v>695.1598355807206</c:v>
                </c:pt>
                <c:pt idx="1507">
                  <c:v>687.20758750800212</c:v>
                </c:pt>
                <c:pt idx="1508">
                  <c:v>682.24073560489842</c:v>
                </c:pt>
                <c:pt idx="1509">
                  <c:v>680.50323905749428</c:v>
                </c:pt>
                <c:pt idx="1510">
                  <c:v>682.24073560489842</c:v>
                </c:pt>
                <c:pt idx="1511">
                  <c:v>687.20758750800223</c:v>
                </c:pt>
                <c:pt idx="1512">
                  <c:v>695.1598355807206</c:v>
                </c:pt>
                <c:pt idx="1513">
                  <c:v>705.82491528897629</c:v>
                </c:pt>
                <c:pt idx="1514">
                  <c:v>720.48376949759222</c:v>
                </c:pt>
                <c:pt idx="1515">
                  <c:v>737.59622295082067</c:v>
                </c:pt>
                <c:pt idx="1516">
                  <c:v>754.65616107641245</c:v>
                </c:pt>
                <c:pt idx="1517">
                  <c:v>771.19129537235096</c:v>
                </c:pt>
                <c:pt idx="1518">
                  <c:v>788.08070192528453</c:v>
                </c:pt>
                <c:pt idx="1519">
                  <c:v>803.99367785466268</c:v>
                </c:pt>
                <c:pt idx="1520">
                  <c:v>817.89043882108365</c:v>
                </c:pt>
                <c:pt idx="1521">
                  <c:v>830.32820662568122</c:v>
                </c:pt>
                <c:pt idx="1522">
                  <c:v>841.7061609250153</c:v>
                </c:pt>
                <c:pt idx="1523">
                  <c:v>851.93005803041854</c:v>
                </c:pt>
                <c:pt idx="1524">
                  <c:v>861.59623013245584</c:v>
                </c:pt>
                <c:pt idx="1525">
                  <c:v>870.91613014694337</c:v>
                </c:pt>
                <c:pt idx="1526">
                  <c:v>880.05523115509698</c:v>
                </c:pt>
                <c:pt idx="1527">
                  <c:v>888.16462903403419</c:v>
                </c:pt>
                <c:pt idx="1528">
                  <c:v>896.27402691297152</c:v>
                </c:pt>
                <c:pt idx="1529">
                  <c:v>905.41312792112501</c:v>
                </c:pt>
                <c:pt idx="1530">
                  <c:v>914.73302793561265</c:v>
                </c:pt>
                <c:pt idx="1531">
                  <c:v>924.39920003764996</c:v>
                </c:pt>
                <c:pt idx="1532">
                  <c:v>934.6230971430532</c:v>
                </c:pt>
                <c:pt idx="1533">
                  <c:v>946.00105144238728</c:v>
                </c:pt>
                <c:pt idx="1534">
                  <c:v>958.43881924698485</c:v>
                </c:pt>
                <c:pt idx="1535">
                  <c:v>972.33558021340582</c:v>
                </c:pt>
                <c:pt idx="1536">
                  <c:v>988.24855614278385</c:v>
                </c:pt>
                <c:pt idx="1537">
                  <c:v>1005.1379626957175</c:v>
                </c:pt>
                <c:pt idx="1538">
                  <c:v>1021.6730969916559</c:v>
                </c:pt>
                <c:pt idx="1539">
                  <c:v>1038.7330351172477</c:v>
                </c:pt>
                <c:pt idx="1540">
                  <c:v>1055.8454885704762</c:v>
                </c:pt>
                <c:pt idx="1541">
                  <c:v>1070.5043427790922</c:v>
                </c:pt>
                <c:pt idx="1542">
                  <c:v>1081.1694224873477</c:v>
                </c:pt>
                <c:pt idx="1543">
                  <c:v>1089.1216705600661</c:v>
                </c:pt>
                <c:pt idx="1544">
                  <c:v>1094.08852246317</c:v>
                </c:pt>
                <c:pt idx="1545">
                  <c:v>1095.8260190105741</c:v>
                </c:pt>
                <c:pt idx="1546">
                  <c:v>1094.08852246317</c:v>
                </c:pt>
                <c:pt idx="1547">
                  <c:v>1089.1216705600664</c:v>
                </c:pt>
                <c:pt idx="1548">
                  <c:v>1081.1694224873477</c:v>
                </c:pt>
                <c:pt idx="1549">
                  <c:v>1070.5043427790922</c:v>
                </c:pt>
                <c:pt idx="1550">
                  <c:v>1055.8454885704762</c:v>
                </c:pt>
                <c:pt idx="1551">
                  <c:v>1038.7330351172477</c:v>
                </c:pt>
                <c:pt idx="1552">
                  <c:v>1021.6730969916559</c:v>
                </c:pt>
                <c:pt idx="1553">
                  <c:v>1005.1379626957175</c:v>
                </c:pt>
                <c:pt idx="1554">
                  <c:v>988.24855614278385</c:v>
                </c:pt>
                <c:pt idx="1555">
                  <c:v>972.33558021340571</c:v>
                </c:pt>
                <c:pt idx="1556">
                  <c:v>958.43881924698485</c:v>
                </c:pt>
                <c:pt idx="1557">
                  <c:v>946.00105144238728</c:v>
                </c:pt>
                <c:pt idx="1558">
                  <c:v>934.6230971430532</c:v>
                </c:pt>
                <c:pt idx="1559">
                  <c:v>924.39920003764996</c:v>
                </c:pt>
                <c:pt idx="1560">
                  <c:v>914.73302793561254</c:v>
                </c:pt>
                <c:pt idx="1561">
                  <c:v>905.4131279211249</c:v>
                </c:pt>
                <c:pt idx="1562">
                  <c:v>944.78888022960678</c:v>
                </c:pt>
                <c:pt idx="1563">
                  <c:v>935.755414069425</c:v>
                </c:pt>
                <c:pt idx="1564">
                  <c:v>926.68454436743491</c:v>
                </c:pt>
                <c:pt idx="1565">
                  <c:v>917.42444256734814</c:v>
                </c:pt>
                <c:pt idx="1566">
                  <c:v>908.80398873502213</c:v>
                </c:pt>
                <c:pt idx="1567">
                  <c:v>898.64770929736005</c:v>
                </c:pt>
                <c:pt idx="1568">
                  <c:v>887.49336694981434</c:v>
                </c:pt>
                <c:pt idx="1569">
                  <c:v>875.10206027135337</c:v>
                </c:pt>
                <c:pt idx="1570">
                  <c:v>861.24646696047751</c:v>
                </c:pt>
                <c:pt idx="1571">
                  <c:v>846.56119652713119</c:v>
                </c:pt>
                <c:pt idx="1572">
                  <c:v>831.15817598417709</c:v>
                </c:pt>
                <c:pt idx="1573">
                  <c:v>816.56481106256069</c:v>
                </c:pt>
                <c:pt idx="1574">
                  <c:v>802.98520483463926</c:v>
                </c:pt>
                <c:pt idx="1575">
                  <c:v>788.5293999430769</c:v>
                </c:pt>
                <c:pt idx="1576">
                  <c:v>774.21137558597934</c:v>
                </c:pt>
                <c:pt idx="1577">
                  <c:v>763.53656185296541</c:v>
                </c:pt>
                <c:pt idx="1578">
                  <c:v>755.87081972383203</c:v>
                </c:pt>
                <c:pt idx="1579">
                  <c:v>751.31625491061868</c:v>
                </c:pt>
                <c:pt idx="1580">
                  <c:v>749.71208482567226</c:v>
                </c:pt>
                <c:pt idx="1581">
                  <c:v>751.31625491061868</c:v>
                </c:pt>
                <c:pt idx="1582">
                  <c:v>755.87081972383191</c:v>
                </c:pt>
                <c:pt idx="1583">
                  <c:v>763.53656185296518</c:v>
                </c:pt>
                <c:pt idx="1584">
                  <c:v>774.21137558597957</c:v>
                </c:pt>
                <c:pt idx="1585">
                  <c:v>788.52939994307701</c:v>
                </c:pt>
                <c:pt idx="1586">
                  <c:v>802.98520483463938</c:v>
                </c:pt>
                <c:pt idx="1587">
                  <c:v>816.56481106256069</c:v>
                </c:pt>
                <c:pt idx="1588">
                  <c:v>831.15817598417732</c:v>
                </c:pt>
                <c:pt idx="1589">
                  <c:v>846.5611965271313</c:v>
                </c:pt>
                <c:pt idx="1590">
                  <c:v>861.24646696047762</c:v>
                </c:pt>
                <c:pt idx="1591">
                  <c:v>875.10206027135348</c:v>
                </c:pt>
                <c:pt idx="1592">
                  <c:v>887.49336694981446</c:v>
                </c:pt>
                <c:pt idx="1593">
                  <c:v>898.64770929736005</c:v>
                </c:pt>
                <c:pt idx="1594">
                  <c:v>908.80398873502224</c:v>
                </c:pt>
                <c:pt idx="1595">
                  <c:v>917.42444256734814</c:v>
                </c:pt>
                <c:pt idx="1596">
                  <c:v>926.68454436743491</c:v>
                </c:pt>
                <c:pt idx="1597">
                  <c:v>935.75541406942511</c:v>
                </c:pt>
                <c:pt idx="1598">
                  <c:v>944.78888022960689</c:v>
                </c:pt>
                <c:pt idx="1599">
                  <c:v>953.82234638978878</c:v>
                </c:pt>
                <c:pt idx="1600">
                  <c:v>962.89321609177887</c:v>
                </c:pt>
                <c:pt idx="1601">
                  <c:v>972.15331789186564</c:v>
                </c:pt>
                <c:pt idx="1602">
                  <c:v>980.77377172419165</c:v>
                </c:pt>
                <c:pt idx="1603">
                  <c:v>990.93005116185373</c:v>
                </c:pt>
                <c:pt idx="1604">
                  <c:v>1002.0843935093994</c:v>
                </c:pt>
                <c:pt idx="1605">
                  <c:v>1014.4757001878603</c:v>
                </c:pt>
                <c:pt idx="1606">
                  <c:v>1028.3312934987364</c:v>
                </c:pt>
                <c:pt idx="1607">
                  <c:v>1043.0165639320826</c:v>
                </c:pt>
                <c:pt idx="1608">
                  <c:v>1058.4195844750366</c:v>
                </c:pt>
                <c:pt idx="1609">
                  <c:v>1073.0129493966531</c:v>
                </c:pt>
                <c:pt idx="1610">
                  <c:v>1086.5925556245743</c:v>
                </c:pt>
                <c:pt idx="1611">
                  <c:v>1101.0483605161369</c:v>
                </c:pt>
                <c:pt idx="1612">
                  <c:v>1115.3663848732342</c:v>
                </c:pt>
                <c:pt idx="1613">
                  <c:v>1126.0411986062484</c:v>
                </c:pt>
                <c:pt idx="1614">
                  <c:v>1133.706940735382</c:v>
                </c:pt>
                <c:pt idx="1615">
                  <c:v>1138.2615055485951</c:v>
                </c:pt>
                <c:pt idx="1616">
                  <c:v>1139.8656756335415</c:v>
                </c:pt>
                <c:pt idx="1617">
                  <c:v>1138.2615055485951</c:v>
                </c:pt>
                <c:pt idx="1618">
                  <c:v>1133.706940735382</c:v>
                </c:pt>
                <c:pt idx="1619">
                  <c:v>1126.0411986062486</c:v>
                </c:pt>
                <c:pt idx="1620">
                  <c:v>1115.3663848732344</c:v>
                </c:pt>
                <c:pt idx="1621">
                  <c:v>1101.0483605161369</c:v>
                </c:pt>
                <c:pt idx="1622">
                  <c:v>1086.5925556245743</c:v>
                </c:pt>
                <c:pt idx="1623">
                  <c:v>1073.0129493966529</c:v>
                </c:pt>
                <c:pt idx="1624">
                  <c:v>1058.4195844750366</c:v>
                </c:pt>
                <c:pt idx="1625">
                  <c:v>1043.0165639320824</c:v>
                </c:pt>
                <c:pt idx="1626">
                  <c:v>1028.3312934987362</c:v>
                </c:pt>
                <c:pt idx="1627">
                  <c:v>1014.4757001878604</c:v>
                </c:pt>
                <c:pt idx="1628">
                  <c:v>1002.0843935093994</c:v>
                </c:pt>
                <c:pt idx="1629">
                  <c:v>990.93005116185373</c:v>
                </c:pt>
                <c:pt idx="1630">
                  <c:v>980.77377172419165</c:v>
                </c:pt>
                <c:pt idx="1631">
                  <c:v>972.15331789186564</c:v>
                </c:pt>
                <c:pt idx="1632">
                  <c:v>962.89321609177875</c:v>
                </c:pt>
                <c:pt idx="1633">
                  <c:v>1001.4131314251796</c:v>
                </c:pt>
                <c:pt idx="1634">
                  <c:v>992.44811946124071</c:v>
                </c:pt>
                <c:pt idx="1635">
                  <c:v>983.43675712602715</c:v>
                </c:pt>
                <c:pt idx="1636">
                  <c:v>974.22914986420847</c:v>
                </c:pt>
                <c:pt idx="1637">
                  <c:v>964.66289357684491</c:v>
                </c:pt>
                <c:pt idx="1638">
                  <c:v>954.55080054549251</c:v>
                </c:pt>
                <c:pt idx="1639">
                  <c:v>944.61556329680593</c:v>
                </c:pt>
                <c:pt idx="1640">
                  <c:v>932.26865263122772</c:v>
                </c:pt>
                <c:pt idx="1641">
                  <c:v>919.48920019060336</c:v>
                </c:pt>
                <c:pt idx="1642">
                  <c:v>905.75549981063944</c:v>
                </c:pt>
                <c:pt idx="1643">
                  <c:v>893.16643991615956</c:v>
                </c:pt>
                <c:pt idx="1644">
                  <c:v>881.23602621423743</c:v>
                </c:pt>
                <c:pt idx="1645">
                  <c:v>869.56120860325586</c:v>
                </c:pt>
                <c:pt idx="1646">
                  <c:v>857.68437827430898</c:v>
                </c:pt>
                <c:pt idx="1647">
                  <c:v>846.10243566804138</c:v>
                </c:pt>
                <c:pt idx="1648">
                  <c:v>834.77005845468125</c:v>
                </c:pt>
                <c:pt idx="1649">
                  <c:v>826.95746106608544</c:v>
                </c:pt>
                <c:pt idx="1650">
                  <c:v>823.06331488671594</c:v>
                </c:pt>
                <c:pt idx="1651">
                  <c:v>821.51458541100055</c:v>
                </c:pt>
                <c:pt idx="1652">
                  <c:v>823.06331488671594</c:v>
                </c:pt>
                <c:pt idx="1653">
                  <c:v>826.95746106608544</c:v>
                </c:pt>
                <c:pt idx="1654">
                  <c:v>834.77005845468125</c:v>
                </c:pt>
                <c:pt idx="1655">
                  <c:v>846.10243566804149</c:v>
                </c:pt>
                <c:pt idx="1656">
                  <c:v>857.6843782743091</c:v>
                </c:pt>
                <c:pt idx="1657">
                  <c:v>869.56120860325586</c:v>
                </c:pt>
                <c:pt idx="1658">
                  <c:v>881.23602621423754</c:v>
                </c:pt>
                <c:pt idx="1659">
                  <c:v>893.16643991615979</c:v>
                </c:pt>
                <c:pt idx="1660">
                  <c:v>905.75549981063955</c:v>
                </c:pt>
                <c:pt idx="1661">
                  <c:v>919.48920019060347</c:v>
                </c:pt>
                <c:pt idx="1662">
                  <c:v>932.26865263122784</c:v>
                </c:pt>
                <c:pt idx="1663">
                  <c:v>944.61556329680604</c:v>
                </c:pt>
                <c:pt idx="1664">
                  <c:v>954.55080054549262</c:v>
                </c:pt>
                <c:pt idx="1665">
                  <c:v>964.66289357684491</c:v>
                </c:pt>
                <c:pt idx="1666">
                  <c:v>974.22914986420858</c:v>
                </c:pt>
                <c:pt idx="1667">
                  <c:v>983.43675712602715</c:v>
                </c:pt>
                <c:pt idx="1668">
                  <c:v>992.44811946124082</c:v>
                </c:pt>
                <c:pt idx="1669">
                  <c:v>1001.4131314251797</c:v>
                </c:pt>
                <c:pt idx="1670">
                  <c:v>1010.3781433891186</c:v>
                </c:pt>
                <c:pt idx="1671">
                  <c:v>1019.3895057243323</c:v>
                </c:pt>
                <c:pt idx="1672">
                  <c:v>1028.5971129861509</c:v>
                </c:pt>
                <c:pt idx="1673">
                  <c:v>1038.1633692735145</c:v>
                </c:pt>
                <c:pt idx="1674">
                  <c:v>1048.2754623048668</c:v>
                </c:pt>
                <c:pt idx="1675">
                  <c:v>1058.2106995535535</c:v>
                </c:pt>
                <c:pt idx="1676">
                  <c:v>1070.5576102191317</c:v>
                </c:pt>
                <c:pt idx="1677">
                  <c:v>1083.3370626597559</c:v>
                </c:pt>
                <c:pt idx="1678">
                  <c:v>1097.0707630397198</c:v>
                </c:pt>
                <c:pt idx="1679">
                  <c:v>1109.6598229341996</c:v>
                </c:pt>
                <c:pt idx="1680">
                  <c:v>1121.590236636122</c:v>
                </c:pt>
                <c:pt idx="1681">
                  <c:v>1133.2650542471035</c:v>
                </c:pt>
                <c:pt idx="1682">
                  <c:v>1145.1418845760504</c:v>
                </c:pt>
                <c:pt idx="1683">
                  <c:v>1156.723827182318</c:v>
                </c:pt>
                <c:pt idx="1684">
                  <c:v>1168.0562043956779</c:v>
                </c:pt>
                <c:pt idx="1685">
                  <c:v>1175.868801784274</c:v>
                </c:pt>
                <c:pt idx="1686">
                  <c:v>1179.7629479636435</c:v>
                </c:pt>
                <c:pt idx="1687">
                  <c:v>1181.3116774393588</c:v>
                </c:pt>
                <c:pt idx="1688">
                  <c:v>1179.7629479636435</c:v>
                </c:pt>
                <c:pt idx="1689">
                  <c:v>1175.8688017842742</c:v>
                </c:pt>
                <c:pt idx="1690">
                  <c:v>1168.0562043956779</c:v>
                </c:pt>
                <c:pt idx="1691">
                  <c:v>1156.723827182318</c:v>
                </c:pt>
                <c:pt idx="1692">
                  <c:v>1145.1418845760504</c:v>
                </c:pt>
                <c:pt idx="1693">
                  <c:v>1133.2650542471035</c:v>
                </c:pt>
                <c:pt idx="1694">
                  <c:v>1121.590236636122</c:v>
                </c:pt>
                <c:pt idx="1695">
                  <c:v>1109.6598229341996</c:v>
                </c:pt>
                <c:pt idx="1696">
                  <c:v>1097.0707630397198</c:v>
                </c:pt>
                <c:pt idx="1697">
                  <c:v>1083.3370626597559</c:v>
                </c:pt>
                <c:pt idx="1698">
                  <c:v>1070.5576102191314</c:v>
                </c:pt>
                <c:pt idx="1699">
                  <c:v>1058.2106995535535</c:v>
                </c:pt>
                <c:pt idx="1700">
                  <c:v>1048.2754623048668</c:v>
                </c:pt>
                <c:pt idx="1701">
                  <c:v>1038.1633692735145</c:v>
                </c:pt>
                <c:pt idx="1702">
                  <c:v>1028.5971129861507</c:v>
                </c:pt>
                <c:pt idx="1703">
                  <c:v>1019.3895057243321</c:v>
                </c:pt>
                <c:pt idx="1704">
                  <c:v>1058.0373826207526</c:v>
                </c:pt>
                <c:pt idx="1705">
                  <c:v>1049.1345715286575</c:v>
                </c:pt>
                <c:pt idx="1706">
                  <c:v>1040.1776107007138</c:v>
                </c:pt>
                <c:pt idx="1707">
                  <c:v>1031.0182913960227</c:v>
                </c:pt>
                <c:pt idx="1708">
                  <c:v>1021.4954336997253</c:v>
                </c:pt>
                <c:pt idx="1709">
                  <c:v>1011.4341382687502</c:v>
                </c:pt>
                <c:pt idx="1710">
                  <c:v>1001.6370205664588</c:v>
                </c:pt>
                <c:pt idx="1711">
                  <c:v>990.49326538248158</c:v>
                </c:pt>
                <c:pt idx="1712">
                  <c:v>978.32208587501259</c:v>
                </c:pt>
                <c:pt idx="1713">
                  <c:v>967.47829682268753</c:v>
                </c:pt>
                <c:pt idx="1714">
                  <c:v>957.45563810265537</c:v>
                </c:pt>
                <c:pt idx="1715">
                  <c:v>947.86620924519332</c:v>
                </c:pt>
                <c:pt idx="1716">
                  <c:v>938.47054297232467</c:v>
                </c:pt>
                <c:pt idx="1717">
                  <c:v>929.56801858566894</c:v>
                </c:pt>
                <c:pt idx="1718">
                  <c:v>919.47088463867101</c:v>
                </c:pt>
                <c:pt idx="1719">
                  <c:v>908.91727568356919</c:v>
                </c:pt>
                <c:pt idx="1720">
                  <c:v>901.30538385698026</c:v>
                </c:pt>
                <c:pt idx="1721">
                  <c:v>897.43656956812652</c:v>
                </c:pt>
                <c:pt idx="1722">
                  <c:v>896.03963785374754</c:v>
                </c:pt>
                <c:pt idx="1723">
                  <c:v>897.43656956812652</c:v>
                </c:pt>
                <c:pt idx="1724">
                  <c:v>901.30538385698037</c:v>
                </c:pt>
                <c:pt idx="1725">
                  <c:v>908.91727568356919</c:v>
                </c:pt>
                <c:pt idx="1726">
                  <c:v>919.47088463867112</c:v>
                </c:pt>
                <c:pt idx="1727">
                  <c:v>929.56801858566905</c:v>
                </c:pt>
                <c:pt idx="1728">
                  <c:v>938.47054297232467</c:v>
                </c:pt>
                <c:pt idx="1729">
                  <c:v>947.86620924519332</c:v>
                </c:pt>
                <c:pt idx="1730">
                  <c:v>957.45563810265548</c:v>
                </c:pt>
                <c:pt idx="1731">
                  <c:v>967.47829682268764</c:v>
                </c:pt>
                <c:pt idx="1732">
                  <c:v>978.32208587501259</c:v>
                </c:pt>
                <c:pt idx="1733">
                  <c:v>990.4932653824817</c:v>
                </c:pt>
                <c:pt idx="1734">
                  <c:v>1001.6370205664589</c:v>
                </c:pt>
                <c:pt idx="1735">
                  <c:v>1011.4341382687503</c:v>
                </c:pt>
                <c:pt idx="1736">
                  <c:v>1021.4954336997253</c:v>
                </c:pt>
                <c:pt idx="1737">
                  <c:v>1031.018291396023</c:v>
                </c:pt>
                <c:pt idx="1738">
                  <c:v>1040.1776107007138</c:v>
                </c:pt>
                <c:pt idx="1739">
                  <c:v>1049.1345715286577</c:v>
                </c:pt>
                <c:pt idx="1740">
                  <c:v>1058.0373826207526</c:v>
                </c:pt>
                <c:pt idx="1741">
                  <c:v>1066.9401937128478</c:v>
                </c:pt>
                <c:pt idx="1742">
                  <c:v>1075.8971545407915</c:v>
                </c:pt>
                <c:pt idx="1743">
                  <c:v>1085.0564738454825</c:v>
                </c:pt>
                <c:pt idx="1744">
                  <c:v>1094.57933154178</c:v>
                </c:pt>
                <c:pt idx="1745">
                  <c:v>1104.6406269727549</c:v>
                </c:pt>
                <c:pt idx="1746">
                  <c:v>1114.4377446750464</c:v>
                </c:pt>
                <c:pt idx="1747">
                  <c:v>1125.5814998590236</c:v>
                </c:pt>
                <c:pt idx="1748">
                  <c:v>1137.7526793664927</c:v>
                </c:pt>
                <c:pt idx="1749">
                  <c:v>1148.5964684188177</c:v>
                </c:pt>
                <c:pt idx="1750">
                  <c:v>1158.6191271388498</c:v>
                </c:pt>
                <c:pt idx="1751">
                  <c:v>1168.2085559963118</c:v>
                </c:pt>
                <c:pt idx="1752">
                  <c:v>1177.6042222691806</c:v>
                </c:pt>
                <c:pt idx="1753">
                  <c:v>1186.5067466558362</c:v>
                </c:pt>
                <c:pt idx="1754">
                  <c:v>1196.6038806028344</c:v>
                </c:pt>
                <c:pt idx="1755">
                  <c:v>1207.1574895579361</c:v>
                </c:pt>
                <c:pt idx="1756">
                  <c:v>1214.7693813845251</c:v>
                </c:pt>
                <c:pt idx="1757">
                  <c:v>1218.6381956733785</c:v>
                </c:pt>
                <c:pt idx="1758">
                  <c:v>1220.0351273877577</c:v>
                </c:pt>
                <c:pt idx="1759">
                  <c:v>1218.6381956733785</c:v>
                </c:pt>
                <c:pt idx="1760">
                  <c:v>1214.7693813845251</c:v>
                </c:pt>
                <c:pt idx="1761">
                  <c:v>1207.1574895579361</c:v>
                </c:pt>
                <c:pt idx="1762">
                  <c:v>1196.6038806028344</c:v>
                </c:pt>
                <c:pt idx="1763">
                  <c:v>1186.5067466558362</c:v>
                </c:pt>
                <c:pt idx="1764">
                  <c:v>1177.6042222691806</c:v>
                </c:pt>
                <c:pt idx="1765">
                  <c:v>1168.2085559963118</c:v>
                </c:pt>
                <c:pt idx="1766">
                  <c:v>1158.6191271388498</c:v>
                </c:pt>
                <c:pt idx="1767">
                  <c:v>1148.5964684188177</c:v>
                </c:pt>
                <c:pt idx="1768">
                  <c:v>1137.7526793664927</c:v>
                </c:pt>
                <c:pt idx="1769">
                  <c:v>1125.5814998590236</c:v>
                </c:pt>
                <c:pt idx="1770">
                  <c:v>1114.4377446750466</c:v>
                </c:pt>
                <c:pt idx="1771">
                  <c:v>1104.6406269727549</c:v>
                </c:pt>
                <c:pt idx="1772">
                  <c:v>1094.57933154178</c:v>
                </c:pt>
                <c:pt idx="1773">
                  <c:v>1085.0564738454823</c:v>
                </c:pt>
                <c:pt idx="1774">
                  <c:v>1075.8971545407915</c:v>
                </c:pt>
                <c:pt idx="1775">
                  <c:v>1114.6616338163253</c:v>
                </c:pt>
                <c:pt idx="1776">
                  <c:v>1114.1122004180518</c:v>
                </c:pt>
                <c:pt idx="1777">
                  <c:v>1098.6261051892423</c:v>
                </c:pt>
                <c:pt idx="1778">
                  <c:v>1096.3993660816107</c:v>
                </c:pt>
                <c:pt idx="1779">
                  <c:v>1095.7856587910699</c:v>
                </c:pt>
                <c:pt idx="1780">
                  <c:v>1095.7671093108374</c:v>
                </c:pt>
                <c:pt idx="1781">
                  <c:v>1096.1879780817258</c:v>
                </c:pt>
                <c:pt idx="1782">
                  <c:v>1097.0867341004116</c:v>
                </c:pt>
                <c:pt idx="1783">
                  <c:v>1107.5695772100839</c:v>
                </c:pt>
                <c:pt idx="1784">
                  <c:v>1105.0766871561787</c:v>
                </c:pt>
                <c:pt idx="1785">
                  <c:v>1108.6304530124485</c:v>
                </c:pt>
                <c:pt idx="1786">
                  <c:v>1109.1424241322927</c:v>
                </c:pt>
                <c:pt idx="1787">
                  <c:v>1108.1360039469475</c:v>
                </c:pt>
                <c:pt idx="1788">
                  <c:v>1067.7545840701405</c:v>
                </c:pt>
                <c:pt idx="1789">
                  <c:v>1040.2653861943286</c:v>
                </c:pt>
                <c:pt idx="1790">
                  <c:v>1003.5821147132402</c:v>
                </c:pt>
                <c:pt idx="1791">
                  <c:v>978.87385683953664</c:v>
                </c:pt>
                <c:pt idx="1792">
                  <c:v>975.0557773472392</c:v>
                </c:pt>
                <c:pt idx="1793">
                  <c:v>973.39717183881157</c:v>
                </c:pt>
                <c:pt idx="1794">
                  <c:v>975.0557773457117</c:v>
                </c:pt>
                <c:pt idx="1795">
                  <c:v>978.87385683953653</c:v>
                </c:pt>
                <c:pt idx="1796">
                  <c:v>1003.5821147132402</c:v>
                </c:pt>
                <c:pt idx="1797">
                  <c:v>1040.2653861943288</c:v>
                </c:pt>
                <c:pt idx="1798">
                  <c:v>1067.7545835658937</c:v>
                </c:pt>
                <c:pt idx="1799">
                  <c:v>1108.1360042075494</c:v>
                </c:pt>
                <c:pt idx="1800">
                  <c:v>1109.1424241322927</c:v>
                </c:pt>
                <c:pt idx="1801">
                  <c:v>1108.6304530124485</c:v>
                </c:pt>
                <c:pt idx="1802">
                  <c:v>1105.0766874978247</c:v>
                </c:pt>
                <c:pt idx="1803">
                  <c:v>1107.5695769021179</c:v>
                </c:pt>
                <c:pt idx="1804">
                  <c:v>1097.0867335728833</c:v>
                </c:pt>
                <c:pt idx="1805">
                  <c:v>1096.1879780817258</c:v>
                </c:pt>
                <c:pt idx="1806">
                  <c:v>1095.7671105342965</c:v>
                </c:pt>
                <c:pt idx="1807">
                  <c:v>1095.7856587910701</c:v>
                </c:pt>
                <c:pt idx="1808">
                  <c:v>1096.3993666585509</c:v>
                </c:pt>
                <c:pt idx="1809">
                  <c:v>1098.6261054759098</c:v>
                </c:pt>
                <c:pt idx="1810">
                  <c:v>1114.1122004159981</c:v>
                </c:pt>
                <c:pt idx="1811">
                  <c:v>1114.6616338163253</c:v>
                </c:pt>
                <c:pt idx="1812">
                  <c:v>1115.2110672166525</c:v>
                </c:pt>
                <c:pt idx="1813">
                  <c:v>1130.6971624434084</c:v>
                </c:pt>
                <c:pt idx="1814">
                  <c:v>1132.92390155104</c:v>
                </c:pt>
                <c:pt idx="1815">
                  <c:v>1133.5376088415805</c:v>
                </c:pt>
                <c:pt idx="1816">
                  <c:v>1133.5561570983541</c:v>
                </c:pt>
                <c:pt idx="1817">
                  <c:v>1133.1352889745449</c:v>
                </c:pt>
                <c:pt idx="1818">
                  <c:v>1132.236533532239</c:v>
                </c:pt>
                <c:pt idx="1819">
                  <c:v>1121.7536907305328</c:v>
                </c:pt>
                <c:pt idx="1820">
                  <c:v>1124.246580134826</c:v>
                </c:pt>
                <c:pt idx="1821">
                  <c:v>1120.6928146202022</c:v>
                </c:pt>
                <c:pt idx="1822">
                  <c:v>1120.1808434210102</c:v>
                </c:pt>
                <c:pt idx="1823">
                  <c:v>1121.1872635554021</c:v>
                </c:pt>
                <c:pt idx="1824">
                  <c:v>1161.5686835625099</c:v>
                </c:pt>
                <c:pt idx="1825">
                  <c:v>1189.0578809332878</c:v>
                </c:pt>
                <c:pt idx="1826">
                  <c:v>1225.7411534525263</c:v>
                </c:pt>
                <c:pt idx="1827">
                  <c:v>1250.4494107931141</c:v>
                </c:pt>
                <c:pt idx="1828">
                  <c:v>1254.2674902869389</c:v>
                </c:pt>
                <c:pt idx="1829">
                  <c:v>1255.9260957938391</c:v>
                </c:pt>
                <c:pt idx="1830">
                  <c:v>1254.2674902869389</c:v>
                </c:pt>
                <c:pt idx="1831">
                  <c:v>1250.4494107931141</c:v>
                </c:pt>
                <c:pt idx="1832">
                  <c:v>1225.7411529194105</c:v>
                </c:pt>
                <c:pt idx="1833">
                  <c:v>1189.0578814383221</c:v>
                </c:pt>
                <c:pt idx="1834">
                  <c:v>1161.5686835625102</c:v>
                </c:pt>
                <c:pt idx="1835">
                  <c:v>1121.1872636857031</c:v>
                </c:pt>
                <c:pt idx="1836">
                  <c:v>1120.1808435003579</c:v>
                </c:pt>
                <c:pt idx="1837">
                  <c:v>1120.6928146202022</c:v>
                </c:pt>
                <c:pt idx="1838">
                  <c:v>1124.246580476472</c:v>
                </c:pt>
                <c:pt idx="1839">
                  <c:v>1121.7536904225667</c:v>
                </c:pt>
                <c:pt idx="1840">
                  <c:v>1132.236533532239</c:v>
                </c:pt>
                <c:pt idx="1841">
                  <c:v>1133.1352895509249</c:v>
                </c:pt>
                <c:pt idx="1842">
                  <c:v>1133.5561570983539</c:v>
                </c:pt>
                <c:pt idx="1843">
                  <c:v>1133.5376088415808</c:v>
                </c:pt>
                <c:pt idx="1844">
                  <c:v>1132.92390155104</c:v>
                </c:pt>
                <c:pt idx="1845">
                  <c:v>1130.6971624434084</c:v>
                </c:pt>
                <c:pt idx="1846">
                  <c:v>1115.2110672145989</c:v>
                </c:pt>
                <c:pt idx="1847">
                  <c:v>1114.6616338163253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4D-4984-B106-1700280D5561}"/>
            </c:ext>
          </c:extLst>
        </c:ser>
        <c:ser>
          <c:idx val="6"/>
          <c:order val="4"/>
          <c:tx>
            <c:v>P-M Slice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failure_surface!$AC$19:$AC$119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71.674148926841809</c:v>
                </c:pt>
                <c:pt idx="4">
                  <c:v>92.082666137352859</c:v>
                </c:pt>
                <c:pt idx="5">
                  <c:v>112.76322760750081</c:v>
                </c:pt>
                <c:pt idx="6">
                  <c:v>132.67871987135868</c:v>
                </c:pt>
                <c:pt idx="7">
                  <c:v>152.65262203808547</c:v>
                </c:pt>
                <c:pt idx="8">
                  <c:v>170.41733260304321</c:v>
                </c:pt>
                <c:pt idx="9">
                  <c:v>187.18957540215831</c:v>
                </c:pt>
                <c:pt idx="10">
                  <c:v>203.33963128423989</c:v>
                </c:pt>
                <c:pt idx="11">
                  <c:v>220.36210127268856</c:v>
                </c:pt>
                <c:pt idx="12">
                  <c:v>237.40498858667087</c:v>
                </c:pt>
                <c:pt idx="13">
                  <c:v>254.40725696994477</c:v>
                </c:pt>
                <c:pt idx="14">
                  <c:v>270.20108264782334</c:v>
                </c:pt>
                <c:pt idx="15">
                  <c:v>284.74569622285918</c:v>
                </c:pt>
                <c:pt idx="16">
                  <c:v>298.25308106771763</c:v>
                </c:pt>
                <c:pt idx="17">
                  <c:v>307.32960248248884</c:v>
                </c:pt>
                <c:pt idx="18">
                  <c:v>312.07262659502351</c:v>
                </c:pt>
                <c:pt idx="19">
                  <c:v>316.90157322568706</c:v>
                </c:pt>
                <c:pt idx="20">
                  <c:v>321.80798103167729</c:v>
                </c:pt>
                <c:pt idx="21">
                  <c:v>326.67134628001924</c:v>
                </c:pt>
                <c:pt idx="22">
                  <c:v>331.11593074511302</c:v>
                </c:pt>
                <c:pt idx="23">
                  <c:v>335.50950431058709</c:v>
                </c:pt>
                <c:pt idx="24">
                  <c:v>337.77873931403713</c:v>
                </c:pt>
                <c:pt idx="25">
                  <c:v>340.18752082996843</c:v>
                </c:pt>
                <c:pt idx="26">
                  <c:v>342.10032190572673</c:v>
                </c:pt>
                <c:pt idx="27">
                  <c:v>343.2766282918173</c:v>
                </c:pt>
                <c:pt idx="28">
                  <c:v>344.4594468884186</c:v>
                </c:pt>
                <c:pt idx="29">
                  <c:v>343.75358850478631</c:v>
                </c:pt>
                <c:pt idx="30">
                  <c:v>344.90074734186624</c:v>
                </c:pt>
                <c:pt idx="31">
                  <c:v>346.50245228966401</c:v>
                </c:pt>
                <c:pt idx="32">
                  <c:v>350.69160406846657</c:v>
                </c:pt>
                <c:pt idx="33">
                  <c:v>354.81963112171803</c:v>
                </c:pt>
                <c:pt idx="34">
                  <c:v>358.86416568267225</c:v>
                </c:pt>
                <c:pt idx="35">
                  <c:v>362.80367400881516</c:v>
                </c:pt>
                <c:pt idx="36">
                  <c:v>366.61715918580245</c:v>
                </c:pt>
                <c:pt idx="37">
                  <c:v>370.28438206232789</c:v>
                </c:pt>
                <c:pt idx="38">
                  <c:v>373.78596160079672</c:v>
                </c:pt>
                <c:pt idx="39">
                  <c:v>377.10345274910503</c:v>
                </c:pt>
                <c:pt idx="40">
                  <c:v>380.21974998115519</c:v>
                </c:pt>
                <c:pt idx="41">
                  <c:v>382.90470484284373</c:v>
                </c:pt>
                <c:pt idx="42">
                  <c:v>385.52755366402317</c:v>
                </c:pt>
                <c:pt idx="43">
                  <c:v>387.89668605459133</c:v>
                </c:pt>
                <c:pt idx="44">
                  <c:v>389.9968003692041</c:v>
                </c:pt>
                <c:pt idx="45">
                  <c:v>391.81356459098697</c:v>
                </c:pt>
                <c:pt idx="46">
                  <c:v>392.95386339207823</c:v>
                </c:pt>
                <c:pt idx="47">
                  <c:v>394.12626288639291</c:v>
                </c:pt>
                <c:pt idx="48">
                  <c:v>394.97609883699619</c:v>
                </c:pt>
                <c:pt idx="49">
                  <c:v>395.49252216975356</c:v>
                </c:pt>
                <c:pt idx="50">
                  <c:v>395.66540343913158</c:v>
                </c:pt>
                <c:pt idx="51">
                  <c:v>395.48519738567222</c:v>
                </c:pt>
                <c:pt idx="52">
                  <c:v>394.94285259772084</c:v>
                </c:pt>
                <c:pt idx="53">
                  <c:v>394.02978521699663</c:v>
                </c:pt>
                <c:pt idx="54">
                  <c:v>392.7377857062894</c:v>
                </c:pt>
                <c:pt idx="55">
                  <c:v>391.0589535630312</c:v>
                </c:pt>
                <c:pt idx="56">
                  <c:v>388.98567545536469</c:v>
                </c:pt>
                <c:pt idx="57">
                  <c:v>386.51051827671722</c:v>
                </c:pt>
                <c:pt idx="58">
                  <c:v>383.62619852075647</c:v>
                </c:pt>
                <c:pt idx="59">
                  <c:v>380.32553447964193</c:v>
                </c:pt>
                <c:pt idx="60">
                  <c:v>376.58169057169795</c:v>
                </c:pt>
                <c:pt idx="61">
                  <c:v>372.3626385981097</c:v>
                </c:pt>
                <c:pt idx="62">
                  <c:v>367.70447580721503</c:v>
                </c:pt>
                <c:pt idx="63">
                  <c:v>362.59965634809521</c:v>
                </c:pt>
                <c:pt idx="64">
                  <c:v>356.96453566064025</c:v>
                </c:pt>
                <c:pt idx="65">
                  <c:v>350.68369568972446</c:v>
                </c:pt>
                <c:pt idx="66">
                  <c:v>343.92346089569719</c:v>
                </c:pt>
                <c:pt idx="67">
                  <c:v>336.66614253765289</c:v>
                </c:pt>
                <c:pt idx="68">
                  <c:v>328.90055601327936</c:v>
                </c:pt>
                <c:pt idx="69">
                  <c:v>320.61532159916106</c:v>
                </c:pt>
                <c:pt idx="70">
                  <c:v>311.7167226758985</c:v>
                </c:pt>
                <c:pt idx="71">
                  <c:v>302.20886214523739</c:v>
                </c:pt>
                <c:pt idx="72">
                  <c:v>292.13852062739858</c:v>
                </c:pt>
                <c:pt idx="73">
                  <c:v>281.49179631214832</c:v>
                </c:pt>
                <c:pt idx="74">
                  <c:v>270.32444562624954</c:v>
                </c:pt>
                <c:pt idx="75">
                  <c:v>65.198888244236443</c:v>
                </c:pt>
                <c:pt idx="76">
                  <c:v>1.9312867798049194E-13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failure_surface!$AD$19:$AD$119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-224.4350903247082</c:v>
                </c:pt>
                <c:pt idx="4">
                  <c:v>-199.71590394857409</c:v>
                </c:pt>
                <c:pt idx="5">
                  <c:v>-174.91883165565957</c:v>
                </c:pt>
                <c:pt idx="6">
                  <c:v>-150.34051577805485</c:v>
                </c:pt>
                <c:pt idx="7">
                  <c:v>-125.74549884763987</c:v>
                </c:pt>
                <c:pt idx="8">
                  <c:v>-101.78222434962328</c:v>
                </c:pt>
                <c:pt idx="9">
                  <c:v>-78.102841722569025</c:v>
                </c:pt>
                <c:pt idx="10">
                  <c:v>-54.601217186592777</c:v>
                </c:pt>
                <c:pt idx="11">
                  <c:v>-30.85019623898075</c:v>
                </c:pt>
                <c:pt idx="12">
                  <c:v>-7.0933373850751735</c:v>
                </c:pt>
                <c:pt idx="13">
                  <c:v>16.651905982982228</c:v>
                </c:pt>
                <c:pt idx="14">
                  <c:v>40.051577555487498</c:v>
                </c:pt>
                <c:pt idx="15">
                  <c:v>63.094102642770849</c:v>
                </c:pt>
                <c:pt idx="16">
                  <c:v>85.839745746417236</c:v>
                </c:pt>
                <c:pt idx="17">
                  <c:v>107.31879694956346</c:v>
                </c:pt>
                <c:pt idx="18">
                  <c:v>127.55797439605976</c:v>
                </c:pt>
                <c:pt idx="19">
                  <c:v>147.82233876235159</c:v>
                </c:pt>
                <c:pt idx="20">
                  <c:v>168.1086220507045</c:v>
                </c:pt>
                <c:pt idx="21">
                  <c:v>188.38260061855115</c:v>
                </c:pt>
                <c:pt idx="22">
                  <c:v>208.53681568712994</c:v>
                </c:pt>
                <c:pt idx="23">
                  <c:v>228.67651908055439</c:v>
                </c:pt>
                <c:pt idx="24">
                  <c:v>248.20859606662077</c:v>
                </c:pt>
                <c:pt idx="25">
                  <c:v>267.78065572847623</c:v>
                </c:pt>
                <c:pt idx="26">
                  <c:v>287.21088231926024</c:v>
                </c:pt>
                <c:pt idx="27">
                  <c:v>306.43049032242948</c:v>
                </c:pt>
                <c:pt idx="28">
                  <c:v>325.65195811855591</c:v>
                </c:pt>
                <c:pt idx="29">
                  <c:v>344.33336409568642</c:v>
                </c:pt>
                <c:pt idx="30">
                  <c:v>363.5446989994108</c:v>
                </c:pt>
                <c:pt idx="31">
                  <c:v>382.88591181768493</c:v>
                </c:pt>
                <c:pt idx="32">
                  <c:v>402.96715085625681</c:v>
                </c:pt>
                <c:pt idx="33">
                  <c:v>423.03077358839522</c:v>
                </c:pt>
                <c:pt idx="34">
                  <c:v>443.07059432177323</c:v>
                </c:pt>
                <c:pt idx="35">
                  <c:v>463.08038219828137</c:v>
                </c:pt>
                <c:pt idx="36">
                  <c:v>483.05413452674793</c:v>
                </c:pt>
                <c:pt idx="37">
                  <c:v>502.98607091251012</c:v>
                </c:pt>
                <c:pt idx="38">
                  <c:v>522.87066088323434</c:v>
                </c:pt>
                <c:pt idx="39">
                  <c:v>542.70265391314479</c:v>
                </c:pt>
                <c:pt idx="40">
                  <c:v>562.4768980042852</c:v>
                </c:pt>
                <c:pt idx="41">
                  <c:v>582.12793107647815</c:v>
                </c:pt>
                <c:pt idx="42">
                  <c:v>601.7611961639393</c:v>
                </c:pt>
                <c:pt idx="43">
                  <c:v>621.32191761333922</c:v>
                </c:pt>
                <c:pt idx="44">
                  <c:v>640.8056876538318</c:v>
                </c:pt>
                <c:pt idx="45">
                  <c:v>660.20840208342099</c:v>
                </c:pt>
                <c:pt idx="46">
                  <c:v>679.41773437456322</c:v>
                </c:pt>
                <c:pt idx="47">
                  <c:v>698.63628701699622</c:v>
                </c:pt>
                <c:pt idx="48">
                  <c:v>717.76254323354487</c:v>
                </c:pt>
                <c:pt idx="49">
                  <c:v>736.79345595074506</c:v>
                </c:pt>
                <c:pt idx="50">
                  <c:v>755.72612601304161</c:v>
                </c:pt>
                <c:pt idx="51">
                  <c:v>774.55782011308531</c:v>
                </c:pt>
                <c:pt idx="52">
                  <c:v>793.2859634361298</c:v>
                </c:pt>
                <c:pt idx="53">
                  <c:v>811.9080955237747</c:v>
                </c:pt>
                <c:pt idx="54">
                  <c:v>830.42186869010868</c:v>
                </c:pt>
                <c:pt idx="55">
                  <c:v>848.82503217911437</c:v>
                </c:pt>
                <c:pt idx="56">
                  <c:v>867.11539227029652</c:v>
                </c:pt>
                <c:pt idx="57">
                  <c:v>885.29082694861165</c:v>
                </c:pt>
                <c:pt idx="58">
                  <c:v>903.3492565725079</c:v>
                </c:pt>
                <c:pt idx="59">
                  <c:v>921.28862729839716</c:v>
                </c:pt>
                <c:pt idx="60">
                  <c:v>939.1009556542873</c:v>
                </c:pt>
                <c:pt idx="61">
                  <c:v>956.77797942100665</c:v>
                </c:pt>
                <c:pt idx="62">
                  <c:v>974.32918318428267</c:v>
                </c:pt>
                <c:pt idx="63">
                  <c:v>991.7526299511859</c:v>
                </c:pt>
                <c:pt idx="64">
                  <c:v>1009.0244412246512</c:v>
                </c:pt>
                <c:pt idx="65">
                  <c:v>1026.1115904837066</c:v>
                </c:pt>
                <c:pt idx="66">
                  <c:v>1043.0617588621128</c:v>
                </c:pt>
                <c:pt idx="67">
                  <c:v>1059.8696014924899</c:v>
                </c:pt>
                <c:pt idx="68">
                  <c:v>1076.532154174047</c:v>
                </c:pt>
                <c:pt idx="69">
                  <c:v>1093.046210627117</c:v>
                </c:pt>
                <c:pt idx="70">
                  <c:v>1109.3847625320052</c:v>
                </c:pt>
                <c:pt idx="71">
                  <c:v>1125.5491181111522</c:v>
                </c:pt>
                <c:pt idx="72">
                  <c:v>1141.5526453320015</c:v>
                </c:pt>
                <c:pt idx="73">
                  <c:v>1157.3912882197426</c:v>
                </c:pt>
                <c:pt idx="74">
                  <c:v>1173.0809219578139</c:v>
                </c:pt>
                <c:pt idx="75">
                  <c:v>1133.3060193030228</c:v>
                </c:pt>
                <c:pt idx="76">
                  <c:v>1114.6616338163253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D7-4F4D-A7CD-C8FC387B8FF6}"/>
            </c:ext>
          </c:extLst>
        </c:ser>
        <c:ser>
          <c:idx val="8"/>
          <c:order val="5"/>
          <c:tx>
            <c:v>Mx-My Slice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failure_surface!$AJ$19:$AJ$380</c:f>
              <c:numCache>
                <c:formatCode>General</c:formatCode>
                <c:ptCount val="362"/>
                <c:pt idx="0">
                  <c:v>304.10279228703143</c:v>
                </c:pt>
                <c:pt idx="1">
                  <c:v>304.04316241020854</c:v>
                </c:pt>
                <c:pt idx="2">
                  <c:v>303.75000503496051</c:v>
                </c:pt>
                <c:pt idx="3">
                  <c:v>303.41955858134844</c:v>
                </c:pt>
                <c:pt idx="4">
                  <c:v>303.05324619571525</c:v>
                </c:pt>
                <c:pt idx="5">
                  <c:v>302.65054467975034</c:v>
                </c:pt>
                <c:pt idx="6">
                  <c:v>302.21084176424921</c:v>
                </c:pt>
                <c:pt idx="7">
                  <c:v>301.73343246078883</c:v>
                </c:pt>
                <c:pt idx="8">
                  <c:v>301.21751591925027</c:v>
                </c:pt>
                <c:pt idx="9">
                  <c:v>300.66219142140022</c:v>
                </c:pt>
                <c:pt idx="10">
                  <c:v>300.06645396661588</c:v>
                </c:pt>
                <c:pt idx="11">
                  <c:v>299.42918918081239</c:v>
                </c:pt>
                <c:pt idx="12">
                  <c:v>298.74916758640751</c:v>
                </c:pt>
                <c:pt idx="13">
                  <c:v>298.02503817251835</c:v>
                </c:pt>
                <c:pt idx="14">
                  <c:v>297.25532119708299</c:v>
                </c:pt>
                <c:pt idx="15">
                  <c:v>296.43840071446988</c:v>
                </c:pt>
                <c:pt idx="16">
                  <c:v>295.57251384575551</c:v>
                </c:pt>
                <c:pt idx="17">
                  <c:v>294.65574366264889</c:v>
                </c:pt>
                <c:pt idx="18">
                  <c:v>294.17117008350692</c:v>
                </c:pt>
                <c:pt idx="19">
                  <c:v>293.14548837008198</c:v>
                </c:pt>
                <c:pt idx="20">
                  <c:v>292.06214638338309</c:v>
                </c:pt>
                <c:pt idx="21">
                  <c:v>290.91844851879381</c:v>
                </c:pt>
                <c:pt idx="22">
                  <c:v>289.7115071373313</c:v>
                </c:pt>
                <c:pt idx="23">
                  <c:v>288.43819174634331</c:v>
                </c:pt>
                <c:pt idx="24">
                  <c:v>287.09510832536859</c:v>
                </c:pt>
                <c:pt idx="25">
                  <c:v>285.67857632623435</c:v>
                </c:pt>
                <c:pt idx="26">
                  <c:v>284.18460306522383</c:v>
                </c:pt>
                <c:pt idx="27">
                  <c:v>282.60885518153538</c:v>
                </c:pt>
                <c:pt idx="28">
                  <c:v>280.94662678160404</c:v>
                </c:pt>
                <c:pt idx="29">
                  <c:v>279.19280383077501</c:v>
                </c:pt>
                <c:pt idx="30">
                  <c:v>277.34307899917604</c:v>
                </c:pt>
                <c:pt idx="31">
                  <c:v>275.46059532995531</c:v>
                </c:pt>
                <c:pt idx="32">
                  <c:v>273.58138183572271</c:v>
                </c:pt>
                <c:pt idx="33">
                  <c:v>271.70284879347867</c:v>
                </c:pt>
                <c:pt idx="34">
                  <c:v>269.8224466597386</c:v>
                </c:pt>
                <c:pt idx="35">
                  <c:v>267.68553734677988</c:v>
                </c:pt>
                <c:pt idx="36">
                  <c:v>265.46152537112431</c:v>
                </c:pt>
                <c:pt idx="37">
                  <c:v>263.23208831620269</c:v>
                </c:pt>
                <c:pt idx="38">
                  <c:v>260.99458107179714</c:v>
                </c:pt>
                <c:pt idx="39">
                  <c:v>258.74633009155184</c:v>
                </c:pt>
                <c:pt idx="40">
                  <c:v>256.48461676512989</c:v>
                </c:pt>
                <c:pt idx="41">
                  <c:v>254.20666095757082</c:v>
                </c:pt>
                <c:pt idx="42">
                  <c:v>251.90960377369669</c:v>
                </c:pt>
                <c:pt idx="43">
                  <c:v>249.5904905175062</c:v>
                </c:pt>
                <c:pt idx="44">
                  <c:v>247.24624918330542</c:v>
                </c:pt>
                <c:pt idx="45">
                  <c:v>244.87367246139655</c:v>
                </c:pt>
                <c:pt idx="46">
                  <c:v>242.46939401266698</c:v>
                </c:pt>
                <c:pt idx="47">
                  <c:v>240.78766099846081</c:v>
                </c:pt>
                <c:pt idx="48">
                  <c:v>238.27942746379284</c:v>
                </c:pt>
                <c:pt idx="49">
                  <c:v>235.7275577070844</c:v>
                </c:pt>
                <c:pt idx="50">
                  <c:v>233.12771750542757</c:v>
                </c:pt>
                <c:pt idx="51">
                  <c:v>230.47525707769796</c:v>
                </c:pt>
                <c:pt idx="52">
                  <c:v>227.76516595602959</c:v>
                </c:pt>
                <c:pt idx="53">
                  <c:v>224.99202346835281</c:v>
                </c:pt>
                <c:pt idx="54">
                  <c:v>222.14994147921684</c:v>
                </c:pt>
                <c:pt idx="55">
                  <c:v>220.45508181140971</c:v>
                </c:pt>
                <c:pt idx="56">
                  <c:v>217.4919079491043</c:v>
                </c:pt>
                <c:pt idx="57">
                  <c:v>214.43988299918448</c:v>
                </c:pt>
                <c:pt idx="58">
                  <c:v>211.29059495848588</c:v>
                </c:pt>
                <c:pt idx="59">
                  <c:v>208.03472031468655</c:v>
                </c:pt>
                <c:pt idx="60">
                  <c:v>204.6618813439419</c:v>
                </c:pt>
                <c:pt idx="61">
                  <c:v>201.11957363993875</c:v>
                </c:pt>
                <c:pt idx="62">
                  <c:v>197.3226967752563</c:v>
                </c:pt>
                <c:pt idx="63">
                  <c:v>193.37356461643256</c:v>
                </c:pt>
                <c:pt idx="64">
                  <c:v>189.25591199914427</c:v>
                </c:pt>
                <c:pt idx="65">
                  <c:v>184.95120573287636</c:v>
                </c:pt>
                <c:pt idx="66">
                  <c:v>180.4382090587568</c:v>
                </c:pt>
                <c:pt idx="67">
                  <c:v>175.69244111666268</c:v>
                </c:pt>
                <c:pt idx="68">
                  <c:v>170.68550053360283</c:v>
                </c:pt>
                <c:pt idx="69">
                  <c:v>165.3842109935901</c:v>
                </c:pt>
                <c:pt idx="70">
                  <c:v>159.7495311232357</c:v>
                </c:pt>
                <c:pt idx="71">
                  <c:v>153.73514733249417</c:v>
                </c:pt>
                <c:pt idx="72">
                  <c:v>147.30264339372505</c:v>
                </c:pt>
                <c:pt idx="73">
                  <c:v>140.39861150881913</c:v>
                </c:pt>
                <c:pt idx="74">
                  <c:v>132.92930350647083</c:v>
                </c:pt>
                <c:pt idx="75">
                  <c:v>124.79731761801045</c:v>
                </c:pt>
                <c:pt idx="76">
                  <c:v>115.95357507602934</c:v>
                </c:pt>
                <c:pt idx="77">
                  <c:v>106.99246321347638</c:v>
                </c:pt>
                <c:pt idx="78">
                  <c:v>98.070637449433789</c:v>
                </c:pt>
                <c:pt idx="79">
                  <c:v>89.305971916377189</c:v>
                </c:pt>
                <c:pt idx="80">
                  <c:v>80.827641848648184</c:v>
                </c:pt>
                <c:pt idx="81">
                  <c:v>72.377387903042589</c:v>
                </c:pt>
                <c:pt idx="82">
                  <c:v>63.948975996415925</c:v>
                </c:pt>
                <c:pt idx="83">
                  <c:v>55.536193390850023</c:v>
                </c:pt>
                <c:pt idx="84">
                  <c:v>47.132827139830539</c:v>
                </c:pt>
                <c:pt idx="85">
                  <c:v>38.732642052473842</c:v>
                </c:pt>
                <c:pt idx="86">
                  <c:v>30.329357989068271</c:v>
                </c:pt>
                <c:pt idx="87">
                  <c:v>21.916626216964296</c:v>
                </c:pt>
                <c:pt idx="88">
                  <c:v>13.488004616278168</c:v>
                </c:pt>
                <c:pt idx="89">
                  <c:v>5.0369314260374454</c:v>
                </c:pt>
                <c:pt idx="90">
                  <c:v>8.4785380208369224E-14</c:v>
                </c:pt>
                <c:pt idx="91">
                  <c:v>-5.0369314260369906</c:v>
                </c:pt>
                <c:pt idx="92">
                  <c:v>-13.488004616277806</c:v>
                </c:pt>
                <c:pt idx="93">
                  <c:v>-21.916626216963856</c:v>
                </c:pt>
                <c:pt idx="94">
                  <c:v>-30.329357989068058</c:v>
                </c:pt>
                <c:pt idx="95">
                  <c:v>-38.732642052473494</c:v>
                </c:pt>
                <c:pt idx="96">
                  <c:v>-47.132827139830205</c:v>
                </c:pt>
                <c:pt idx="97">
                  <c:v>-55.536193390849732</c:v>
                </c:pt>
                <c:pt idx="98">
                  <c:v>-63.948975996415356</c:v>
                </c:pt>
                <c:pt idx="99">
                  <c:v>-72.377387903042347</c:v>
                </c:pt>
                <c:pt idx="100">
                  <c:v>-80.827641848647886</c:v>
                </c:pt>
                <c:pt idx="101">
                  <c:v>-89.305971916376564</c:v>
                </c:pt>
                <c:pt idx="102">
                  <c:v>-98.070637449433562</c:v>
                </c:pt>
                <c:pt idx="103">
                  <c:v>-106.99246321347606</c:v>
                </c:pt>
                <c:pt idx="104">
                  <c:v>-115.95357507602934</c:v>
                </c:pt>
                <c:pt idx="105">
                  <c:v>-124.79731761801024</c:v>
                </c:pt>
                <c:pt idx="106">
                  <c:v>-132.92930350647066</c:v>
                </c:pt>
                <c:pt idx="107">
                  <c:v>-140.39861150881882</c:v>
                </c:pt>
                <c:pt idx="108">
                  <c:v>-147.30264339372462</c:v>
                </c:pt>
                <c:pt idx="109">
                  <c:v>-153.73514733249363</c:v>
                </c:pt>
                <c:pt idx="110">
                  <c:v>-159.74953112323536</c:v>
                </c:pt>
                <c:pt idx="111">
                  <c:v>-165.38421099358982</c:v>
                </c:pt>
                <c:pt idx="112">
                  <c:v>-170.68550053360252</c:v>
                </c:pt>
                <c:pt idx="113">
                  <c:v>-175.69244111666234</c:v>
                </c:pt>
                <c:pt idx="114">
                  <c:v>-180.43820905875646</c:v>
                </c:pt>
                <c:pt idx="115">
                  <c:v>-184.95120573287588</c:v>
                </c:pt>
                <c:pt idx="116">
                  <c:v>-189.25591199914413</c:v>
                </c:pt>
                <c:pt idx="117">
                  <c:v>-193.37356461643208</c:v>
                </c:pt>
                <c:pt idx="118">
                  <c:v>-197.32269677525608</c:v>
                </c:pt>
                <c:pt idx="119">
                  <c:v>-201.11957363993818</c:v>
                </c:pt>
                <c:pt idx="120">
                  <c:v>-204.66188134394142</c:v>
                </c:pt>
                <c:pt idx="121">
                  <c:v>-208.0347203146863</c:v>
                </c:pt>
                <c:pt idx="122">
                  <c:v>-211.29059495848546</c:v>
                </c:pt>
                <c:pt idx="123">
                  <c:v>-214.43988299918402</c:v>
                </c:pt>
                <c:pt idx="124">
                  <c:v>-217.49190794910422</c:v>
                </c:pt>
                <c:pt idx="125">
                  <c:v>-220.4550818114096</c:v>
                </c:pt>
                <c:pt idx="126">
                  <c:v>-222.14994147921644</c:v>
                </c:pt>
                <c:pt idx="127">
                  <c:v>-224.99202346835258</c:v>
                </c:pt>
                <c:pt idx="128">
                  <c:v>-227.76516595602868</c:v>
                </c:pt>
                <c:pt idx="129">
                  <c:v>-230.47525707769762</c:v>
                </c:pt>
                <c:pt idx="130">
                  <c:v>-233.12771750542726</c:v>
                </c:pt>
                <c:pt idx="131">
                  <c:v>-235.72755770708412</c:v>
                </c:pt>
                <c:pt idx="132">
                  <c:v>-238.2794274637929</c:v>
                </c:pt>
                <c:pt idx="133">
                  <c:v>-240.78766099846044</c:v>
                </c:pt>
                <c:pt idx="134">
                  <c:v>-242.46939401266647</c:v>
                </c:pt>
                <c:pt idx="135">
                  <c:v>-244.87367246139635</c:v>
                </c:pt>
                <c:pt idx="136">
                  <c:v>-247.24624918330514</c:v>
                </c:pt>
                <c:pt idx="137">
                  <c:v>-249.59049051750554</c:v>
                </c:pt>
                <c:pt idx="138">
                  <c:v>-251.90960377369677</c:v>
                </c:pt>
                <c:pt idx="139">
                  <c:v>-254.20666095757045</c:v>
                </c:pt>
                <c:pt idx="140">
                  <c:v>-256.48461676512989</c:v>
                </c:pt>
                <c:pt idx="141">
                  <c:v>-258.7463300915515</c:v>
                </c:pt>
                <c:pt idx="142">
                  <c:v>-260.99458107179623</c:v>
                </c:pt>
                <c:pt idx="143">
                  <c:v>-263.23208831620218</c:v>
                </c:pt>
                <c:pt idx="144">
                  <c:v>-265.46152537112425</c:v>
                </c:pt>
                <c:pt idx="145">
                  <c:v>-267.68553734677943</c:v>
                </c:pt>
                <c:pt idx="146">
                  <c:v>-269.82244665973838</c:v>
                </c:pt>
                <c:pt idx="147">
                  <c:v>-271.70284879347832</c:v>
                </c:pt>
                <c:pt idx="148">
                  <c:v>-273.5813818357226</c:v>
                </c:pt>
                <c:pt idx="149">
                  <c:v>-275.46059532995457</c:v>
                </c:pt>
                <c:pt idx="150">
                  <c:v>-277.3430789991757</c:v>
                </c:pt>
                <c:pt idx="151">
                  <c:v>-279.19280383077432</c:v>
                </c:pt>
                <c:pt idx="152">
                  <c:v>-280.94662678160336</c:v>
                </c:pt>
                <c:pt idx="153">
                  <c:v>-282.60885518153515</c:v>
                </c:pt>
                <c:pt idx="154">
                  <c:v>-284.18460306522365</c:v>
                </c:pt>
                <c:pt idx="155">
                  <c:v>-285.67857632623389</c:v>
                </c:pt>
                <c:pt idx="156">
                  <c:v>-287.09510832536841</c:v>
                </c:pt>
                <c:pt idx="157">
                  <c:v>-288.43819174634251</c:v>
                </c:pt>
                <c:pt idx="158">
                  <c:v>-289.71150713733152</c:v>
                </c:pt>
                <c:pt idx="159">
                  <c:v>-290.91844851879335</c:v>
                </c:pt>
                <c:pt idx="160">
                  <c:v>-292.06214638338292</c:v>
                </c:pt>
                <c:pt idx="161">
                  <c:v>-293.14548837008158</c:v>
                </c:pt>
                <c:pt idx="162">
                  <c:v>-294.17117008350647</c:v>
                </c:pt>
                <c:pt idx="163">
                  <c:v>-294.65574366264855</c:v>
                </c:pt>
                <c:pt idx="164">
                  <c:v>-295.57251384575449</c:v>
                </c:pt>
                <c:pt idx="165">
                  <c:v>-296.43840071446948</c:v>
                </c:pt>
                <c:pt idx="166">
                  <c:v>-297.25532119708254</c:v>
                </c:pt>
                <c:pt idx="167">
                  <c:v>-298.02503817251846</c:v>
                </c:pt>
                <c:pt idx="168">
                  <c:v>-298.74916758640705</c:v>
                </c:pt>
                <c:pt idx="169">
                  <c:v>-299.42918918081148</c:v>
                </c:pt>
                <c:pt idx="170">
                  <c:v>-300.06645396661594</c:v>
                </c:pt>
                <c:pt idx="171">
                  <c:v>-300.66219142140017</c:v>
                </c:pt>
                <c:pt idx="172">
                  <c:v>-301.21751591924993</c:v>
                </c:pt>
                <c:pt idx="173">
                  <c:v>-301.73343246078923</c:v>
                </c:pt>
                <c:pt idx="174">
                  <c:v>-302.21084176424858</c:v>
                </c:pt>
                <c:pt idx="175">
                  <c:v>-302.65054467974988</c:v>
                </c:pt>
                <c:pt idx="176">
                  <c:v>-303.05324619571451</c:v>
                </c:pt>
                <c:pt idx="177">
                  <c:v>-303.41955858134804</c:v>
                </c:pt>
                <c:pt idx="178">
                  <c:v>-303.75000503496011</c:v>
                </c:pt>
                <c:pt idx="179">
                  <c:v>-304.04316241020837</c:v>
                </c:pt>
                <c:pt idx="180">
                  <c:v>-304.10279228703138</c:v>
                </c:pt>
                <c:pt idx="181">
                  <c:v>-304.04316241020814</c:v>
                </c:pt>
                <c:pt idx="182">
                  <c:v>-303.75000503496011</c:v>
                </c:pt>
                <c:pt idx="183">
                  <c:v>-303.41955858134804</c:v>
                </c:pt>
                <c:pt idx="184">
                  <c:v>-303.05324619571456</c:v>
                </c:pt>
                <c:pt idx="185">
                  <c:v>-302.65054467975</c:v>
                </c:pt>
                <c:pt idx="186">
                  <c:v>-302.21084176424858</c:v>
                </c:pt>
                <c:pt idx="187">
                  <c:v>-301.73343246078889</c:v>
                </c:pt>
                <c:pt idx="188">
                  <c:v>-301.21751591924988</c:v>
                </c:pt>
                <c:pt idx="189">
                  <c:v>-300.66219142140017</c:v>
                </c:pt>
                <c:pt idx="190">
                  <c:v>-300.06645396661582</c:v>
                </c:pt>
                <c:pt idx="191">
                  <c:v>-299.4291891808117</c:v>
                </c:pt>
                <c:pt idx="192">
                  <c:v>-298.74916758640683</c:v>
                </c:pt>
                <c:pt idx="193">
                  <c:v>-298.02503817251801</c:v>
                </c:pt>
                <c:pt idx="194">
                  <c:v>-297.25532119708254</c:v>
                </c:pt>
                <c:pt idx="195">
                  <c:v>-296.43840071446948</c:v>
                </c:pt>
                <c:pt idx="196">
                  <c:v>-295.57251384575449</c:v>
                </c:pt>
                <c:pt idx="197">
                  <c:v>-294.65574366264826</c:v>
                </c:pt>
                <c:pt idx="198">
                  <c:v>-294.17117008350658</c:v>
                </c:pt>
                <c:pt idx="199">
                  <c:v>-293.14548837008141</c:v>
                </c:pt>
                <c:pt idx="200">
                  <c:v>-292.06214638338236</c:v>
                </c:pt>
                <c:pt idx="201">
                  <c:v>-290.9184485187937</c:v>
                </c:pt>
                <c:pt idx="202">
                  <c:v>-289.71150713733124</c:v>
                </c:pt>
                <c:pt idx="203">
                  <c:v>-288.43819174634257</c:v>
                </c:pt>
                <c:pt idx="204">
                  <c:v>-287.09510832536887</c:v>
                </c:pt>
                <c:pt idx="205">
                  <c:v>-285.67857632623389</c:v>
                </c:pt>
                <c:pt idx="206">
                  <c:v>-284.18460306522371</c:v>
                </c:pt>
                <c:pt idx="207">
                  <c:v>-282.60885518153538</c:v>
                </c:pt>
                <c:pt idx="208">
                  <c:v>-280.94662678160364</c:v>
                </c:pt>
                <c:pt idx="209">
                  <c:v>-279.19280383077432</c:v>
                </c:pt>
                <c:pt idx="210">
                  <c:v>-277.3430789991757</c:v>
                </c:pt>
                <c:pt idx="211">
                  <c:v>-275.46059532995457</c:v>
                </c:pt>
                <c:pt idx="212">
                  <c:v>-273.58138183572242</c:v>
                </c:pt>
                <c:pt idx="213">
                  <c:v>-271.70284879347815</c:v>
                </c:pt>
                <c:pt idx="214">
                  <c:v>-269.8224466597382</c:v>
                </c:pt>
                <c:pt idx="215">
                  <c:v>-267.68553734677965</c:v>
                </c:pt>
                <c:pt idx="216">
                  <c:v>-265.46152537112425</c:v>
                </c:pt>
                <c:pt idx="217">
                  <c:v>-263.23208831620212</c:v>
                </c:pt>
                <c:pt idx="218">
                  <c:v>-260.99458107179663</c:v>
                </c:pt>
                <c:pt idx="219">
                  <c:v>-258.74633009155139</c:v>
                </c:pt>
                <c:pt idx="220">
                  <c:v>-256.48461676512989</c:v>
                </c:pt>
                <c:pt idx="221">
                  <c:v>-254.20666095757034</c:v>
                </c:pt>
                <c:pt idx="222">
                  <c:v>-251.90960377369677</c:v>
                </c:pt>
                <c:pt idx="223">
                  <c:v>-249.5904905175056</c:v>
                </c:pt>
                <c:pt idx="224">
                  <c:v>-247.24624918330474</c:v>
                </c:pt>
                <c:pt idx="225">
                  <c:v>-244.87367246139641</c:v>
                </c:pt>
                <c:pt idx="226">
                  <c:v>-242.46939401266644</c:v>
                </c:pt>
                <c:pt idx="227">
                  <c:v>-240.78766099846041</c:v>
                </c:pt>
                <c:pt idx="228">
                  <c:v>-238.27942746379273</c:v>
                </c:pt>
                <c:pt idx="229">
                  <c:v>-235.72755770708415</c:v>
                </c:pt>
                <c:pt idx="230">
                  <c:v>-233.12771750542726</c:v>
                </c:pt>
                <c:pt idx="231">
                  <c:v>-230.47525707769756</c:v>
                </c:pt>
                <c:pt idx="232">
                  <c:v>-227.76516595602831</c:v>
                </c:pt>
                <c:pt idx="233">
                  <c:v>-224.99202346835247</c:v>
                </c:pt>
                <c:pt idx="234">
                  <c:v>-222.14994147921658</c:v>
                </c:pt>
                <c:pt idx="235">
                  <c:v>-220.45508181140943</c:v>
                </c:pt>
                <c:pt idx="236">
                  <c:v>-217.49190794910422</c:v>
                </c:pt>
                <c:pt idx="237">
                  <c:v>-214.43988299918416</c:v>
                </c:pt>
                <c:pt idx="238">
                  <c:v>-211.29059495848546</c:v>
                </c:pt>
                <c:pt idx="239">
                  <c:v>-208.03472031468627</c:v>
                </c:pt>
                <c:pt idx="240">
                  <c:v>-204.66188134394187</c:v>
                </c:pt>
                <c:pt idx="241">
                  <c:v>-201.11957363993818</c:v>
                </c:pt>
                <c:pt idx="242">
                  <c:v>-197.32269677525588</c:v>
                </c:pt>
                <c:pt idx="243">
                  <c:v>-193.37356461643202</c:v>
                </c:pt>
                <c:pt idx="244">
                  <c:v>-189.25591199914425</c:v>
                </c:pt>
                <c:pt idx="245">
                  <c:v>-184.95120573287605</c:v>
                </c:pt>
                <c:pt idx="246">
                  <c:v>-180.43820905875631</c:v>
                </c:pt>
                <c:pt idx="247">
                  <c:v>-175.69244111666242</c:v>
                </c:pt>
                <c:pt idx="248">
                  <c:v>-170.68550053360255</c:v>
                </c:pt>
                <c:pt idx="249">
                  <c:v>-165.38421099358976</c:v>
                </c:pt>
                <c:pt idx="250">
                  <c:v>-159.74953112323519</c:v>
                </c:pt>
                <c:pt idx="251">
                  <c:v>-153.73514733249365</c:v>
                </c:pt>
                <c:pt idx="252">
                  <c:v>-147.30264339372471</c:v>
                </c:pt>
                <c:pt idx="253">
                  <c:v>-140.39861150881887</c:v>
                </c:pt>
                <c:pt idx="254">
                  <c:v>-132.92930350647057</c:v>
                </c:pt>
                <c:pt idx="255">
                  <c:v>-124.79731761800994</c:v>
                </c:pt>
                <c:pt idx="256">
                  <c:v>-115.95357507602922</c:v>
                </c:pt>
                <c:pt idx="257">
                  <c:v>-106.992463213476</c:v>
                </c:pt>
                <c:pt idx="258">
                  <c:v>-98.070637449433789</c:v>
                </c:pt>
                <c:pt idx="259">
                  <c:v>-89.305971916376379</c:v>
                </c:pt>
                <c:pt idx="260">
                  <c:v>-80.827641848647843</c:v>
                </c:pt>
                <c:pt idx="261">
                  <c:v>-72.37738790304229</c:v>
                </c:pt>
                <c:pt idx="262">
                  <c:v>-63.948975996415577</c:v>
                </c:pt>
                <c:pt idx="263">
                  <c:v>-55.536193390849625</c:v>
                </c:pt>
                <c:pt idx="264">
                  <c:v>-47.132827139830084</c:v>
                </c:pt>
                <c:pt idx="265">
                  <c:v>-38.732642052473345</c:v>
                </c:pt>
                <c:pt idx="266">
                  <c:v>-30.329357989067933</c:v>
                </c:pt>
                <c:pt idx="267">
                  <c:v>-21.916626216963966</c:v>
                </c:pt>
                <c:pt idx="268">
                  <c:v>-13.488004616277667</c:v>
                </c:pt>
                <c:pt idx="269">
                  <c:v>-5.0369314260369844</c:v>
                </c:pt>
                <c:pt idx="270">
                  <c:v>9.4176386699331872E-14</c:v>
                </c:pt>
                <c:pt idx="271">
                  <c:v>5.0369314260373299</c:v>
                </c:pt>
                <c:pt idx="272">
                  <c:v>13.488004616278312</c:v>
                </c:pt>
                <c:pt idx="273">
                  <c:v>21.916626216964424</c:v>
                </c:pt>
                <c:pt idx="274">
                  <c:v>30.329357989068516</c:v>
                </c:pt>
                <c:pt idx="275">
                  <c:v>38.732642052473842</c:v>
                </c:pt>
                <c:pt idx="276">
                  <c:v>47.132827139830425</c:v>
                </c:pt>
                <c:pt idx="277">
                  <c:v>55.536193390850258</c:v>
                </c:pt>
                <c:pt idx="278">
                  <c:v>63.948975996415989</c:v>
                </c:pt>
                <c:pt idx="279">
                  <c:v>72.377387903042603</c:v>
                </c:pt>
                <c:pt idx="280">
                  <c:v>80.827641848648014</c:v>
                </c:pt>
                <c:pt idx="281">
                  <c:v>89.305971916377189</c:v>
                </c:pt>
                <c:pt idx="282">
                  <c:v>98.070637449433889</c:v>
                </c:pt>
                <c:pt idx="283">
                  <c:v>106.99246321347651</c:v>
                </c:pt>
                <c:pt idx="284">
                  <c:v>115.95357507602949</c:v>
                </c:pt>
                <c:pt idx="285">
                  <c:v>124.79731761801045</c:v>
                </c:pt>
                <c:pt idx="286">
                  <c:v>132.929303506471</c:v>
                </c:pt>
                <c:pt idx="287">
                  <c:v>140.39861150881904</c:v>
                </c:pt>
                <c:pt idx="288">
                  <c:v>147.30264339372502</c:v>
                </c:pt>
                <c:pt idx="289">
                  <c:v>153.73514733249399</c:v>
                </c:pt>
                <c:pt idx="290">
                  <c:v>159.74953112323584</c:v>
                </c:pt>
                <c:pt idx="291">
                  <c:v>165.3842109935901</c:v>
                </c:pt>
                <c:pt idx="292">
                  <c:v>170.68550053360303</c:v>
                </c:pt>
                <c:pt idx="293">
                  <c:v>175.69244111666274</c:v>
                </c:pt>
                <c:pt idx="294">
                  <c:v>180.43820905875668</c:v>
                </c:pt>
                <c:pt idx="295">
                  <c:v>184.95120573287647</c:v>
                </c:pt>
                <c:pt idx="296">
                  <c:v>189.2559119991443</c:v>
                </c:pt>
                <c:pt idx="297">
                  <c:v>193.3735646164325</c:v>
                </c:pt>
                <c:pt idx="298">
                  <c:v>197.32269677525636</c:v>
                </c:pt>
                <c:pt idx="299">
                  <c:v>201.11957363993875</c:v>
                </c:pt>
                <c:pt idx="300">
                  <c:v>204.66188134394187</c:v>
                </c:pt>
                <c:pt idx="301">
                  <c:v>208.03472031468669</c:v>
                </c:pt>
                <c:pt idx="302">
                  <c:v>211.29059495848583</c:v>
                </c:pt>
                <c:pt idx="303">
                  <c:v>214.43988299918448</c:v>
                </c:pt>
                <c:pt idx="304">
                  <c:v>217.49190794910447</c:v>
                </c:pt>
                <c:pt idx="305">
                  <c:v>220.45508181140968</c:v>
                </c:pt>
                <c:pt idx="306">
                  <c:v>222.14994147921692</c:v>
                </c:pt>
                <c:pt idx="307">
                  <c:v>224.99202346835287</c:v>
                </c:pt>
                <c:pt idx="308">
                  <c:v>227.76516595602908</c:v>
                </c:pt>
                <c:pt idx="309">
                  <c:v>230.47525707769805</c:v>
                </c:pt>
                <c:pt idx="310">
                  <c:v>233.1277175054276</c:v>
                </c:pt>
                <c:pt idx="311">
                  <c:v>235.7275577070844</c:v>
                </c:pt>
                <c:pt idx="312">
                  <c:v>238.27942746379273</c:v>
                </c:pt>
                <c:pt idx="313">
                  <c:v>240.78766099846095</c:v>
                </c:pt>
                <c:pt idx="314">
                  <c:v>242.46939401266698</c:v>
                </c:pt>
                <c:pt idx="315">
                  <c:v>244.87367246139658</c:v>
                </c:pt>
                <c:pt idx="316">
                  <c:v>247.24624918330568</c:v>
                </c:pt>
                <c:pt idx="317">
                  <c:v>249.59049051750637</c:v>
                </c:pt>
                <c:pt idx="318">
                  <c:v>251.90960377369697</c:v>
                </c:pt>
                <c:pt idx="319">
                  <c:v>254.20666095757085</c:v>
                </c:pt>
                <c:pt idx="320">
                  <c:v>256.48461676512989</c:v>
                </c:pt>
                <c:pt idx="321">
                  <c:v>258.74633009155212</c:v>
                </c:pt>
                <c:pt idx="322">
                  <c:v>260.99458107179686</c:v>
                </c:pt>
                <c:pt idx="323">
                  <c:v>263.23208831620275</c:v>
                </c:pt>
                <c:pt idx="324">
                  <c:v>265.46152537112448</c:v>
                </c:pt>
                <c:pt idx="325">
                  <c:v>267.68553734677982</c:v>
                </c:pt>
                <c:pt idx="326">
                  <c:v>269.82244665973855</c:v>
                </c:pt>
                <c:pt idx="327">
                  <c:v>271.70284879347906</c:v>
                </c:pt>
                <c:pt idx="328">
                  <c:v>273.58138183572271</c:v>
                </c:pt>
                <c:pt idx="329">
                  <c:v>275.46059532995514</c:v>
                </c:pt>
                <c:pt idx="330">
                  <c:v>277.34307899917621</c:v>
                </c:pt>
                <c:pt idx="331">
                  <c:v>279.19280383077484</c:v>
                </c:pt>
                <c:pt idx="332">
                  <c:v>280.94662678160404</c:v>
                </c:pt>
                <c:pt idx="333">
                  <c:v>282.60885518153532</c:v>
                </c:pt>
                <c:pt idx="334">
                  <c:v>284.18460306522383</c:v>
                </c:pt>
                <c:pt idx="335">
                  <c:v>285.67857632623463</c:v>
                </c:pt>
                <c:pt idx="336">
                  <c:v>287.09510832536887</c:v>
                </c:pt>
                <c:pt idx="337">
                  <c:v>288.4381917463428</c:v>
                </c:pt>
                <c:pt idx="338">
                  <c:v>289.71150713733118</c:v>
                </c:pt>
                <c:pt idx="339">
                  <c:v>290.91844851879392</c:v>
                </c:pt>
                <c:pt idx="340">
                  <c:v>292.06214638338309</c:v>
                </c:pt>
                <c:pt idx="341">
                  <c:v>293.14548837008209</c:v>
                </c:pt>
                <c:pt idx="342">
                  <c:v>294.17117008350692</c:v>
                </c:pt>
                <c:pt idx="343">
                  <c:v>294.65574366264866</c:v>
                </c:pt>
                <c:pt idx="344">
                  <c:v>295.57251384575477</c:v>
                </c:pt>
                <c:pt idx="345">
                  <c:v>296.43840071446999</c:v>
                </c:pt>
                <c:pt idx="346">
                  <c:v>297.25532119708299</c:v>
                </c:pt>
                <c:pt idx="347">
                  <c:v>298.02503817251818</c:v>
                </c:pt>
                <c:pt idx="348">
                  <c:v>298.74916758640728</c:v>
                </c:pt>
                <c:pt idx="349">
                  <c:v>299.4291891808121</c:v>
                </c:pt>
                <c:pt idx="350">
                  <c:v>300.06645396661605</c:v>
                </c:pt>
                <c:pt idx="351">
                  <c:v>300.66219142140022</c:v>
                </c:pt>
                <c:pt idx="352">
                  <c:v>301.21751591925005</c:v>
                </c:pt>
                <c:pt idx="353">
                  <c:v>301.73343246078912</c:v>
                </c:pt>
                <c:pt idx="354">
                  <c:v>302.21084176424921</c:v>
                </c:pt>
                <c:pt idx="355">
                  <c:v>302.6505446797504</c:v>
                </c:pt>
                <c:pt idx="356">
                  <c:v>303.05324619571502</c:v>
                </c:pt>
                <c:pt idx="357">
                  <c:v>303.41955858134872</c:v>
                </c:pt>
                <c:pt idx="358">
                  <c:v>303.75000503496051</c:v>
                </c:pt>
                <c:pt idx="359">
                  <c:v>304.04316241020871</c:v>
                </c:pt>
                <c:pt idx="360">
                  <c:v>304.10279228703172</c:v>
                </c:pt>
                <c:pt idx="361">
                  <c:v>304.10279228703143</c:v>
                </c:pt>
              </c:numCache>
            </c:numRef>
          </c:xVal>
          <c:yVal>
            <c:numRef>
              <c:f>failure_surface!$AK$19:$AK$380</c:f>
              <c:numCache>
                <c:formatCode>General</c:formatCode>
                <c:ptCount val="362"/>
                <c:pt idx="0">
                  <c:v>1114.6616338163253</c:v>
                </c:pt>
                <c:pt idx="1">
                  <c:v>1112.9635968628411</c:v>
                </c:pt>
                <c:pt idx="2">
                  <c:v>1111.200537411175</c:v>
                </c:pt>
                <c:pt idx="3">
                  <c:v>1109.4377619632542</c:v>
                </c:pt>
                <c:pt idx="4">
                  <c:v>1107.674764143474</c:v>
                </c:pt>
                <c:pt idx="5">
                  <c:v>1105.9104105218926</c:v>
                </c:pt>
                <c:pt idx="6">
                  <c:v>1104.1435654484555</c:v>
                </c:pt>
                <c:pt idx="7">
                  <c:v>1102.373088031658</c:v>
                </c:pt>
                <c:pt idx="8">
                  <c:v>1100.5978290919577</c:v>
                </c:pt>
                <c:pt idx="9">
                  <c:v>1098.8166280787998</c:v>
                </c:pt>
                <c:pt idx="10">
                  <c:v>1097.0283099304218</c:v>
                </c:pt>
                <c:pt idx="11">
                  <c:v>1095.2316818590307</c:v>
                </c:pt>
                <c:pt idx="12">
                  <c:v>1093.4255300415582</c:v>
                </c:pt>
                <c:pt idx="13">
                  <c:v>1091.6086161958265</c:v>
                </c:pt>
                <c:pt idx="14">
                  <c:v>1089.7796740208928</c:v>
                </c:pt>
                <c:pt idx="15">
                  <c:v>1087.9374054751024</c:v>
                </c:pt>
                <c:pt idx="16">
                  <c:v>1086.0804768875023</c:v>
                </c:pt>
                <c:pt idx="17">
                  <c:v>1084.2075148290965</c:v>
                </c:pt>
                <c:pt idx="18">
                  <c:v>1083.3353496544357</c:v>
                </c:pt>
                <c:pt idx="19">
                  <c:v>1081.4262918125196</c:v>
                </c:pt>
                <c:pt idx="20">
                  <c:v>1079.496791027568</c:v>
                </c:pt>
                <c:pt idx="21">
                  <c:v>1077.5452689983988</c:v>
                </c:pt>
                <c:pt idx="22">
                  <c:v>1075.5700826703176</c:v>
                </c:pt>
                <c:pt idx="23">
                  <c:v>1073.5695184124709</c:v>
                </c:pt>
                <c:pt idx="24">
                  <c:v>1071.5417854892203</c:v>
                </c:pt>
                <c:pt idx="25">
                  <c:v>1069.4850090019806</c:v>
                </c:pt>
                <c:pt idx="26">
                  <c:v>1067.3972222391731</c:v>
                </c:pt>
                <c:pt idx="27">
                  <c:v>1065.2763583644096</c:v>
                </c:pt>
                <c:pt idx="28">
                  <c:v>1063.1202413644314</c:v>
                </c:pt>
                <c:pt idx="29">
                  <c:v>1060.9265761683773</c:v>
                </c:pt>
                <c:pt idx="30">
                  <c:v>1058.6944463145785</c:v>
                </c:pt>
                <c:pt idx="31">
                  <c:v>1056.5021664188891</c:v>
                </c:pt>
                <c:pt idx="32">
                  <c:v>1054.3894152432629</c:v>
                </c:pt>
                <c:pt idx="33">
                  <c:v>1052.3490071811495</c:v>
                </c:pt>
                <c:pt idx="34">
                  <c:v>1050.3744760172256</c:v>
                </c:pt>
                <c:pt idx="35">
                  <c:v>1048.4136764100515</c:v>
                </c:pt>
                <c:pt idx="36">
                  <c:v>1046.4955799717052</c:v>
                </c:pt>
                <c:pt idx="37">
                  <c:v>1044.631028251428</c:v>
                </c:pt>
                <c:pt idx="38">
                  <c:v>1042.8154102055378</c:v>
                </c:pt>
                <c:pt idx="39">
                  <c:v>1041.0444937122861</c:v>
                </c:pt>
                <c:pt idx="40">
                  <c:v>1039.3143788801774</c:v>
                </c:pt>
                <c:pt idx="41">
                  <c:v>1037.6214573802574</c:v>
                </c:pt>
                <c:pt idx="42">
                  <c:v>1035.9623768997694</c:v>
                </c:pt>
                <c:pt idx="43">
                  <c:v>1034.334009669835</c:v>
                </c:pt>
                <c:pt idx="44">
                  <c:v>1032.7334252494632</c:v>
                </c:pt>
                <c:pt idx="45">
                  <c:v>1031.1578653942368</c:v>
                </c:pt>
                <c:pt idx="46">
                  <c:v>1029.6047222481959</c:v>
                </c:pt>
                <c:pt idx="47">
                  <c:v>1028.6388690230724</c:v>
                </c:pt>
                <c:pt idx="48">
                  <c:v>1027.1039887955519</c:v>
                </c:pt>
                <c:pt idx="49">
                  <c:v>1025.5847107753632</c:v>
                </c:pt>
                <c:pt idx="50">
                  <c:v>1024.078816834395</c:v>
                </c:pt>
                <c:pt idx="51">
                  <c:v>1022.584155559858</c:v>
                </c:pt>
                <c:pt idx="52">
                  <c:v>1021.0986288316873</c:v>
                </c:pt>
                <c:pt idx="53">
                  <c:v>1019.6201784733908</c:v>
                </c:pt>
                <c:pt idx="54">
                  <c:v>1018.1467734238555</c:v>
                </c:pt>
                <c:pt idx="55">
                  <c:v>1017.2593355891382</c:v>
                </c:pt>
                <c:pt idx="56">
                  <c:v>1015.8076042447228</c:v>
                </c:pt>
                <c:pt idx="57">
                  <c:v>1014.3547730358991</c:v>
                </c:pt>
                <c:pt idx="58">
                  <c:v>1012.8988162740964</c:v>
                </c:pt>
                <c:pt idx="59">
                  <c:v>1011.4376703384195</c:v>
                </c:pt>
                <c:pt idx="60">
                  <c:v>1009.9692191952161</c:v>
                </c:pt>
                <c:pt idx="61">
                  <c:v>1008.4988935103584</c:v>
                </c:pt>
                <c:pt idx="62">
                  <c:v>1007.0392301921768</c:v>
                </c:pt>
                <c:pt idx="63">
                  <c:v>1005.566931119871</c:v>
                </c:pt>
                <c:pt idx="64">
                  <c:v>1004.0794928650338</c:v>
                </c:pt>
                <c:pt idx="65">
                  <c:v>1002.5742620587987</c:v>
                </c:pt>
                <c:pt idx="66">
                  <c:v>1001.048407046596</c:v>
                </c:pt>
                <c:pt idx="67">
                  <c:v>999.49888511730023</c:v>
                </c:pt>
                <c:pt idx="68">
                  <c:v>997.92240406508779</c:v>
                </c:pt>
                <c:pt idx="69">
                  <c:v>996.31537666539191</c:v>
                </c:pt>
                <c:pt idx="70">
                  <c:v>994.67386597866209</c:v>
                </c:pt>
                <c:pt idx="71">
                  <c:v>992.99352025797566</c:v>
                </c:pt>
                <c:pt idx="72">
                  <c:v>991.34184914087064</c:v>
                </c:pt>
                <c:pt idx="73">
                  <c:v>989.72700227306382</c:v>
                </c:pt>
                <c:pt idx="74">
                  <c:v>988.06620518701436</c:v>
                </c:pt>
                <c:pt idx="75">
                  <c:v>986.35309975315965</c:v>
                </c:pt>
                <c:pt idx="76">
                  <c:v>984.59392586248009</c:v>
                </c:pt>
                <c:pt idx="77">
                  <c:v>982.91143850338949</c:v>
                </c:pt>
                <c:pt idx="78">
                  <c:v>981.33368194110847</c:v>
                </c:pt>
                <c:pt idx="79">
                  <c:v>979.95387872014544</c:v>
                </c:pt>
                <c:pt idx="80">
                  <c:v>978.87385683953664</c:v>
                </c:pt>
                <c:pt idx="81">
                  <c:v>977.89520793241127</c:v>
                </c:pt>
                <c:pt idx="82">
                  <c:v>977.01553628766169</c:v>
                </c:pt>
                <c:pt idx="83">
                  <c:v>976.23271148241963</c:v>
                </c:pt>
                <c:pt idx="84">
                  <c:v>975.54485667997949</c:v>
                </c:pt>
                <c:pt idx="85">
                  <c:v>974.95033886412978</c:v>
                </c:pt>
                <c:pt idx="86">
                  <c:v>974.44775902672734</c:v>
                </c:pt>
                <c:pt idx="87">
                  <c:v>974.03594548153774</c:v>
                </c:pt>
                <c:pt idx="88">
                  <c:v>973.7139468837496</c:v>
                </c:pt>
                <c:pt idx="89">
                  <c:v>973.48102705796134</c:v>
                </c:pt>
                <c:pt idx="90">
                  <c:v>973.39717183881157</c:v>
                </c:pt>
                <c:pt idx="91">
                  <c:v>973.48102705796134</c:v>
                </c:pt>
                <c:pt idx="92">
                  <c:v>973.7139468837496</c:v>
                </c:pt>
                <c:pt idx="93">
                  <c:v>974.03594548153774</c:v>
                </c:pt>
                <c:pt idx="94">
                  <c:v>974.44775902672745</c:v>
                </c:pt>
                <c:pt idx="95">
                  <c:v>974.95033886412978</c:v>
                </c:pt>
                <c:pt idx="96">
                  <c:v>975.5448566799796</c:v>
                </c:pt>
                <c:pt idx="97">
                  <c:v>976.23271148241975</c:v>
                </c:pt>
                <c:pt idx="98">
                  <c:v>977.01553628766158</c:v>
                </c:pt>
                <c:pt idx="99">
                  <c:v>977.89520793241127</c:v>
                </c:pt>
                <c:pt idx="100">
                  <c:v>978.87385683953653</c:v>
                </c:pt>
                <c:pt idx="101">
                  <c:v>979.95387872014533</c:v>
                </c:pt>
                <c:pt idx="102">
                  <c:v>981.33368194110869</c:v>
                </c:pt>
                <c:pt idx="103">
                  <c:v>982.9114385033896</c:v>
                </c:pt>
                <c:pt idx="104">
                  <c:v>984.59392586247986</c:v>
                </c:pt>
                <c:pt idx="105">
                  <c:v>986.35309975315977</c:v>
                </c:pt>
                <c:pt idx="106">
                  <c:v>988.06620518701436</c:v>
                </c:pt>
                <c:pt idx="107">
                  <c:v>989.72700227306382</c:v>
                </c:pt>
                <c:pt idx="108">
                  <c:v>991.34184914087086</c:v>
                </c:pt>
                <c:pt idx="109">
                  <c:v>992.99352025797589</c:v>
                </c:pt>
                <c:pt idx="110">
                  <c:v>994.67386597866209</c:v>
                </c:pt>
                <c:pt idx="111">
                  <c:v>996.31537666539191</c:v>
                </c:pt>
                <c:pt idx="112">
                  <c:v>997.9224040650879</c:v>
                </c:pt>
                <c:pt idx="113">
                  <c:v>999.49888511730023</c:v>
                </c:pt>
                <c:pt idx="114">
                  <c:v>1001.0484070465959</c:v>
                </c:pt>
                <c:pt idx="115">
                  <c:v>1002.5742620587988</c:v>
                </c:pt>
                <c:pt idx="116">
                  <c:v>1004.0794928650338</c:v>
                </c:pt>
                <c:pt idx="117">
                  <c:v>1005.5669311198711</c:v>
                </c:pt>
                <c:pt idx="118">
                  <c:v>1007.0392301921769</c:v>
                </c:pt>
                <c:pt idx="119">
                  <c:v>1008.4988935103586</c:v>
                </c:pt>
                <c:pt idx="120">
                  <c:v>1009.9692191952161</c:v>
                </c:pt>
                <c:pt idx="121">
                  <c:v>1011.4376703384195</c:v>
                </c:pt>
                <c:pt idx="122">
                  <c:v>1012.8988162740965</c:v>
                </c:pt>
                <c:pt idx="123">
                  <c:v>1014.3547730358993</c:v>
                </c:pt>
                <c:pt idx="124">
                  <c:v>1015.8076042447228</c:v>
                </c:pt>
                <c:pt idx="125">
                  <c:v>1017.2593355891382</c:v>
                </c:pt>
                <c:pt idx="126">
                  <c:v>1018.1467734238556</c:v>
                </c:pt>
                <c:pt idx="127">
                  <c:v>1019.6201784733909</c:v>
                </c:pt>
                <c:pt idx="128">
                  <c:v>1021.0986288316875</c:v>
                </c:pt>
                <c:pt idx="129">
                  <c:v>1022.5841555598581</c:v>
                </c:pt>
                <c:pt idx="130">
                  <c:v>1024.078816834395</c:v>
                </c:pt>
                <c:pt idx="131">
                  <c:v>1025.5847107753632</c:v>
                </c:pt>
                <c:pt idx="132">
                  <c:v>1027.1039887955521</c:v>
                </c:pt>
                <c:pt idx="133">
                  <c:v>1028.6388690230724</c:v>
                </c:pt>
                <c:pt idx="134">
                  <c:v>1029.6047222481961</c:v>
                </c:pt>
                <c:pt idx="135">
                  <c:v>1031.1578653942368</c:v>
                </c:pt>
                <c:pt idx="136">
                  <c:v>1032.7334252494632</c:v>
                </c:pt>
                <c:pt idx="137">
                  <c:v>1034.3340096698353</c:v>
                </c:pt>
                <c:pt idx="138">
                  <c:v>1035.9623768997694</c:v>
                </c:pt>
                <c:pt idx="139">
                  <c:v>1037.6214573802574</c:v>
                </c:pt>
                <c:pt idx="140">
                  <c:v>1039.3143788801776</c:v>
                </c:pt>
                <c:pt idx="141">
                  <c:v>1041.0444937122861</c:v>
                </c:pt>
                <c:pt idx="142">
                  <c:v>1042.8154102055378</c:v>
                </c:pt>
                <c:pt idx="143">
                  <c:v>1044.6310282514282</c:v>
                </c:pt>
                <c:pt idx="144">
                  <c:v>1046.4955799717052</c:v>
                </c:pt>
                <c:pt idx="145">
                  <c:v>1048.4136764100515</c:v>
                </c:pt>
                <c:pt idx="146">
                  <c:v>1050.3744760172258</c:v>
                </c:pt>
                <c:pt idx="147">
                  <c:v>1052.3490071811498</c:v>
                </c:pt>
                <c:pt idx="148">
                  <c:v>1054.3894152432629</c:v>
                </c:pt>
                <c:pt idx="149">
                  <c:v>1056.5021664188891</c:v>
                </c:pt>
                <c:pt idx="150">
                  <c:v>1058.6944463145787</c:v>
                </c:pt>
                <c:pt idx="151">
                  <c:v>1060.9265761683773</c:v>
                </c:pt>
                <c:pt idx="152">
                  <c:v>1063.1202413644314</c:v>
                </c:pt>
                <c:pt idx="153">
                  <c:v>1065.2763583644096</c:v>
                </c:pt>
                <c:pt idx="154">
                  <c:v>1067.3972222391733</c:v>
                </c:pt>
                <c:pt idx="155">
                  <c:v>1069.4850090019806</c:v>
                </c:pt>
                <c:pt idx="156">
                  <c:v>1071.5417854892203</c:v>
                </c:pt>
                <c:pt idx="157">
                  <c:v>1073.5695184124711</c:v>
                </c:pt>
                <c:pt idx="158">
                  <c:v>1075.5700826703176</c:v>
                </c:pt>
                <c:pt idx="159">
                  <c:v>1077.5452689983988</c:v>
                </c:pt>
                <c:pt idx="160">
                  <c:v>1079.496791027568</c:v>
                </c:pt>
                <c:pt idx="161">
                  <c:v>1081.4262918125198</c:v>
                </c:pt>
                <c:pt idx="162">
                  <c:v>1083.3353496544357</c:v>
                </c:pt>
                <c:pt idx="163">
                  <c:v>1084.2075148290967</c:v>
                </c:pt>
                <c:pt idx="164">
                  <c:v>1086.0804768875023</c:v>
                </c:pt>
                <c:pt idx="165">
                  <c:v>1087.9374054751027</c:v>
                </c:pt>
                <c:pt idx="166">
                  <c:v>1089.7796740208928</c:v>
                </c:pt>
                <c:pt idx="167">
                  <c:v>1091.6086161958265</c:v>
                </c:pt>
                <c:pt idx="168">
                  <c:v>1093.4255300415584</c:v>
                </c:pt>
                <c:pt idx="169">
                  <c:v>1095.2316818590309</c:v>
                </c:pt>
                <c:pt idx="170">
                  <c:v>1097.0283099304218</c:v>
                </c:pt>
                <c:pt idx="171">
                  <c:v>1098.8166280787998</c:v>
                </c:pt>
                <c:pt idx="172">
                  <c:v>1100.5978290919579</c:v>
                </c:pt>
                <c:pt idx="173">
                  <c:v>1102.373088031658</c:v>
                </c:pt>
                <c:pt idx="174">
                  <c:v>1104.1435654484555</c:v>
                </c:pt>
                <c:pt idx="175">
                  <c:v>1105.9104105218926</c:v>
                </c:pt>
                <c:pt idx="176">
                  <c:v>1107.674764143474</c:v>
                </c:pt>
                <c:pt idx="177">
                  <c:v>1109.4377619632544</c:v>
                </c:pt>
                <c:pt idx="178">
                  <c:v>1111.2005374111752</c:v>
                </c:pt>
                <c:pt idx="179">
                  <c:v>1112.9635968628411</c:v>
                </c:pt>
                <c:pt idx="180">
                  <c:v>1114.6616338163253</c:v>
                </c:pt>
                <c:pt idx="181">
                  <c:v>1116.3596707698096</c:v>
                </c:pt>
                <c:pt idx="182">
                  <c:v>1118.1227302214756</c:v>
                </c:pt>
                <c:pt idx="183">
                  <c:v>1119.8855056693965</c:v>
                </c:pt>
                <c:pt idx="184">
                  <c:v>1121.6485034891766</c:v>
                </c:pt>
                <c:pt idx="185">
                  <c:v>1123.4128571107581</c:v>
                </c:pt>
                <c:pt idx="186">
                  <c:v>1125.1797021841951</c:v>
                </c:pt>
                <c:pt idx="187">
                  <c:v>1126.9501796009927</c:v>
                </c:pt>
                <c:pt idx="188">
                  <c:v>1128.7254385406929</c:v>
                </c:pt>
                <c:pt idx="189">
                  <c:v>1130.5066395538508</c:v>
                </c:pt>
                <c:pt idx="190">
                  <c:v>1132.2949577022289</c:v>
                </c:pt>
                <c:pt idx="191">
                  <c:v>1134.09158577362</c:v>
                </c:pt>
                <c:pt idx="192">
                  <c:v>1135.8977375910924</c:v>
                </c:pt>
                <c:pt idx="193">
                  <c:v>1137.7146514368242</c:v>
                </c:pt>
                <c:pt idx="194">
                  <c:v>1139.5435936117578</c:v>
                </c:pt>
                <c:pt idx="195">
                  <c:v>1141.3858621575482</c:v>
                </c:pt>
                <c:pt idx="196">
                  <c:v>1143.2427907451486</c:v>
                </c:pt>
                <c:pt idx="197">
                  <c:v>1145.115752803554</c:v>
                </c:pt>
                <c:pt idx="198">
                  <c:v>1145.9879179782149</c:v>
                </c:pt>
                <c:pt idx="199">
                  <c:v>1147.8969758201308</c:v>
                </c:pt>
                <c:pt idx="200">
                  <c:v>1149.8264766050827</c:v>
                </c:pt>
                <c:pt idx="201">
                  <c:v>1151.7779986342518</c:v>
                </c:pt>
                <c:pt idx="202">
                  <c:v>1153.7531849623331</c:v>
                </c:pt>
                <c:pt idx="203">
                  <c:v>1155.7537492201795</c:v>
                </c:pt>
                <c:pt idx="204">
                  <c:v>1157.7814821434304</c:v>
                </c:pt>
                <c:pt idx="205">
                  <c:v>1159.83825863067</c:v>
                </c:pt>
                <c:pt idx="206">
                  <c:v>1161.9260453934776</c:v>
                </c:pt>
                <c:pt idx="207">
                  <c:v>1164.0469092682411</c:v>
                </c:pt>
                <c:pt idx="208">
                  <c:v>1166.2030262682192</c:v>
                </c:pt>
                <c:pt idx="209">
                  <c:v>1168.3966914642733</c:v>
                </c:pt>
                <c:pt idx="210">
                  <c:v>1170.6288213180721</c:v>
                </c:pt>
                <c:pt idx="211">
                  <c:v>1172.8211012137615</c:v>
                </c:pt>
                <c:pt idx="212">
                  <c:v>1174.9338523893878</c:v>
                </c:pt>
                <c:pt idx="213">
                  <c:v>1176.9742604515011</c:v>
                </c:pt>
                <c:pt idx="214">
                  <c:v>1178.9487916154251</c:v>
                </c:pt>
                <c:pt idx="215">
                  <c:v>1180.9095912225991</c:v>
                </c:pt>
                <c:pt idx="216">
                  <c:v>1182.8276876609457</c:v>
                </c:pt>
                <c:pt idx="217">
                  <c:v>1184.6922393812226</c:v>
                </c:pt>
                <c:pt idx="218">
                  <c:v>1186.5078574271129</c:v>
                </c:pt>
                <c:pt idx="219">
                  <c:v>1188.2787739203645</c:v>
                </c:pt>
                <c:pt idx="220">
                  <c:v>1190.0088887524732</c:v>
                </c:pt>
                <c:pt idx="221">
                  <c:v>1191.7018102523932</c:v>
                </c:pt>
                <c:pt idx="222">
                  <c:v>1193.3608907328812</c:v>
                </c:pt>
                <c:pt idx="223">
                  <c:v>1194.9892579628154</c:v>
                </c:pt>
                <c:pt idx="224">
                  <c:v>1196.5898423831873</c:v>
                </c:pt>
                <c:pt idx="225">
                  <c:v>1198.1654022384139</c:v>
                </c:pt>
                <c:pt idx="226">
                  <c:v>1199.7185453844545</c:v>
                </c:pt>
                <c:pt idx="227">
                  <c:v>1200.6843986095782</c:v>
                </c:pt>
                <c:pt idx="228">
                  <c:v>1202.2192788370985</c:v>
                </c:pt>
                <c:pt idx="229">
                  <c:v>1203.7385568572874</c:v>
                </c:pt>
                <c:pt idx="230">
                  <c:v>1205.2444507982557</c:v>
                </c:pt>
                <c:pt idx="231">
                  <c:v>1206.7391120727925</c:v>
                </c:pt>
                <c:pt idx="232">
                  <c:v>1208.224638800963</c:v>
                </c:pt>
                <c:pt idx="233">
                  <c:v>1209.7030891592599</c:v>
                </c:pt>
                <c:pt idx="234">
                  <c:v>1211.176494208795</c:v>
                </c:pt>
                <c:pt idx="235">
                  <c:v>1212.0639320435123</c:v>
                </c:pt>
                <c:pt idx="236">
                  <c:v>1213.515663387928</c:v>
                </c:pt>
                <c:pt idx="237">
                  <c:v>1214.9684945967515</c:v>
                </c:pt>
                <c:pt idx="238">
                  <c:v>1216.4244513585541</c:v>
                </c:pt>
                <c:pt idx="239">
                  <c:v>1217.8855972942313</c:v>
                </c:pt>
                <c:pt idx="240">
                  <c:v>1219.3540484374346</c:v>
                </c:pt>
                <c:pt idx="241">
                  <c:v>1220.8243741222923</c:v>
                </c:pt>
                <c:pt idx="242">
                  <c:v>1222.2840374404736</c:v>
                </c:pt>
                <c:pt idx="243">
                  <c:v>1223.7563365127794</c:v>
                </c:pt>
                <c:pt idx="244">
                  <c:v>1225.243774767617</c:v>
                </c:pt>
                <c:pt idx="245">
                  <c:v>1226.7490055738519</c:v>
                </c:pt>
                <c:pt idx="246">
                  <c:v>1228.2748605860547</c:v>
                </c:pt>
                <c:pt idx="247">
                  <c:v>1229.8243825153504</c:v>
                </c:pt>
                <c:pt idx="248">
                  <c:v>1231.4008635675627</c:v>
                </c:pt>
                <c:pt idx="249">
                  <c:v>1233.0078909672586</c:v>
                </c:pt>
                <c:pt idx="250">
                  <c:v>1234.6494016539887</c:v>
                </c:pt>
                <c:pt idx="251">
                  <c:v>1236.329747374675</c:v>
                </c:pt>
                <c:pt idx="252">
                  <c:v>1237.98141849178</c:v>
                </c:pt>
                <c:pt idx="253">
                  <c:v>1239.5962653595868</c:v>
                </c:pt>
                <c:pt idx="254">
                  <c:v>1241.2570624456364</c:v>
                </c:pt>
                <c:pt idx="255">
                  <c:v>1242.9701678794909</c:v>
                </c:pt>
                <c:pt idx="256">
                  <c:v>1244.7293417701708</c:v>
                </c:pt>
                <c:pt idx="257">
                  <c:v>1246.4118291292612</c:v>
                </c:pt>
                <c:pt idx="258">
                  <c:v>1247.9895856915418</c:v>
                </c:pt>
                <c:pt idx="259">
                  <c:v>1249.3693889125052</c:v>
                </c:pt>
                <c:pt idx="260">
                  <c:v>1250.4494107931141</c:v>
                </c:pt>
                <c:pt idx="261">
                  <c:v>1251.4280597002394</c:v>
                </c:pt>
                <c:pt idx="262">
                  <c:v>1252.307731344989</c:v>
                </c:pt>
                <c:pt idx="263">
                  <c:v>1253.0905561502309</c:v>
                </c:pt>
                <c:pt idx="264">
                  <c:v>1253.778410952671</c:v>
                </c:pt>
                <c:pt idx="265">
                  <c:v>1254.3729287685208</c:v>
                </c:pt>
                <c:pt idx="266">
                  <c:v>1254.8755086059232</c:v>
                </c:pt>
                <c:pt idx="267">
                  <c:v>1255.2873221511127</c:v>
                </c:pt>
                <c:pt idx="268">
                  <c:v>1255.6093207489009</c:v>
                </c:pt>
                <c:pt idx="269">
                  <c:v>1255.8422405746894</c:v>
                </c:pt>
                <c:pt idx="270">
                  <c:v>1255.9260957938391</c:v>
                </c:pt>
                <c:pt idx="271">
                  <c:v>1255.8422405746892</c:v>
                </c:pt>
                <c:pt idx="272">
                  <c:v>1255.6093207489009</c:v>
                </c:pt>
                <c:pt idx="273">
                  <c:v>1255.2873221511129</c:v>
                </c:pt>
                <c:pt idx="274">
                  <c:v>1254.8755086059232</c:v>
                </c:pt>
                <c:pt idx="275">
                  <c:v>1254.3729287685208</c:v>
                </c:pt>
                <c:pt idx="276">
                  <c:v>1253.778410952671</c:v>
                </c:pt>
                <c:pt idx="277">
                  <c:v>1253.0905561502309</c:v>
                </c:pt>
                <c:pt idx="278">
                  <c:v>1252.307731344989</c:v>
                </c:pt>
                <c:pt idx="279">
                  <c:v>1251.4280597002394</c:v>
                </c:pt>
                <c:pt idx="280">
                  <c:v>1250.4494107931141</c:v>
                </c:pt>
                <c:pt idx="281">
                  <c:v>1249.3693889125052</c:v>
                </c:pt>
                <c:pt idx="282">
                  <c:v>1247.9895856915421</c:v>
                </c:pt>
                <c:pt idx="283">
                  <c:v>1246.4118291292612</c:v>
                </c:pt>
                <c:pt idx="284">
                  <c:v>1244.7293417701705</c:v>
                </c:pt>
                <c:pt idx="285">
                  <c:v>1242.9701678794909</c:v>
                </c:pt>
                <c:pt idx="286">
                  <c:v>1241.2570624456362</c:v>
                </c:pt>
                <c:pt idx="287">
                  <c:v>1239.5962653595868</c:v>
                </c:pt>
                <c:pt idx="288">
                  <c:v>1237.98141849178</c:v>
                </c:pt>
                <c:pt idx="289">
                  <c:v>1236.3297473746748</c:v>
                </c:pt>
                <c:pt idx="290">
                  <c:v>1234.6494016539882</c:v>
                </c:pt>
                <c:pt idx="291">
                  <c:v>1233.0078909672586</c:v>
                </c:pt>
                <c:pt idx="292">
                  <c:v>1231.4008635675627</c:v>
                </c:pt>
                <c:pt idx="293">
                  <c:v>1229.8243825153504</c:v>
                </c:pt>
                <c:pt idx="294">
                  <c:v>1228.2748605860547</c:v>
                </c:pt>
                <c:pt idx="295">
                  <c:v>1226.7490055738517</c:v>
                </c:pt>
                <c:pt idx="296">
                  <c:v>1225.2437747676167</c:v>
                </c:pt>
                <c:pt idx="297">
                  <c:v>1223.7563365127796</c:v>
                </c:pt>
                <c:pt idx="298">
                  <c:v>1222.2840374404739</c:v>
                </c:pt>
                <c:pt idx="299">
                  <c:v>1220.8243741222921</c:v>
                </c:pt>
                <c:pt idx="300">
                  <c:v>1219.3540484374346</c:v>
                </c:pt>
                <c:pt idx="301">
                  <c:v>1217.8855972942313</c:v>
                </c:pt>
                <c:pt idx="302">
                  <c:v>1216.4244513585543</c:v>
                </c:pt>
                <c:pt idx="303">
                  <c:v>1214.9684945967515</c:v>
                </c:pt>
                <c:pt idx="304">
                  <c:v>1213.5156633879278</c:v>
                </c:pt>
                <c:pt idx="305">
                  <c:v>1212.0639320435123</c:v>
                </c:pt>
                <c:pt idx="306">
                  <c:v>1211.176494208795</c:v>
                </c:pt>
                <c:pt idx="307">
                  <c:v>1209.7030891592599</c:v>
                </c:pt>
                <c:pt idx="308">
                  <c:v>1208.2246388009632</c:v>
                </c:pt>
                <c:pt idx="309">
                  <c:v>1206.7391120727925</c:v>
                </c:pt>
                <c:pt idx="310">
                  <c:v>1205.2444507982557</c:v>
                </c:pt>
                <c:pt idx="311">
                  <c:v>1203.7385568572874</c:v>
                </c:pt>
                <c:pt idx="312">
                  <c:v>1202.2192788370985</c:v>
                </c:pt>
                <c:pt idx="313">
                  <c:v>1200.6843986095782</c:v>
                </c:pt>
                <c:pt idx="314">
                  <c:v>1199.7185453844547</c:v>
                </c:pt>
                <c:pt idx="315">
                  <c:v>1198.1654022384139</c:v>
                </c:pt>
                <c:pt idx="316">
                  <c:v>1196.5898423831875</c:v>
                </c:pt>
                <c:pt idx="317">
                  <c:v>1194.9892579628154</c:v>
                </c:pt>
                <c:pt idx="318">
                  <c:v>1193.360890732881</c:v>
                </c:pt>
                <c:pt idx="319">
                  <c:v>1191.701810252393</c:v>
                </c:pt>
                <c:pt idx="320">
                  <c:v>1190.008888752473</c:v>
                </c:pt>
                <c:pt idx="321">
                  <c:v>1188.2787739203645</c:v>
                </c:pt>
                <c:pt idx="322">
                  <c:v>1186.5078574271129</c:v>
                </c:pt>
                <c:pt idx="323">
                  <c:v>1184.6922393812224</c:v>
                </c:pt>
                <c:pt idx="324">
                  <c:v>1182.8276876609455</c:v>
                </c:pt>
                <c:pt idx="325">
                  <c:v>1180.9095912225991</c:v>
                </c:pt>
                <c:pt idx="326">
                  <c:v>1178.9487916154249</c:v>
                </c:pt>
                <c:pt idx="327">
                  <c:v>1176.9742604515009</c:v>
                </c:pt>
                <c:pt idx="328">
                  <c:v>1174.9338523893878</c:v>
                </c:pt>
                <c:pt idx="329">
                  <c:v>1172.8211012137615</c:v>
                </c:pt>
                <c:pt idx="330">
                  <c:v>1170.6288213180721</c:v>
                </c:pt>
                <c:pt idx="331">
                  <c:v>1168.3966914642731</c:v>
                </c:pt>
                <c:pt idx="332">
                  <c:v>1166.2030262682192</c:v>
                </c:pt>
                <c:pt idx="333">
                  <c:v>1164.0469092682411</c:v>
                </c:pt>
                <c:pt idx="334">
                  <c:v>1161.9260453934774</c:v>
                </c:pt>
                <c:pt idx="335">
                  <c:v>1159.8382586306698</c:v>
                </c:pt>
                <c:pt idx="336">
                  <c:v>1157.7814821434304</c:v>
                </c:pt>
                <c:pt idx="337">
                  <c:v>1155.7537492201795</c:v>
                </c:pt>
                <c:pt idx="338">
                  <c:v>1153.7531849623331</c:v>
                </c:pt>
                <c:pt idx="339">
                  <c:v>1151.7779986342518</c:v>
                </c:pt>
                <c:pt idx="340">
                  <c:v>1149.8264766050825</c:v>
                </c:pt>
                <c:pt idx="341">
                  <c:v>1147.8969758201308</c:v>
                </c:pt>
                <c:pt idx="342">
                  <c:v>1145.9879179782149</c:v>
                </c:pt>
                <c:pt idx="343">
                  <c:v>1145.115752803554</c:v>
                </c:pt>
                <c:pt idx="344">
                  <c:v>1143.2427907451483</c:v>
                </c:pt>
                <c:pt idx="345">
                  <c:v>1141.385862157548</c:v>
                </c:pt>
                <c:pt idx="346">
                  <c:v>1139.5435936117578</c:v>
                </c:pt>
                <c:pt idx="347">
                  <c:v>1137.7146514368242</c:v>
                </c:pt>
                <c:pt idx="348">
                  <c:v>1135.8977375910922</c:v>
                </c:pt>
                <c:pt idx="349">
                  <c:v>1134.0915857736197</c:v>
                </c:pt>
                <c:pt idx="350">
                  <c:v>1132.2949577022289</c:v>
                </c:pt>
                <c:pt idx="351">
                  <c:v>1130.5066395538508</c:v>
                </c:pt>
                <c:pt idx="352">
                  <c:v>1128.7254385406927</c:v>
                </c:pt>
                <c:pt idx="353">
                  <c:v>1126.9501796009927</c:v>
                </c:pt>
                <c:pt idx="354">
                  <c:v>1125.1797021841951</c:v>
                </c:pt>
                <c:pt idx="355">
                  <c:v>1123.4128571107581</c:v>
                </c:pt>
                <c:pt idx="356">
                  <c:v>1121.6485034891766</c:v>
                </c:pt>
                <c:pt idx="357">
                  <c:v>1119.8855056693965</c:v>
                </c:pt>
                <c:pt idx="358">
                  <c:v>1118.1227302214754</c:v>
                </c:pt>
                <c:pt idx="359">
                  <c:v>1116.3596707698096</c:v>
                </c:pt>
                <c:pt idx="360">
                  <c:v>1114.6616338163253</c:v>
                </c:pt>
                <c:pt idx="361">
                  <c:v>1114.6616338163253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37-4DFD-B928-AD37DD41979B}"/>
            </c:ext>
          </c:extLst>
        </c:ser>
        <c:ser>
          <c:idx val="4"/>
          <c:order val="6"/>
          <c:tx>
            <c:v>User Load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4"/>
            <c:spPr>
              <a:solidFill>
                <a:srgbClr val="FF0000"/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xVal>
            <c:numRef>
              <c:f>failure_surface!$L$19</c:f>
              <c:numCache>
                <c:formatCode>General</c:formatCode>
                <c:ptCount val="1"/>
                <c:pt idx="0">
                  <c:v>136.0000000000002</c:v>
                </c:pt>
              </c:numCache>
            </c:numRef>
          </c:xVal>
          <c:yVal>
            <c:numRef>
              <c:f>failure_surface!$M$19</c:f>
              <c:numCache>
                <c:formatCode>General</c:formatCode>
                <c:ptCount val="1"/>
                <c:pt idx="0">
                  <c:v>1153.5525067815854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4D-4984-B106-1700280D5561}"/>
            </c:ext>
          </c:extLst>
        </c:ser>
        <c:ser>
          <c:idx val="5"/>
          <c:order val="7"/>
          <c:tx>
            <c:v>Calculated Interaction Point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failure_surface!$L$20</c:f>
              <c:numCache>
                <c:formatCode>General</c:formatCode>
                <c:ptCount val="1"/>
                <c:pt idx="0">
                  <c:v>304.10279228703172</c:v>
                </c:pt>
              </c:numCache>
            </c:numRef>
          </c:xVal>
          <c:yVal>
            <c:numRef>
              <c:f>failure_surface!$M$20</c:f>
              <c:numCache>
                <c:formatCode>General</c:formatCode>
                <c:ptCount val="1"/>
                <c:pt idx="0">
                  <c:v>1114.6616341968274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C4-4828-94BE-D10A935BED30}"/>
            </c:ext>
          </c:extLst>
        </c:ser>
        <c:ser>
          <c:idx val="7"/>
          <c:order val="8"/>
          <c:tx>
            <c:v>user-calc line</c:v>
          </c:tx>
          <c:spPr>
            <a:ln w="12700" cap="rnd">
              <a:solidFill>
                <a:schemeClr val="tx1">
                  <a:lumMod val="95000"/>
                  <a:lumOff val="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chemeClr val="tx1">
                    <a:lumMod val="95000"/>
                    <a:lumOff val="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F8B-4924-A63B-A165C154DAF9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2700" cap="rnd">
                <a:solidFill>
                  <a:schemeClr val="tx1">
                    <a:lumMod val="95000"/>
                    <a:lumOff val="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F5C-4170-85C8-6698EFED0A84}"/>
              </c:ext>
            </c:extLst>
          </c:dPt>
          <c:xVal>
            <c:numRef>
              <c:f>failure_surface!$L$18:$L$20</c:f>
              <c:numCache>
                <c:formatCode>General</c:formatCode>
                <c:ptCount val="3"/>
                <c:pt idx="0">
                  <c:v>0</c:v>
                </c:pt>
                <c:pt idx="1">
                  <c:v>136.0000000000002</c:v>
                </c:pt>
                <c:pt idx="2">
                  <c:v>304.10279228703172</c:v>
                </c:pt>
              </c:numCache>
            </c:numRef>
          </c:xVal>
          <c:yVal>
            <c:numRef>
              <c:f>failure_surface!$M$18:$M$20</c:f>
              <c:numCache>
                <c:formatCode>General</c:formatCode>
                <c:ptCount val="3"/>
                <c:pt idx="0">
                  <c:v>0</c:v>
                </c:pt>
                <c:pt idx="1">
                  <c:v>1153.5525067815854</c:v>
                </c:pt>
                <c:pt idx="2">
                  <c:v>1114.6616341968274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D7-4F4D-A7CD-C8FC387B8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525071"/>
        <c:axId val="1358811903"/>
      </c:scatterChart>
      <c:valAx>
        <c:axId val="1564525071"/>
        <c:scaling>
          <c:orientation val="minMax"/>
          <c:max val="1607"/>
          <c:min val="-1607"/>
        </c:scaling>
        <c:delete val="1"/>
        <c:axPos val="b"/>
        <c:numFmt formatCode="General" sourceLinked="1"/>
        <c:majorTickMark val="none"/>
        <c:minorTickMark val="none"/>
        <c:tickLblPos val="nextTo"/>
        <c:crossAx val="1358811903"/>
        <c:crosses val="autoZero"/>
        <c:crossBetween val="midCat"/>
        <c:majorUnit val="25"/>
      </c:valAx>
      <c:valAx>
        <c:axId val="1358811903"/>
        <c:scaling>
          <c:orientation val="minMax"/>
          <c:max val="1607"/>
          <c:min val="-1607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64525071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I$5" horiz="1" max="360" page="10" val="45"/>
</file>

<file path=xl/ctrlProps/ctrlProp8.xml><?xml version="1.0" encoding="utf-8"?>
<formControlPr xmlns="http://schemas.microsoft.com/office/spreadsheetml/2009/9/main" objectType="Scroll" dx="22" fmlaLink="$J$5" horiz="1" max="360" page="10" val="180"/>
</file>

<file path=xl/ctrlProps/ctrlProp9.xml><?xml version="1.0" encoding="utf-8"?>
<formControlPr xmlns="http://schemas.microsoft.com/office/spreadsheetml/2009/9/main" objectType="Scroll" dx="22" fmlaLink="$K$5" horiz="1" max="36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474382</xdr:colOff>
      <xdr:row>119</xdr:row>
      <xdr:rowOff>157070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(Interaction Point only does not update the plots below)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60699</xdr:colOff>
      <xdr:row>127</xdr:row>
      <xdr:rowOff>69850</xdr:rowOff>
    </xdr:from>
    <xdr:to>
      <xdr:col>14</xdr:col>
      <xdr:colOff>616324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(recommend running this prior to P-M curve)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(Can take several seconds up to minutes)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20</xdr:row>
          <xdr:rowOff>104775</xdr:rowOff>
        </xdr:from>
        <xdr:to>
          <xdr:col>19</xdr:col>
          <xdr:colOff>828675</xdr:colOff>
          <xdr:row>23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Bars From Pattern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123265</xdr:colOff>
      <xdr:row>47</xdr:row>
      <xdr:rowOff>1118</xdr:rowOff>
    </xdr:from>
    <xdr:to>
      <xdr:col>43</xdr:col>
      <xdr:colOff>112059</xdr:colOff>
      <xdr:row>80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122</xdr:row>
          <xdr:rowOff>66675</xdr:rowOff>
        </xdr:from>
        <xdr:to>
          <xdr:col>18</xdr:col>
          <xdr:colOff>266700</xdr:colOff>
          <xdr:row>125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find an interaction point with the same 3d unit vector of the applied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122</xdr:row>
          <xdr:rowOff>76200</xdr:rowOff>
        </xdr:from>
        <xdr:to>
          <xdr:col>21</xdr:col>
          <xdr:colOff>266700</xdr:colOff>
          <xdr:row>125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Failure Surface Slices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(takes a very long time to run)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67236</xdr:colOff>
      <xdr:row>82</xdr:row>
      <xdr:rowOff>34735</xdr:rowOff>
    </xdr:from>
    <xdr:to>
      <xdr:col>24</xdr:col>
      <xdr:colOff>78441</xdr:colOff>
      <xdr:row>107</xdr:row>
      <xdr:rowOff>134469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7</xdr:row>
      <xdr:rowOff>19050</xdr:rowOff>
    </xdr:from>
    <xdr:to>
      <xdr:col>23</xdr:col>
      <xdr:colOff>514350</xdr:colOff>
      <xdr:row>49</xdr:row>
      <xdr:rowOff>142875</xdr:rowOff>
    </xdr:to>
    <xdr:graphicFrame macro="">
      <xdr:nvGraphicFramePr>
        <xdr:cNvPr id="2" name="Chart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600075</xdr:colOff>
          <xdr:row>1</xdr:row>
          <xdr:rowOff>9525</xdr:rowOff>
        </xdr:from>
        <xdr:to>
          <xdr:col>25</xdr:col>
          <xdr:colOff>600075</xdr:colOff>
          <xdr:row>2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3</xdr:row>
          <xdr:rowOff>0</xdr:rowOff>
        </xdr:from>
        <xdr:to>
          <xdr:col>25</xdr:col>
          <xdr:colOff>600075</xdr:colOff>
          <xdr:row>3</xdr:row>
          <xdr:rowOff>180975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600075</xdr:colOff>
          <xdr:row>5</xdr:row>
          <xdr:rowOff>0</xdr:rowOff>
        </xdr:from>
        <xdr:to>
          <xdr:col>25</xdr:col>
          <xdr:colOff>600075</xdr:colOff>
          <xdr:row>5</xdr:row>
          <xdr:rowOff>180975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D498"/>
  <sheetViews>
    <sheetView tabSelected="1" zoomScale="85" zoomScaleNormal="85" workbookViewId="0">
      <selection activeCell="K112" sqref="K112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4.140625" customWidth="1"/>
    <col min="5" max="5" width="10.42578125" customWidth="1"/>
    <col min="6" max="6" width="19.85546875" customWidth="1"/>
    <col min="7" max="7" width="20.285156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12.85546875" bestFit="1" customWidth="1"/>
    <col min="14" max="14" width="12.42578125" customWidth="1"/>
    <col min="15" max="15" width="10.42578125" bestFit="1" customWidth="1"/>
    <col min="16" max="16" width="12.85546875" bestFit="1" customWidth="1"/>
    <col min="17" max="17" width="10.5703125" bestFit="1" customWidth="1"/>
    <col min="18" max="18" width="9.7109375" bestFit="1" customWidth="1"/>
    <col min="19" max="19" width="17.140625" customWidth="1"/>
    <col min="20" max="20" width="20.42578125" bestFit="1" customWidth="1"/>
    <col min="21" max="21" width="11.42578125" customWidth="1"/>
    <col min="22" max="22" width="11.85546875" customWidth="1"/>
    <col min="23" max="23" width="12.28515625" customWidth="1"/>
    <col min="24" max="24" width="11.7109375" bestFit="1" customWidth="1"/>
    <col min="25" max="25" width="12.140625" bestFit="1" customWidth="1"/>
    <col min="26" max="26" width="9" bestFit="1" customWidth="1"/>
    <col min="29" max="29" width="12.28515625" bestFit="1" customWidth="1"/>
    <col min="30" max="30" width="12.85546875" bestFit="1" customWidth="1"/>
  </cols>
  <sheetData>
    <row r="1" spans="1:21" ht="15.75" thickBot="1" x14ac:dyDescent="0.3">
      <c r="D1" t="s">
        <v>7</v>
      </c>
      <c r="G1" t="s">
        <v>14</v>
      </c>
    </row>
    <row r="2" spans="1:21" x14ac:dyDescent="0.25">
      <c r="A2" s="2" t="s">
        <v>4</v>
      </c>
      <c r="B2" s="34">
        <v>8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  <c r="S2" s="55" t="s">
        <v>96</v>
      </c>
      <c r="T2" s="58" t="s">
        <v>97</v>
      </c>
      <c r="U2" s="39"/>
    </row>
    <row r="3" spans="1:21" x14ac:dyDescent="0.25">
      <c r="A3" s="2" t="s">
        <v>13</v>
      </c>
      <c r="B3" s="3">
        <f>(POWER(145,1.5)*33*SQRT(1000*B2))/1000</f>
        <v>5153.6027204277198</v>
      </c>
      <c r="C3" t="s">
        <v>5</v>
      </c>
      <c r="D3" s="5">
        <v>0</v>
      </c>
      <c r="E3" s="5">
        <v>0</v>
      </c>
      <c r="G3" s="6">
        <f>MAX(MAX(D3:D7),MAX(E3:E7))+1</f>
        <v>25</v>
      </c>
      <c r="H3" s="6">
        <f>G3</f>
        <v>25</v>
      </c>
      <c r="S3" s="59">
        <v>8</v>
      </c>
      <c r="T3" s="45" t="s">
        <v>100</v>
      </c>
      <c r="U3" s="43"/>
    </row>
    <row r="4" spans="1:21" x14ac:dyDescent="0.25">
      <c r="A4" s="2" t="s">
        <v>35</v>
      </c>
      <c r="B4" s="1">
        <f>IF(B2&lt;=4,0.85,IF(B2&lt;=8,0.85 - ((0.05*(B2-4))/1),0.65))</f>
        <v>0.64999999999999991</v>
      </c>
      <c r="D4" s="5">
        <f>B5</f>
        <v>16</v>
      </c>
      <c r="E4" s="5">
        <v>0</v>
      </c>
      <c r="G4">
        <v>-1</v>
      </c>
      <c r="H4">
        <v>-1</v>
      </c>
      <c r="S4" s="44">
        <f ca="1">OFFSET(Reference!A$1,MATCH('Cross Section Analysis'!S3,Reference!A$1:A$12,0)-1,1)</f>
        <v>1</v>
      </c>
      <c r="T4" s="45" t="s">
        <v>103</v>
      </c>
      <c r="U4" s="43"/>
    </row>
    <row r="5" spans="1:21" x14ac:dyDescent="0.25">
      <c r="A5" s="2" t="s">
        <v>2</v>
      </c>
      <c r="B5" s="34">
        <v>16</v>
      </c>
      <c r="C5" t="s">
        <v>6</v>
      </c>
      <c r="D5" s="5">
        <f>B5</f>
        <v>16</v>
      </c>
      <c r="E5" s="5">
        <f>B6</f>
        <v>24</v>
      </c>
      <c r="G5" t="s">
        <v>33</v>
      </c>
      <c r="S5" s="59">
        <v>3</v>
      </c>
      <c r="T5" s="45" t="s">
        <v>101</v>
      </c>
      <c r="U5" s="43"/>
    </row>
    <row r="6" spans="1:21" x14ac:dyDescent="0.25">
      <c r="A6" s="2" t="s">
        <v>3</v>
      </c>
      <c r="B6" s="34">
        <v>24</v>
      </c>
      <c r="C6" t="s">
        <v>6</v>
      </c>
      <c r="D6" s="5">
        <v>0</v>
      </c>
      <c r="E6" s="5">
        <f>B6</f>
        <v>24</v>
      </c>
      <c r="G6" t="s">
        <v>0</v>
      </c>
      <c r="H6" t="s">
        <v>1</v>
      </c>
      <c r="S6" s="44">
        <f ca="1">OFFSET(Reference!A$1,MATCH('Cross Section Analysis'!S5,Reference!A$1:A$12,0)-1,1)</f>
        <v>0.375</v>
      </c>
      <c r="T6" s="45" t="s">
        <v>105</v>
      </c>
      <c r="U6" s="43"/>
    </row>
    <row r="7" spans="1:21" x14ac:dyDescent="0.25">
      <c r="D7" s="5">
        <v>0</v>
      </c>
      <c r="E7" s="5">
        <v>0</v>
      </c>
      <c r="G7">
        <f>B5/2</f>
        <v>8</v>
      </c>
      <c r="H7">
        <f>B6/2</f>
        <v>12</v>
      </c>
      <c r="S7" s="56">
        <v>2</v>
      </c>
      <c r="T7" s="45" t="s">
        <v>106</v>
      </c>
      <c r="U7" s="43"/>
    </row>
    <row r="8" spans="1:21" x14ac:dyDescent="0.25">
      <c r="S8" s="44" t="s">
        <v>115</v>
      </c>
      <c r="T8" s="45"/>
      <c r="U8" s="43"/>
    </row>
    <row r="9" spans="1:21" x14ac:dyDescent="0.25">
      <c r="A9" t="s">
        <v>8</v>
      </c>
      <c r="S9" s="56">
        <v>4</v>
      </c>
      <c r="T9" s="45" t="s">
        <v>98</v>
      </c>
      <c r="U9" s="43"/>
    </row>
    <row r="10" spans="1:21" x14ac:dyDescent="0.25">
      <c r="A10" t="s">
        <v>9</v>
      </c>
      <c r="B10" s="34">
        <v>60</v>
      </c>
      <c r="C10" t="s">
        <v>5</v>
      </c>
      <c r="F10" s="25" t="s">
        <v>85</v>
      </c>
      <c r="S10" s="56">
        <v>3</v>
      </c>
      <c r="T10" s="45" t="s">
        <v>99</v>
      </c>
      <c r="U10" s="43"/>
    </row>
    <row r="11" spans="1:21" x14ac:dyDescent="0.25">
      <c r="A11" t="s">
        <v>12</v>
      </c>
      <c r="B11" s="3">
        <v>29000</v>
      </c>
      <c r="C11" t="s">
        <v>5</v>
      </c>
      <c r="F11" s="25" t="s">
        <v>86</v>
      </c>
      <c r="S11" s="44">
        <f>(2*S9)+((2*S10)-4)</f>
        <v>10</v>
      </c>
      <c r="T11" s="45" t="s">
        <v>104</v>
      </c>
      <c r="U11" s="43"/>
    </row>
    <row r="12" spans="1:21" x14ac:dyDescent="0.25">
      <c r="B12" s="1" t="s">
        <v>10</v>
      </c>
      <c r="C12" t="s">
        <v>11</v>
      </c>
      <c r="D12" s="1" t="s">
        <v>0</v>
      </c>
      <c r="E12" s="1" t="s">
        <v>1</v>
      </c>
      <c r="F12" s="25" t="s">
        <v>87</v>
      </c>
      <c r="S12" s="44" t="s">
        <v>113</v>
      </c>
      <c r="T12" s="57" t="s">
        <v>114</v>
      </c>
      <c r="U12" s="43"/>
    </row>
    <row r="13" spans="1:21" x14ac:dyDescent="0.25">
      <c r="A13">
        <v>1</v>
      </c>
      <c r="B13" s="33">
        <v>8</v>
      </c>
      <c r="C13" s="4">
        <f ca="1">OFFSET(Reference!A$1,MATCH('Cross Section Analysis'!B13,Reference!A$1:A$12,0)-1,2)</f>
        <v>0.79</v>
      </c>
      <c r="D13" s="34">
        <v>3.125</v>
      </c>
      <c r="E13" s="34">
        <v>3.125</v>
      </c>
      <c r="F13" s="25" t="s">
        <v>88</v>
      </c>
      <c r="S13" s="63">
        <f ca="1">2*S6</f>
        <v>0.75</v>
      </c>
      <c r="T13" s="57" t="s">
        <v>120</v>
      </c>
      <c r="U13" s="43"/>
    </row>
    <row r="14" spans="1:21" x14ac:dyDescent="0.25">
      <c r="A14">
        <v>2</v>
      </c>
      <c r="B14" s="33">
        <v>8</v>
      </c>
      <c r="C14" s="4">
        <f ca="1">OFFSET(Reference!A$1,MATCH('Cross Section Analysis'!B14,Reference!A$1:A$12,0)-1,2)</f>
        <v>0.79</v>
      </c>
      <c r="D14" s="34">
        <v>8</v>
      </c>
      <c r="E14" s="34">
        <v>3.125</v>
      </c>
      <c r="F14" s="25" t="s">
        <v>89</v>
      </c>
      <c r="S14" s="63">
        <f ca="1">0.5*S4</f>
        <v>0.5</v>
      </c>
      <c r="T14" s="57" t="s">
        <v>102</v>
      </c>
      <c r="U14" s="43"/>
    </row>
    <row r="15" spans="1:21" x14ac:dyDescent="0.25">
      <c r="A15">
        <v>3</v>
      </c>
      <c r="B15" s="33">
        <v>8</v>
      </c>
      <c r="C15" s="4">
        <f ca="1">OFFSET(Reference!A$1,MATCH('Cross Section Analysis'!B15,Reference!A$1:A$12,0)-1,2)</f>
        <v>0.79</v>
      </c>
      <c r="D15" s="34">
        <v>12.875</v>
      </c>
      <c r="E15" s="34">
        <v>3.125</v>
      </c>
      <c r="S15" s="63">
        <f ca="1">MAX(S13:S14)</f>
        <v>0.75</v>
      </c>
      <c r="T15" s="57" t="s">
        <v>107</v>
      </c>
      <c r="U15" s="43"/>
    </row>
    <row r="16" spans="1:21" x14ac:dyDescent="0.25">
      <c r="A16">
        <v>4</v>
      </c>
      <c r="B16" s="33">
        <v>8</v>
      </c>
      <c r="C16" s="4">
        <f ca="1">OFFSET(Reference!A$1,MATCH('Cross Section Analysis'!B16,Reference!A$1:A$12,0)-1,2)</f>
        <v>0.79</v>
      </c>
      <c r="D16" s="34">
        <v>3.125</v>
      </c>
      <c r="E16" s="34">
        <v>9.0416666666666679</v>
      </c>
      <c r="S16" s="63">
        <f ca="1">S7+S6+S15</f>
        <v>3.125</v>
      </c>
      <c r="T16" s="57" t="s">
        <v>109</v>
      </c>
      <c r="U16" s="43"/>
    </row>
    <row r="17" spans="1:21" x14ac:dyDescent="0.25">
      <c r="A17">
        <v>5</v>
      </c>
      <c r="B17" s="33">
        <v>8</v>
      </c>
      <c r="C17" s="4">
        <f ca="1">OFFSET(Reference!A$1,MATCH('Cross Section Analysis'!B17,Reference!A$1:A$12,0)-1,2)</f>
        <v>0.79</v>
      </c>
      <c r="D17" s="34">
        <v>12.875</v>
      </c>
      <c r="E17" s="34">
        <v>9.0416666666666679</v>
      </c>
      <c r="S17" s="63">
        <f ca="1">B5-S16</f>
        <v>12.875</v>
      </c>
      <c r="T17" s="57" t="s">
        <v>108</v>
      </c>
      <c r="U17" s="43"/>
    </row>
    <row r="18" spans="1:21" x14ac:dyDescent="0.25">
      <c r="A18">
        <v>6</v>
      </c>
      <c r="B18" s="33">
        <v>8</v>
      </c>
      <c r="C18" s="4">
        <f ca="1">OFFSET(Reference!A$1,MATCH('Cross Section Analysis'!B18,Reference!A$1:A$12,0)-1,2)</f>
        <v>0.79</v>
      </c>
      <c r="D18" s="34">
        <v>3.125</v>
      </c>
      <c r="E18" s="34">
        <v>14.958333333333334</v>
      </c>
      <c r="S18" s="63">
        <f ca="1">B6-S16</f>
        <v>20.875</v>
      </c>
      <c r="T18" s="57" t="s">
        <v>110</v>
      </c>
      <c r="U18" s="43"/>
    </row>
    <row r="19" spans="1:21" x14ac:dyDescent="0.25">
      <c r="A19">
        <v>7</v>
      </c>
      <c r="B19" s="33">
        <v>8</v>
      </c>
      <c r="C19" s="4">
        <f ca="1">OFFSET(Reference!A$1,MATCH('Cross Section Analysis'!B19,Reference!A$1:A$12,0)-1,2)</f>
        <v>0.79</v>
      </c>
      <c r="D19" s="34">
        <v>12.875</v>
      </c>
      <c r="E19" s="34">
        <v>14.958333333333334</v>
      </c>
      <c r="S19" s="63">
        <f ca="1">IF(S10=1,B5/2,(B5-(2*S16))/(S10-1))</f>
        <v>4.875</v>
      </c>
      <c r="T19" s="57" t="s">
        <v>111</v>
      </c>
      <c r="U19" s="43"/>
    </row>
    <row r="20" spans="1:21" x14ac:dyDescent="0.25">
      <c r="A20">
        <v>8</v>
      </c>
      <c r="B20" s="33">
        <v>8</v>
      </c>
      <c r="C20" s="4">
        <f ca="1">OFFSET(Reference!A$1,MATCH('Cross Section Analysis'!B20,Reference!A$1:A$12,0)-1,2)</f>
        <v>0.79</v>
      </c>
      <c r="D20" s="34">
        <v>3.125</v>
      </c>
      <c r="E20" s="34">
        <v>20.875</v>
      </c>
      <c r="S20" s="63">
        <f ca="1">(B6 - (2*S16))/(S9-1)</f>
        <v>5.916666666666667</v>
      </c>
      <c r="T20" s="57" t="s">
        <v>112</v>
      </c>
      <c r="U20" s="43"/>
    </row>
    <row r="21" spans="1:21" x14ac:dyDescent="0.25">
      <c r="A21">
        <v>9</v>
      </c>
      <c r="B21" s="33">
        <v>8</v>
      </c>
      <c r="C21" s="4">
        <f ca="1">OFFSET(Reference!A$1,MATCH('Cross Section Analysis'!B21,Reference!A$1:A$12,0)-1,2)</f>
        <v>0.79</v>
      </c>
      <c r="D21" s="34">
        <v>8</v>
      </c>
      <c r="E21" s="34">
        <v>20.875</v>
      </c>
      <c r="S21" s="44"/>
      <c r="T21" s="45"/>
      <c r="U21" s="43"/>
    </row>
    <row r="22" spans="1:21" x14ac:dyDescent="0.25">
      <c r="A22">
        <v>10</v>
      </c>
      <c r="B22" s="33">
        <v>8</v>
      </c>
      <c r="C22" s="4">
        <f ca="1">OFFSET(Reference!A$1,MATCH('Cross Section Analysis'!B22,Reference!A$1:A$12,0)-1,2)</f>
        <v>0.79</v>
      </c>
      <c r="D22" s="34">
        <v>12.875</v>
      </c>
      <c r="E22" s="34">
        <v>20.875</v>
      </c>
      <c r="S22" s="44"/>
      <c r="T22" s="45"/>
      <c r="U22" s="43"/>
    </row>
    <row r="23" spans="1:21" x14ac:dyDescent="0.25">
      <c r="A23">
        <v>11</v>
      </c>
      <c r="B23" s="33">
        <v>0</v>
      </c>
      <c r="C23" s="4">
        <f ca="1">OFFSET(Reference!A$1,MATCH('Cross Section Analysis'!B23,Reference!A$1:A$12,0)-1,2)</f>
        <v>0</v>
      </c>
      <c r="D23" s="34">
        <v>0</v>
      </c>
      <c r="E23" s="34">
        <v>0</v>
      </c>
      <c r="S23" s="44"/>
      <c r="T23" s="45"/>
      <c r="U23" s="43"/>
    </row>
    <row r="24" spans="1:21" x14ac:dyDescent="0.25">
      <c r="A24">
        <v>12</v>
      </c>
      <c r="B24" s="33">
        <v>0</v>
      </c>
      <c r="C24" s="4">
        <f ca="1">OFFSET(Reference!A$1,MATCH('Cross Section Analysis'!B24,Reference!A$1:A$12,0)-1,2)</f>
        <v>0</v>
      </c>
      <c r="D24" s="34">
        <v>0</v>
      </c>
      <c r="E24" s="34">
        <v>0</v>
      </c>
      <c r="S24" s="44"/>
      <c r="T24" s="45"/>
      <c r="U24" s="43"/>
    </row>
    <row r="25" spans="1:21" ht="15.75" thickBot="1" x14ac:dyDescent="0.3">
      <c r="C25" s="4">
        <f ca="1">SUM(C13:C24)</f>
        <v>7.9</v>
      </c>
      <c r="D25" s="64">
        <f ca="1">(C25/(B5*B6))*100</f>
        <v>2.0572916666666665</v>
      </c>
      <c r="E25" s="65" t="str">
        <f>"=%As"</f>
        <v>=%As</v>
      </c>
      <c r="F25" s="66" t="str">
        <f ca="1">IF(AND(D25&gt;=1,D25&lt;=4),"OK","NG")</f>
        <v>OK</v>
      </c>
      <c r="S25" s="40"/>
      <c r="T25" s="60"/>
      <c r="U25" s="41"/>
    </row>
    <row r="26" spans="1:21" x14ac:dyDescent="0.25">
      <c r="A26" s="24" t="s">
        <v>15</v>
      </c>
    </row>
    <row r="27" spans="1:21" x14ac:dyDescent="0.25">
      <c r="A27" s="2" t="s">
        <v>16</v>
      </c>
    </row>
    <row r="28" spans="1:21" x14ac:dyDescent="0.25">
      <c r="A28" s="2" t="s">
        <v>17</v>
      </c>
      <c r="B28">
        <f>B5*B6</f>
        <v>384</v>
      </c>
      <c r="C28" t="s">
        <v>18</v>
      </c>
      <c r="D28">
        <v>1</v>
      </c>
    </row>
    <row r="29" spans="1:21" x14ac:dyDescent="0.25">
      <c r="A29" s="2" t="s">
        <v>19</v>
      </c>
      <c r="B29">
        <f>B28*0.85*B2*D28</f>
        <v>2611.1999999999998</v>
      </c>
      <c r="C29" t="s">
        <v>20</v>
      </c>
    </row>
    <row r="30" spans="1:21" x14ac:dyDescent="0.25">
      <c r="A30" s="2" t="s">
        <v>21</v>
      </c>
      <c r="B30">
        <f>B29*(B6/2)</f>
        <v>31334.399999999998</v>
      </c>
      <c r="C30" t="s">
        <v>23</v>
      </c>
    </row>
    <row r="31" spans="1:21" x14ac:dyDescent="0.25">
      <c r="A31" s="2" t="s">
        <v>22</v>
      </c>
      <c r="B31">
        <f>B29*(B5/2)</f>
        <v>20889.599999999999</v>
      </c>
      <c r="C31" t="s">
        <v>23</v>
      </c>
    </row>
    <row r="33" spans="1:30" x14ac:dyDescent="0.25">
      <c r="A33" s="2" t="s">
        <v>24</v>
      </c>
      <c r="C33" s="1" t="s">
        <v>70</v>
      </c>
      <c r="D33" s="1" t="s">
        <v>25</v>
      </c>
      <c r="E33" s="1" t="s">
        <v>26</v>
      </c>
      <c r="F33" s="1" t="s">
        <v>27</v>
      </c>
      <c r="S33" s="1" t="s">
        <v>70</v>
      </c>
      <c r="T33" s="1" t="s">
        <v>25</v>
      </c>
      <c r="U33" s="1" t="s">
        <v>26</v>
      </c>
      <c r="V33" s="1" t="s">
        <v>27</v>
      </c>
    </row>
    <row r="34" spans="1:30" x14ac:dyDescent="0.25">
      <c r="A34">
        <f>A13</f>
        <v>1</v>
      </c>
      <c r="B34" s="7">
        <f ca="1">C13</f>
        <v>0.79</v>
      </c>
      <c r="C34" s="6">
        <f>($B$10-((0.85*$B$2)*$D$28))</f>
        <v>53.2</v>
      </c>
      <c r="D34" s="6">
        <f ca="1">B34*C34</f>
        <v>42.028000000000006</v>
      </c>
      <c r="E34" s="6">
        <f ca="1">D34*E13</f>
        <v>131.33750000000001</v>
      </c>
      <c r="F34" s="6">
        <f ca="1">D34*D13</f>
        <v>131.33750000000001</v>
      </c>
      <c r="S34" s="6">
        <v>60</v>
      </c>
      <c r="T34" s="6">
        <f ca="1">B34*S34</f>
        <v>47.400000000000006</v>
      </c>
      <c r="U34" s="6">
        <f ca="1">T34*E13</f>
        <v>148.12500000000003</v>
      </c>
      <c r="V34" s="6">
        <f ca="1">T34*D13</f>
        <v>148.12500000000003</v>
      </c>
    </row>
    <row r="35" spans="1:30" x14ac:dyDescent="0.25">
      <c r="A35">
        <f t="shared" ref="A35:A45" si="0">A14</f>
        <v>2</v>
      </c>
      <c r="B35" s="7">
        <f t="shared" ref="B35:B45" ca="1" si="1">C14</f>
        <v>0.79</v>
      </c>
      <c r="C35" s="6">
        <f t="shared" ref="C35:C45" si="2">($B$10-((0.85*$B$2)*$D$28))</f>
        <v>53.2</v>
      </c>
      <c r="D35" s="6">
        <f t="shared" ref="D35:D45" ca="1" si="3">B35*C35</f>
        <v>42.028000000000006</v>
      </c>
      <c r="E35" s="6">
        <f t="shared" ref="E35:E45" ca="1" si="4">D35*E14</f>
        <v>131.33750000000001</v>
      </c>
      <c r="F35" s="6">
        <f t="shared" ref="F35:F45" ca="1" si="5">D35*D14</f>
        <v>336.22400000000005</v>
      </c>
      <c r="S35" s="6">
        <v>60</v>
      </c>
      <c r="T35" s="6">
        <f t="shared" ref="T35:T45" ca="1" si="6">B35*S35</f>
        <v>47.400000000000006</v>
      </c>
      <c r="U35" s="6">
        <f t="shared" ref="U35:U45" ca="1" si="7">T35*E14</f>
        <v>148.12500000000003</v>
      </c>
      <c r="V35" s="6">
        <f t="shared" ref="V35:V45" ca="1" si="8">T35*D14</f>
        <v>379.20000000000005</v>
      </c>
    </row>
    <row r="36" spans="1:30" x14ac:dyDescent="0.25">
      <c r="A36">
        <f t="shared" si="0"/>
        <v>3</v>
      </c>
      <c r="B36" s="7">
        <f t="shared" ca="1" si="1"/>
        <v>0.79</v>
      </c>
      <c r="C36" s="6">
        <f t="shared" si="2"/>
        <v>53.2</v>
      </c>
      <c r="D36" s="6">
        <f t="shared" ca="1" si="3"/>
        <v>42.028000000000006</v>
      </c>
      <c r="E36" s="6">
        <f t="shared" ca="1" si="4"/>
        <v>131.33750000000001</v>
      </c>
      <c r="F36" s="6">
        <f t="shared" ca="1" si="5"/>
        <v>541.11050000000012</v>
      </c>
      <c r="S36" s="6">
        <v>60</v>
      </c>
      <c r="T36" s="6">
        <f t="shared" ca="1" si="6"/>
        <v>47.400000000000006</v>
      </c>
      <c r="U36" s="6">
        <f t="shared" ca="1" si="7"/>
        <v>148.12500000000003</v>
      </c>
      <c r="V36" s="6">
        <f t="shared" ca="1" si="8"/>
        <v>610.27500000000009</v>
      </c>
    </row>
    <row r="37" spans="1:30" x14ac:dyDescent="0.25">
      <c r="A37">
        <f t="shared" si="0"/>
        <v>4</v>
      </c>
      <c r="B37" s="7">
        <f t="shared" ca="1" si="1"/>
        <v>0.79</v>
      </c>
      <c r="C37" s="6">
        <f t="shared" si="2"/>
        <v>53.2</v>
      </c>
      <c r="D37" s="6">
        <f t="shared" ca="1" si="3"/>
        <v>42.028000000000006</v>
      </c>
      <c r="E37" s="6">
        <f t="shared" ca="1" si="4"/>
        <v>380.00316666666674</v>
      </c>
      <c r="F37" s="6">
        <f t="shared" ca="1" si="5"/>
        <v>131.33750000000001</v>
      </c>
      <c r="S37" s="6">
        <v>60</v>
      </c>
      <c r="T37" s="6">
        <f t="shared" ca="1" si="6"/>
        <v>47.400000000000006</v>
      </c>
      <c r="U37" s="6">
        <f t="shared" ca="1" si="7"/>
        <v>428.5750000000001</v>
      </c>
      <c r="V37" s="6">
        <f t="shared" ca="1" si="8"/>
        <v>148.12500000000003</v>
      </c>
    </row>
    <row r="38" spans="1:30" x14ac:dyDescent="0.25">
      <c r="A38">
        <f t="shared" si="0"/>
        <v>5</v>
      </c>
      <c r="B38" s="7">
        <f t="shared" ca="1" si="1"/>
        <v>0.79</v>
      </c>
      <c r="C38" s="6">
        <f t="shared" si="2"/>
        <v>53.2</v>
      </c>
      <c r="D38" s="6">
        <f t="shared" ca="1" si="3"/>
        <v>42.028000000000006</v>
      </c>
      <c r="E38" s="6">
        <f t="shared" ca="1" si="4"/>
        <v>380.00316666666674</v>
      </c>
      <c r="F38" s="6">
        <f t="shared" ca="1" si="5"/>
        <v>541.11050000000012</v>
      </c>
      <c r="S38" s="6">
        <v>60</v>
      </c>
      <c r="T38" s="6">
        <f t="shared" ca="1" si="6"/>
        <v>47.400000000000006</v>
      </c>
      <c r="U38" s="6">
        <f t="shared" ca="1" si="7"/>
        <v>428.5750000000001</v>
      </c>
      <c r="V38" s="6">
        <f t="shared" ca="1" si="8"/>
        <v>610.27500000000009</v>
      </c>
    </row>
    <row r="39" spans="1:30" x14ac:dyDescent="0.25">
      <c r="A39">
        <f t="shared" si="0"/>
        <v>6</v>
      </c>
      <c r="B39" s="7">
        <f t="shared" ca="1" si="1"/>
        <v>0.79</v>
      </c>
      <c r="C39" s="6">
        <f t="shared" si="2"/>
        <v>53.2</v>
      </c>
      <c r="D39" s="6">
        <f t="shared" ca="1" si="3"/>
        <v>42.028000000000006</v>
      </c>
      <c r="E39" s="6">
        <f t="shared" ca="1" si="4"/>
        <v>628.6688333333334</v>
      </c>
      <c r="F39" s="6">
        <f t="shared" ca="1" si="5"/>
        <v>131.33750000000001</v>
      </c>
      <c r="S39" s="6">
        <v>60</v>
      </c>
      <c r="T39" s="6">
        <f t="shared" ca="1" si="6"/>
        <v>47.400000000000006</v>
      </c>
      <c r="U39" s="6">
        <f t="shared" ca="1" si="7"/>
        <v>709.02500000000009</v>
      </c>
      <c r="V39" s="6">
        <f t="shared" ca="1" si="8"/>
        <v>148.12500000000003</v>
      </c>
    </row>
    <row r="40" spans="1:30" x14ac:dyDescent="0.25">
      <c r="A40">
        <f t="shared" si="0"/>
        <v>7</v>
      </c>
      <c r="B40" s="7">
        <f t="shared" ca="1" si="1"/>
        <v>0.79</v>
      </c>
      <c r="C40" s="6">
        <f t="shared" si="2"/>
        <v>53.2</v>
      </c>
      <c r="D40" s="6">
        <f t="shared" ca="1" si="3"/>
        <v>42.028000000000006</v>
      </c>
      <c r="E40" s="6">
        <f ca="1">D40*E19</f>
        <v>628.6688333333334</v>
      </c>
      <c r="F40" s="6">
        <f t="shared" ca="1" si="5"/>
        <v>541.11050000000012</v>
      </c>
      <c r="S40" s="6">
        <v>60</v>
      </c>
      <c r="T40" s="6">
        <f t="shared" ca="1" si="6"/>
        <v>47.400000000000006</v>
      </c>
      <c r="U40" s="6">
        <f t="shared" ca="1" si="7"/>
        <v>709.02500000000009</v>
      </c>
      <c r="V40" s="6">
        <f t="shared" ca="1" si="8"/>
        <v>610.27500000000009</v>
      </c>
    </row>
    <row r="41" spans="1:30" x14ac:dyDescent="0.25">
      <c r="A41">
        <f t="shared" si="0"/>
        <v>8</v>
      </c>
      <c r="B41" s="7">
        <f t="shared" ca="1" si="1"/>
        <v>0.79</v>
      </c>
      <c r="C41" s="6">
        <f t="shared" si="2"/>
        <v>53.2</v>
      </c>
      <c r="D41" s="6">
        <f t="shared" ca="1" si="3"/>
        <v>42.028000000000006</v>
      </c>
      <c r="E41" s="6">
        <f t="shared" ca="1" si="4"/>
        <v>877.33450000000016</v>
      </c>
      <c r="F41" s="6">
        <f t="shared" ca="1" si="5"/>
        <v>131.33750000000001</v>
      </c>
      <c r="S41" s="6">
        <v>60</v>
      </c>
      <c r="T41" s="6">
        <f t="shared" ca="1" si="6"/>
        <v>47.400000000000006</v>
      </c>
      <c r="U41" s="6">
        <f t="shared" ca="1" si="7"/>
        <v>989.47500000000014</v>
      </c>
      <c r="V41" s="6">
        <f t="shared" ca="1" si="8"/>
        <v>148.12500000000003</v>
      </c>
    </row>
    <row r="42" spans="1:30" x14ac:dyDescent="0.25">
      <c r="A42">
        <f t="shared" si="0"/>
        <v>9</v>
      </c>
      <c r="B42" s="7">
        <f t="shared" ca="1" si="1"/>
        <v>0.79</v>
      </c>
      <c r="C42" s="6">
        <f t="shared" si="2"/>
        <v>53.2</v>
      </c>
      <c r="D42" s="6">
        <f t="shared" ca="1" si="3"/>
        <v>42.028000000000006</v>
      </c>
      <c r="E42" s="6">
        <f t="shared" ca="1" si="4"/>
        <v>877.33450000000016</v>
      </c>
      <c r="F42" s="6">
        <f t="shared" ca="1" si="5"/>
        <v>336.22400000000005</v>
      </c>
      <c r="S42" s="6">
        <v>60</v>
      </c>
      <c r="T42" s="6">
        <f t="shared" ca="1" si="6"/>
        <v>47.400000000000006</v>
      </c>
      <c r="U42" s="6">
        <f t="shared" ca="1" si="7"/>
        <v>989.47500000000014</v>
      </c>
      <c r="V42" s="6">
        <f t="shared" ca="1" si="8"/>
        <v>379.20000000000005</v>
      </c>
    </row>
    <row r="43" spans="1:30" x14ac:dyDescent="0.25">
      <c r="A43">
        <f t="shared" si="0"/>
        <v>10</v>
      </c>
      <c r="B43" s="7">
        <f t="shared" ca="1" si="1"/>
        <v>0.79</v>
      </c>
      <c r="C43" s="6">
        <f t="shared" si="2"/>
        <v>53.2</v>
      </c>
      <c r="D43" s="6">
        <f t="shared" ca="1" si="3"/>
        <v>42.028000000000006</v>
      </c>
      <c r="E43" s="6">
        <f t="shared" ca="1" si="4"/>
        <v>877.33450000000016</v>
      </c>
      <c r="F43" s="6">
        <f t="shared" ca="1" si="5"/>
        <v>541.11050000000012</v>
      </c>
      <c r="S43" s="6">
        <v>60</v>
      </c>
      <c r="T43" s="6">
        <f t="shared" ca="1" si="6"/>
        <v>47.400000000000006</v>
      </c>
      <c r="U43" s="6">
        <f t="shared" ca="1" si="7"/>
        <v>989.47500000000014</v>
      </c>
      <c r="V43" s="6">
        <f t="shared" ca="1" si="8"/>
        <v>610.27500000000009</v>
      </c>
    </row>
    <row r="44" spans="1:30" x14ac:dyDescent="0.25">
      <c r="A44">
        <f t="shared" si="0"/>
        <v>11</v>
      </c>
      <c r="B44" s="7">
        <f t="shared" ca="1" si="1"/>
        <v>0</v>
      </c>
      <c r="C44" s="6">
        <f t="shared" si="2"/>
        <v>53.2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  <c r="S44" s="6">
        <v>60</v>
      </c>
      <c r="T44" s="6">
        <f t="shared" ca="1" si="6"/>
        <v>0</v>
      </c>
      <c r="U44" s="6">
        <f t="shared" ca="1" si="7"/>
        <v>0</v>
      </c>
      <c r="V44" s="6">
        <f t="shared" ca="1" si="8"/>
        <v>0</v>
      </c>
    </row>
    <row r="45" spans="1:30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53.2</v>
      </c>
      <c r="D45" s="23">
        <f t="shared" ca="1" si="3"/>
        <v>0</v>
      </c>
      <c r="E45" s="23">
        <f t="shared" ca="1" si="4"/>
        <v>0</v>
      </c>
      <c r="F45" s="23">
        <f t="shared" ca="1" si="5"/>
        <v>0</v>
      </c>
      <c r="S45" s="6">
        <v>60</v>
      </c>
      <c r="T45" s="6">
        <f t="shared" ca="1" si="6"/>
        <v>0</v>
      </c>
      <c r="U45" s="6">
        <f t="shared" ca="1" si="7"/>
        <v>0</v>
      </c>
      <c r="V45" s="6">
        <f t="shared" ca="1" si="8"/>
        <v>0</v>
      </c>
    </row>
    <row r="46" spans="1:30" ht="15.75" thickTop="1" x14ac:dyDescent="0.25">
      <c r="C46" s="6"/>
      <c r="D46" s="6">
        <f ca="1">SUM(D34:D45)</f>
        <v>420.28000000000014</v>
      </c>
      <c r="E46" s="6">
        <f t="shared" ref="E46:F46" ca="1" si="9">SUM(E34:E45)</f>
        <v>5043.3600000000006</v>
      </c>
      <c r="F46" s="6">
        <f t="shared" ca="1" si="9"/>
        <v>3362.2400000000011</v>
      </c>
      <c r="S46" s="6"/>
      <c r="T46" s="6">
        <f ca="1">SUM(T34:T45)</f>
        <v>474</v>
      </c>
      <c r="U46" s="6">
        <f t="shared" ref="U46:V46" ca="1" si="10">SUM(U34:U45)</f>
        <v>5688.0000000000018</v>
      </c>
      <c r="V46" s="6">
        <f t="shared" ca="1" si="10"/>
        <v>3792.0000000000005</v>
      </c>
    </row>
    <row r="47" spans="1:30" x14ac:dyDescent="0.25">
      <c r="U47" t="s">
        <v>171</v>
      </c>
      <c r="V47" t="s">
        <v>172</v>
      </c>
      <c r="AC47" s="1" t="s">
        <v>119</v>
      </c>
      <c r="AD47" s="1" t="s">
        <v>74</v>
      </c>
    </row>
    <row r="48" spans="1:30" x14ac:dyDescent="0.25">
      <c r="A48" s="2" t="s">
        <v>28</v>
      </c>
      <c r="B48" s="6">
        <f ca="1">B29+D46</f>
        <v>3031.48</v>
      </c>
      <c r="D48" t="s">
        <v>31</v>
      </c>
      <c r="E48" t="s">
        <v>32</v>
      </c>
      <c r="U48" s="7">
        <f ca="1">V46/T46</f>
        <v>8.0000000000000018</v>
      </c>
      <c r="V48" s="7">
        <f ca="1">U46/T46</f>
        <v>12.000000000000004</v>
      </c>
      <c r="AC48">
        <v>1E-4</v>
      </c>
      <c r="AD48">
        <v>-511.47999996574822</v>
      </c>
    </row>
    <row r="49" spans="1:30" x14ac:dyDescent="0.25">
      <c r="A49" s="2" t="s">
        <v>29</v>
      </c>
      <c r="B49" s="6">
        <f ca="1">E46+B30</f>
        <v>36377.759999999995</v>
      </c>
      <c r="D49" s="1">
        <f ca="1">B50/B48</f>
        <v>8</v>
      </c>
      <c r="E49" s="4">
        <f ca="1">B49/B48</f>
        <v>11.999999999999998</v>
      </c>
      <c r="AC49">
        <v>0.84846400599152683</v>
      </c>
      <c r="AD49">
        <v>-509.0142463865194</v>
      </c>
    </row>
    <row r="50" spans="1:30" x14ac:dyDescent="0.25">
      <c r="A50" s="2" t="s">
        <v>30</v>
      </c>
      <c r="B50" s="6">
        <f ca="1">F46+B31</f>
        <v>24251.84</v>
      </c>
      <c r="AC50">
        <v>1.6968280119830537</v>
      </c>
      <c r="AD50">
        <v>-501.61814796708427</v>
      </c>
    </row>
    <row r="51" spans="1:30" x14ac:dyDescent="0.25">
      <c r="AC51">
        <v>2.5451920179745806</v>
      </c>
      <c r="AD51">
        <v>-481.14919045340156</v>
      </c>
    </row>
    <row r="52" spans="1:30" x14ac:dyDescent="0.25">
      <c r="A52" s="25" t="s">
        <v>34</v>
      </c>
      <c r="AC52">
        <v>3.3935560239661076</v>
      </c>
      <c r="AD52">
        <v>-423.92395872645216</v>
      </c>
    </row>
    <row r="53" spans="1:30" x14ac:dyDescent="0.25">
      <c r="A53" s="2" t="s">
        <v>36</v>
      </c>
      <c r="B53" s="32">
        <v>3.1415926535897931</v>
      </c>
      <c r="C53" t="s">
        <v>136</v>
      </c>
      <c r="F53">
        <f>B53-360</f>
        <v>-356.85840734641022</v>
      </c>
      <c r="AC53">
        <v>4.2419200299576341</v>
      </c>
      <c r="AD53">
        <v>-377.75538272001813</v>
      </c>
    </row>
    <row r="54" spans="1:30" x14ac:dyDescent="0.25">
      <c r="AC54">
        <v>5.0902840359491615</v>
      </c>
      <c r="AD54">
        <v>-334.65011918820323</v>
      </c>
    </row>
    <row r="55" spans="1:30" x14ac:dyDescent="0.25">
      <c r="A55" s="2" t="s">
        <v>16</v>
      </c>
      <c r="AC55">
        <v>5.938648041940688</v>
      </c>
      <c r="AD55">
        <v>-273.62580501049058</v>
      </c>
    </row>
    <row r="56" spans="1:30" x14ac:dyDescent="0.25">
      <c r="A56" s="1" t="s">
        <v>0</v>
      </c>
      <c r="B56" s="1" t="s">
        <v>1</v>
      </c>
      <c r="C56" s="1" t="s">
        <v>37</v>
      </c>
      <c r="D56" s="1" t="s">
        <v>38</v>
      </c>
      <c r="AC56">
        <v>6.7870120479322145</v>
      </c>
      <c r="AD56">
        <v>-209.88208545196227</v>
      </c>
    </row>
    <row r="57" spans="1:30" x14ac:dyDescent="0.25">
      <c r="A57" s="6">
        <f ca="1">D3-$D$49</f>
        <v>-8</v>
      </c>
      <c r="B57" s="7">
        <f ca="1">E3-$E$49</f>
        <v>-11.999999999999998</v>
      </c>
      <c r="C57" s="4">
        <f ca="1">A57*COS($B$53)+B57*SIN($B$53)</f>
        <v>7.9999999999999982</v>
      </c>
      <c r="D57" s="4">
        <f ca="1">-1*A57*SIN($B$53)+B57*COS($B$53)</f>
        <v>12</v>
      </c>
      <c r="F57" t="s">
        <v>39</v>
      </c>
      <c r="G57">
        <f ca="1">MAX(D57:D61)-MIN(D57:D61)</f>
        <v>24.000000000000004</v>
      </c>
      <c r="H57" t="s">
        <v>6</v>
      </c>
      <c r="T57" t="s">
        <v>79</v>
      </c>
      <c r="AC57">
        <v>7.6353760539237419</v>
      </c>
      <c r="AD57">
        <v>-147.15584362017046</v>
      </c>
    </row>
    <row r="58" spans="1:30" x14ac:dyDescent="0.25">
      <c r="A58" s="6">
        <f ca="1">D4-$D$49</f>
        <v>8</v>
      </c>
      <c r="B58" s="7">
        <f t="shared" ref="B58:B61" ca="1" si="11">E4-$E$49</f>
        <v>-11.999999999999998</v>
      </c>
      <c r="C58" s="4">
        <f t="shared" ref="C58:C61" ca="1" si="12">A58*COS($B$53)+B58*SIN($B$53)</f>
        <v>-8.0000000000000018</v>
      </c>
      <c r="D58" s="4">
        <f t="shared" ref="D58:D61" ca="1" si="13">-1*A58*SIN($B$53)+B58*COS($B$53)</f>
        <v>11.999999999999996</v>
      </c>
      <c r="F58" t="s">
        <v>61</v>
      </c>
      <c r="G58" s="7">
        <f ca="1">MAX(D57:D61)</f>
        <v>12</v>
      </c>
      <c r="T58" t="s">
        <v>0</v>
      </c>
      <c r="U58" t="s">
        <v>1</v>
      </c>
      <c r="AC58">
        <v>8.4837400599152684</v>
      </c>
      <c r="AD58">
        <v>-71.527273923512126</v>
      </c>
    </row>
    <row r="59" spans="1:30" x14ac:dyDescent="0.25">
      <c r="A59" s="6">
        <f ca="1">D5-$D$49</f>
        <v>8</v>
      </c>
      <c r="B59" s="7">
        <f t="shared" ca="1" si="11"/>
        <v>12.000000000000002</v>
      </c>
      <c r="C59" s="4">
        <f t="shared" ca="1" si="12"/>
        <v>-7.9999999999999982</v>
      </c>
      <c r="D59" s="4">
        <f t="shared" ca="1" si="13"/>
        <v>-12.000000000000004</v>
      </c>
      <c r="T59">
        <f ca="1">MAX(MAX(C57:C61),MAX(D57:D61))</f>
        <v>12</v>
      </c>
      <c r="U59">
        <f ca="1">T59</f>
        <v>12</v>
      </c>
      <c r="AC59">
        <v>9.3321040659067958</v>
      </c>
      <c r="AD59">
        <v>8.0394099633140996</v>
      </c>
    </row>
    <row r="60" spans="1:30" x14ac:dyDescent="0.25">
      <c r="A60" s="6">
        <f ca="1">D6-$D$49</f>
        <v>-8</v>
      </c>
      <c r="B60" s="7">
        <f t="shared" ca="1" si="11"/>
        <v>12.000000000000002</v>
      </c>
      <c r="C60" s="4">
        <f t="shared" ca="1" si="12"/>
        <v>8.0000000000000018</v>
      </c>
      <c r="D60" s="4">
        <f t="shared" ca="1" si="13"/>
        <v>-12</v>
      </c>
      <c r="T60">
        <f ca="1">-1*T59</f>
        <v>-12</v>
      </c>
      <c r="U60">
        <f ca="1">-1*U59</f>
        <v>-12</v>
      </c>
      <c r="AC60">
        <v>10.180468071898321</v>
      </c>
      <c r="AD60">
        <v>85.994597556448355</v>
      </c>
    </row>
    <row r="61" spans="1:30" x14ac:dyDescent="0.25">
      <c r="A61" s="6">
        <f ca="1">D7-$D$49</f>
        <v>-8</v>
      </c>
      <c r="B61" s="7">
        <f t="shared" ca="1" si="11"/>
        <v>-11.999999999999998</v>
      </c>
      <c r="C61" s="4">
        <f t="shared" ca="1" si="12"/>
        <v>7.9999999999999982</v>
      </c>
      <c r="D61" s="4">
        <f t="shared" ca="1" si="13"/>
        <v>12</v>
      </c>
      <c r="AC61">
        <v>11.028832077889849</v>
      </c>
      <c r="AD61">
        <v>156.79029312164562</v>
      </c>
    </row>
    <row r="62" spans="1:30" x14ac:dyDescent="0.25">
      <c r="A62" s="6"/>
      <c r="AC62">
        <v>11.877196083881376</v>
      </c>
      <c r="AD62">
        <v>225.26442853695733</v>
      </c>
    </row>
    <row r="63" spans="1:30" x14ac:dyDescent="0.25">
      <c r="A63" s="26" t="s">
        <v>24</v>
      </c>
      <c r="F63" s="1" t="s">
        <v>37</v>
      </c>
      <c r="G63" s="1" t="s">
        <v>38</v>
      </c>
      <c r="AC63">
        <v>12.725560089872902</v>
      </c>
      <c r="AD63">
        <v>289.74523792278285</v>
      </c>
    </row>
    <row r="64" spans="1:30" x14ac:dyDescent="0.25">
      <c r="A64" s="8">
        <f t="shared" ref="A64:C75" si="14">A13</f>
        <v>1</v>
      </c>
      <c r="B64" s="6">
        <f t="shared" si="14"/>
        <v>8</v>
      </c>
      <c r="C64" s="6">
        <f t="shared" ca="1" si="14"/>
        <v>0.79</v>
      </c>
      <c r="D64" s="6">
        <f ca="1">D13-$D$49</f>
        <v>-4.875</v>
      </c>
      <c r="E64" s="6">
        <f ca="1">E13-$E$49</f>
        <v>-8.8749999999999982</v>
      </c>
      <c r="F64" s="4">
        <f ca="1">IF(C64&gt;0,D64*COS($B$53)+E64*SIN($B$53),0)</f>
        <v>4.8749999999999991</v>
      </c>
      <c r="G64" s="4">
        <f ca="1">IF(C64&gt;0,-1*D64*SIN($B$53)+E64*COS($B$53),0)</f>
        <v>8.8749999999999982</v>
      </c>
      <c r="AC64">
        <v>13.573924095864429</v>
      </c>
      <c r="AD64">
        <v>357.56913058445247</v>
      </c>
    </row>
    <row r="65" spans="1:30" x14ac:dyDescent="0.25">
      <c r="A65" s="8">
        <f t="shared" si="14"/>
        <v>2</v>
      </c>
      <c r="B65" s="6">
        <f t="shared" si="14"/>
        <v>8</v>
      </c>
      <c r="C65" s="6">
        <f t="shared" ca="1" si="14"/>
        <v>0.79</v>
      </c>
      <c r="D65" s="6">
        <f t="shared" ref="D65:D75" ca="1" si="15">D14-$D$49</f>
        <v>0</v>
      </c>
      <c r="E65" s="6">
        <f t="shared" ref="E65:E75" ca="1" si="16">E14-$E$49</f>
        <v>-8.8749999999999982</v>
      </c>
      <c r="F65" s="4">
        <f t="shared" ref="F65:F75" ca="1" si="17">IF(C65&gt;0,D65*COS($B$53)+E65*SIN($B$53),0)</f>
        <v>-1.0873192537314001E-15</v>
      </c>
      <c r="G65" s="4">
        <f t="shared" ref="G65:G75" ca="1" si="18">IF(C65&gt;0,-1*D65*SIN($B$53)+E65*COS($B$53),0)</f>
        <v>8.8749999999999982</v>
      </c>
      <c r="S65" t="s">
        <v>161</v>
      </c>
      <c r="T65">
        <f ca="1">(MIN(E98:E109)*B96)/(0.002-B96)</f>
        <v>-9.3750000000000053</v>
      </c>
      <c r="AC65">
        <v>14.422288101855957</v>
      </c>
      <c r="AD65">
        <v>420.94762248794086</v>
      </c>
    </row>
    <row r="66" spans="1:30" x14ac:dyDescent="0.25">
      <c r="A66" s="8">
        <f t="shared" si="14"/>
        <v>3</v>
      </c>
      <c r="B66" s="6">
        <f t="shared" si="14"/>
        <v>8</v>
      </c>
      <c r="C66" s="6">
        <f t="shared" ca="1" si="14"/>
        <v>0.79</v>
      </c>
      <c r="D66" s="6">
        <f t="shared" ca="1" si="15"/>
        <v>4.875</v>
      </c>
      <c r="E66" s="6">
        <f t="shared" ca="1" si="16"/>
        <v>-8.8749999999999982</v>
      </c>
      <c r="F66" s="4">
        <f t="shared" ca="1" si="17"/>
        <v>-4.8750000000000009</v>
      </c>
      <c r="G66" s="4">
        <f t="shared" ca="1" si="18"/>
        <v>8.8749999999999982</v>
      </c>
      <c r="S66" t="s">
        <v>160</v>
      </c>
      <c r="T66">
        <f ca="1">(MAX(E98:E109)*B96)/(0.002-B96)</f>
        <v>-62.625</v>
      </c>
      <c r="AC66">
        <v>15.270652107847484</v>
      </c>
      <c r="AD66">
        <v>480.52826342919457</v>
      </c>
    </row>
    <row r="67" spans="1:30" x14ac:dyDescent="0.25">
      <c r="A67" s="8">
        <f t="shared" si="14"/>
        <v>4</v>
      </c>
      <c r="B67" s="6">
        <f t="shared" si="14"/>
        <v>8</v>
      </c>
      <c r="C67" s="6">
        <f t="shared" ca="1" si="14"/>
        <v>0.79</v>
      </c>
      <c r="D67" s="6">
        <f t="shared" ca="1" si="15"/>
        <v>-4.875</v>
      </c>
      <c r="E67" s="6">
        <f t="shared" ca="1" si="16"/>
        <v>-2.9583333333333304</v>
      </c>
      <c r="F67" s="4">
        <f t="shared" ca="1" si="17"/>
        <v>4.875</v>
      </c>
      <c r="G67" s="4">
        <f t="shared" ca="1" si="18"/>
        <v>2.9583333333333308</v>
      </c>
      <c r="S67" t="s">
        <v>156</v>
      </c>
      <c r="T67" s="7">
        <f ca="1">G57</f>
        <v>24.000000000000004</v>
      </c>
      <c r="AC67">
        <v>16.11901611383901</v>
      </c>
      <c r="AD67">
        <v>554.50569764896204</v>
      </c>
    </row>
    <row r="68" spans="1:30" x14ac:dyDescent="0.25">
      <c r="A68" s="8">
        <f t="shared" si="14"/>
        <v>5</v>
      </c>
      <c r="B68" s="6">
        <f t="shared" si="14"/>
        <v>8</v>
      </c>
      <c r="C68" s="6">
        <f t="shared" ca="1" si="14"/>
        <v>0.79</v>
      </c>
      <c r="D68" s="6">
        <f t="shared" ca="1" si="15"/>
        <v>4.875</v>
      </c>
      <c r="E68" s="6">
        <f t="shared" ca="1" si="16"/>
        <v>-2.9583333333333304</v>
      </c>
      <c r="F68" s="4">
        <f t="shared" ca="1" si="17"/>
        <v>-4.875</v>
      </c>
      <c r="G68" s="4">
        <f t="shared" ca="1" si="18"/>
        <v>2.9583333333333299</v>
      </c>
      <c r="S68" t="s">
        <v>155</v>
      </c>
      <c r="T68">
        <f ca="1">(MAX(E98:E109)*B96)/(-0.002-B96)</f>
        <v>-12.525</v>
      </c>
      <c r="AC68">
        <v>16.967380119830537</v>
      </c>
      <c r="AD68">
        <v>631.19785127691489</v>
      </c>
    </row>
    <row r="69" spans="1:30" x14ac:dyDescent="0.25">
      <c r="A69" s="8">
        <f t="shared" si="14"/>
        <v>6</v>
      </c>
      <c r="B69" s="6">
        <f t="shared" si="14"/>
        <v>8</v>
      </c>
      <c r="C69" s="6">
        <f t="shared" ca="1" si="14"/>
        <v>0.79</v>
      </c>
      <c r="D69" s="6">
        <f t="shared" ca="1" si="15"/>
        <v>-4.875</v>
      </c>
      <c r="E69" s="6">
        <f t="shared" ca="1" si="16"/>
        <v>2.9583333333333357</v>
      </c>
      <c r="F69" s="4">
        <f t="shared" ca="1" si="17"/>
        <v>4.875</v>
      </c>
      <c r="G69" s="4">
        <f t="shared" ca="1" si="18"/>
        <v>-2.9583333333333353</v>
      </c>
      <c r="S69" t="s">
        <v>157</v>
      </c>
      <c r="T69">
        <f ca="1">(MAX(E98:E109)*B96)/(-0.005-B96)</f>
        <v>-7.828125</v>
      </c>
      <c r="AC69">
        <v>17.815744125822064</v>
      </c>
      <c r="AD69">
        <v>709.57150994149004</v>
      </c>
    </row>
    <row r="70" spans="1:30" x14ac:dyDescent="0.25">
      <c r="A70" s="8">
        <f t="shared" si="14"/>
        <v>7</v>
      </c>
      <c r="B70" s="6">
        <f t="shared" si="14"/>
        <v>8</v>
      </c>
      <c r="C70" s="6">
        <f t="shared" ca="1" si="14"/>
        <v>0.79</v>
      </c>
      <c r="D70" s="6">
        <f t="shared" ca="1" si="15"/>
        <v>4.875</v>
      </c>
      <c r="E70" s="6">
        <f t="shared" ca="1" si="16"/>
        <v>2.9583333333333357</v>
      </c>
      <c r="F70" s="4">
        <f t="shared" ca="1" si="17"/>
        <v>-4.875</v>
      </c>
      <c r="G70" s="4">
        <f t="shared" ca="1" si="18"/>
        <v>-2.9583333333333361</v>
      </c>
      <c r="S70" t="s">
        <v>159</v>
      </c>
      <c r="T70">
        <f ca="1">(MIN(E98:E109)*B96)/(-0.002-B96)</f>
        <v>-1.8750000000000009</v>
      </c>
      <c r="AC70">
        <v>18.664108131813592</v>
      </c>
      <c r="AD70">
        <v>786.36741593930969</v>
      </c>
    </row>
    <row r="71" spans="1:30" x14ac:dyDescent="0.25">
      <c r="A71" s="8">
        <f t="shared" si="14"/>
        <v>8</v>
      </c>
      <c r="B71" s="6">
        <f t="shared" si="14"/>
        <v>8</v>
      </c>
      <c r="C71" s="6">
        <f t="shared" ca="1" si="14"/>
        <v>0.79</v>
      </c>
      <c r="D71" s="6">
        <f t="shared" ca="1" si="15"/>
        <v>-4.875</v>
      </c>
      <c r="E71" s="6">
        <f t="shared" ca="1" si="16"/>
        <v>8.8750000000000018</v>
      </c>
      <c r="F71" s="4">
        <f t="shared" ca="1" si="17"/>
        <v>4.8750000000000009</v>
      </c>
      <c r="G71" s="4">
        <f t="shared" ca="1" si="18"/>
        <v>-8.8750000000000018</v>
      </c>
      <c r="S71" t="s">
        <v>162</v>
      </c>
      <c r="T71">
        <f ca="1">(MIN(E98:E109)*B96)/((-1*B10/B11)-B96)</f>
        <v>-1.849489795918368</v>
      </c>
      <c r="AC71">
        <v>19.512472137805116</v>
      </c>
      <c r="AD71">
        <v>861.79136204179383</v>
      </c>
    </row>
    <row r="72" spans="1:30" x14ac:dyDescent="0.25">
      <c r="A72" s="8">
        <f t="shared" si="14"/>
        <v>9</v>
      </c>
      <c r="B72" s="6">
        <f t="shared" si="14"/>
        <v>8</v>
      </c>
      <c r="C72" s="6">
        <f t="shared" ca="1" si="14"/>
        <v>0.79</v>
      </c>
      <c r="D72" s="6">
        <f t="shared" ca="1" si="15"/>
        <v>0</v>
      </c>
      <c r="E72" s="6">
        <f t="shared" ca="1" si="16"/>
        <v>8.8750000000000018</v>
      </c>
      <c r="F72" s="4">
        <f t="shared" ca="1" si="17"/>
        <v>1.0873192537314005E-15</v>
      </c>
      <c r="G72" s="4">
        <f t="shared" ca="1" si="18"/>
        <v>-8.8750000000000018</v>
      </c>
      <c r="AC72">
        <v>20.360836143796643</v>
      </c>
      <c r="AD72">
        <v>936.0148423935816</v>
      </c>
    </row>
    <row r="73" spans="1:30" x14ac:dyDescent="0.25">
      <c r="A73" s="8">
        <f t="shared" si="14"/>
        <v>10</v>
      </c>
      <c r="B73" s="6">
        <f t="shared" si="14"/>
        <v>8</v>
      </c>
      <c r="C73" s="6">
        <f t="shared" ca="1" si="14"/>
        <v>0.79</v>
      </c>
      <c r="D73" s="6">
        <f t="shared" ca="1" si="15"/>
        <v>4.875</v>
      </c>
      <c r="E73" s="6">
        <f t="shared" ca="1" si="16"/>
        <v>8.8750000000000018</v>
      </c>
      <c r="F73" s="4">
        <f t="shared" ca="1" si="17"/>
        <v>-4.8749999999999991</v>
      </c>
      <c r="G73" s="4">
        <f t="shared" ca="1" si="18"/>
        <v>-8.8750000000000018</v>
      </c>
      <c r="AC73">
        <v>21.20920014978817</v>
      </c>
      <c r="AD73">
        <v>1005.6735372055418</v>
      </c>
    </row>
    <row r="74" spans="1:30" x14ac:dyDescent="0.25">
      <c r="A74" s="8">
        <f t="shared" si="14"/>
        <v>11</v>
      </c>
      <c r="B74" s="6">
        <f t="shared" si="14"/>
        <v>0</v>
      </c>
      <c r="C74" s="6">
        <f t="shared" ca="1" si="14"/>
        <v>0</v>
      </c>
      <c r="D74" s="6">
        <f t="shared" ca="1" si="15"/>
        <v>-8</v>
      </c>
      <c r="E74" s="6">
        <f t="shared" ca="1" si="16"/>
        <v>-11.999999999999998</v>
      </c>
      <c r="F74" s="4">
        <f t="shared" ca="1" si="17"/>
        <v>0</v>
      </c>
      <c r="G74" s="4">
        <f t="shared" ca="1" si="18"/>
        <v>0</v>
      </c>
      <c r="AC74">
        <v>22.057564155779698</v>
      </c>
      <c r="AD74">
        <v>1077.9060894488857</v>
      </c>
    </row>
    <row r="75" spans="1:30" x14ac:dyDescent="0.25">
      <c r="A75" s="8">
        <f t="shared" si="14"/>
        <v>12</v>
      </c>
      <c r="B75" s="6">
        <f t="shared" si="14"/>
        <v>0</v>
      </c>
      <c r="C75" s="6">
        <f t="shared" ca="1" si="14"/>
        <v>0</v>
      </c>
      <c r="D75" s="6">
        <f t="shared" ca="1" si="15"/>
        <v>-8</v>
      </c>
      <c r="E75" s="6">
        <f t="shared" ca="1" si="16"/>
        <v>-11.999999999999998</v>
      </c>
      <c r="F75" s="4">
        <f t="shared" ca="1" si="17"/>
        <v>0</v>
      </c>
      <c r="G75" s="4">
        <f t="shared" ca="1" si="18"/>
        <v>0</v>
      </c>
      <c r="AC75">
        <v>22.905928161771225</v>
      </c>
      <c r="AD75">
        <v>1149.3079589557024</v>
      </c>
    </row>
    <row r="76" spans="1:30" x14ac:dyDescent="0.25">
      <c r="G76" s="7">
        <f ca="1">MIN(G64:G75)</f>
        <v>-8.8750000000000018</v>
      </c>
      <c r="AC76">
        <v>23.754292167762753</v>
      </c>
      <c r="AD76">
        <v>1218.723444480265</v>
      </c>
    </row>
    <row r="77" spans="1:30" x14ac:dyDescent="0.25">
      <c r="D77" t="s">
        <v>0</v>
      </c>
      <c r="E77" t="s">
        <v>1</v>
      </c>
      <c r="AC77">
        <v>24.60265617375428</v>
      </c>
      <c r="AD77">
        <v>1283.9609792646324</v>
      </c>
    </row>
    <row r="78" spans="1:30" x14ac:dyDescent="0.25">
      <c r="A78" s="2" t="s">
        <v>40</v>
      </c>
      <c r="B78" s="79">
        <v>29.647506804911242</v>
      </c>
      <c r="C78" t="s">
        <v>6</v>
      </c>
      <c r="D78" s="4">
        <f ca="1">MIN(C57:C61)</f>
        <v>-8.0000000000000018</v>
      </c>
      <c r="E78" s="4">
        <f ca="1">MAX(D57:D61)-B78</f>
        <v>-17.647506804911242</v>
      </c>
      <c r="F78" s="2" t="s">
        <v>165</v>
      </c>
      <c r="G78" s="1">
        <f ca="1">B78/G57</f>
        <v>1.2353127835379683</v>
      </c>
      <c r="S78" s="7">
        <f ca="1">S79</f>
        <v>-12.000000000000004</v>
      </c>
      <c r="T78">
        <v>0</v>
      </c>
      <c r="AC78">
        <v>25.451020179745804</v>
      </c>
      <c r="AD78">
        <v>1345.0392487446311</v>
      </c>
    </row>
    <row r="79" spans="1:30" x14ac:dyDescent="0.25">
      <c r="A79" s="2"/>
      <c r="D79" s="4">
        <f ca="1">MAX(C57:C61)</f>
        <v>8.0000000000000018</v>
      </c>
      <c r="E79" s="4">
        <f ca="1">E78</f>
        <v>-17.647506804911242</v>
      </c>
      <c r="S79" s="7">
        <f ca="1">MIN(D57:D61)</f>
        <v>-12.000000000000004</v>
      </c>
      <c r="T79" s="7">
        <f ca="1">((B78-(S80-S79))/B78)*B96</f>
        <v>5.7146526776164234E-4</v>
      </c>
      <c r="U79">
        <v>0</v>
      </c>
      <c r="AC79">
        <v>26.299384185737331</v>
      </c>
      <c r="AD79">
        <v>1402.0161682514208</v>
      </c>
    </row>
    <row r="80" spans="1:30" x14ac:dyDescent="0.25">
      <c r="A80" s="2"/>
      <c r="S80" s="7">
        <f ca="1">MAX(D57:D61)</f>
        <v>12</v>
      </c>
      <c r="T80">
        <f>B96</f>
        <v>3.0000000000000001E-3</v>
      </c>
      <c r="U80">
        <v>0</v>
      </c>
      <c r="AC80">
        <v>27.147748191728859</v>
      </c>
      <c r="AD80">
        <v>1446.9038</v>
      </c>
    </row>
    <row r="81" spans="1:30" x14ac:dyDescent="0.25">
      <c r="A81" s="2" t="s">
        <v>41</v>
      </c>
      <c r="B81" s="1">
        <f>B78*B4</f>
        <v>19.270879423192305</v>
      </c>
      <c r="C81" t="s">
        <v>6</v>
      </c>
      <c r="D81" t="s">
        <v>0</v>
      </c>
      <c r="E81" t="s">
        <v>1</v>
      </c>
      <c r="S81" s="7">
        <f ca="1">S80</f>
        <v>12</v>
      </c>
      <c r="T81">
        <v>0</v>
      </c>
      <c r="AC81">
        <v>27.996112197720386</v>
      </c>
      <c r="AD81">
        <v>1446.9038</v>
      </c>
    </row>
    <row r="82" spans="1:30" x14ac:dyDescent="0.25">
      <c r="D82" s="4">
        <f ca="1">MIN(C57:C61)</f>
        <v>-8.0000000000000018</v>
      </c>
      <c r="E82" s="4">
        <f ca="1">MAX(D57:D61)-B81</f>
        <v>-7.2708794231923051</v>
      </c>
      <c r="AC82">
        <v>28.844476203711913</v>
      </c>
      <c r="AD82">
        <v>1446.9038</v>
      </c>
    </row>
    <row r="83" spans="1:30" x14ac:dyDescent="0.25">
      <c r="D83" s="4">
        <f ca="1">MAX(C57:C61)</f>
        <v>8.0000000000000018</v>
      </c>
      <c r="E83" s="4">
        <f ca="1">E82</f>
        <v>-7.2708794231923051</v>
      </c>
      <c r="AC83">
        <v>29.692840209703441</v>
      </c>
      <c r="AD83">
        <v>1446.9038</v>
      </c>
    </row>
    <row r="84" spans="1:30" x14ac:dyDescent="0.25">
      <c r="A84" t="s">
        <v>46</v>
      </c>
      <c r="AC84">
        <v>30.541204215694965</v>
      </c>
      <c r="AD84">
        <v>1446.9038</v>
      </c>
    </row>
    <row r="85" spans="1:30" x14ac:dyDescent="0.25">
      <c r="A85" s="2" t="s">
        <v>54</v>
      </c>
      <c r="B85" s="1">
        <f>0.85*B2</f>
        <v>6.8</v>
      </c>
      <c r="C85" t="s">
        <v>5</v>
      </c>
      <c r="AC85">
        <v>31.389568221686492</v>
      </c>
      <c r="AD85">
        <v>1446.9038</v>
      </c>
    </row>
    <row r="86" spans="1:30" x14ac:dyDescent="0.25">
      <c r="AC86">
        <v>32.237932227678023</v>
      </c>
      <c r="AD86">
        <v>1446.9038</v>
      </c>
    </row>
    <row r="87" spans="1:30" x14ac:dyDescent="0.25">
      <c r="A87" t="s">
        <v>47</v>
      </c>
      <c r="B87" t="s">
        <v>42</v>
      </c>
      <c r="C87" t="s">
        <v>43</v>
      </c>
      <c r="D87" t="s">
        <v>44</v>
      </c>
      <c r="E87" t="s">
        <v>45</v>
      </c>
      <c r="G87" s="1" t="s">
        <v>48</v>
      </c>
      <c r="H87" s="1" t="s">
        <v>49</v>
      </c>
      <c r="I87" s="1" t="s">
        <v>50</v>
      </c>
      <c r="J87" s="1" t="s">
        <v>51</v>
      </c>
      <c r="K87" s="1" t="s">
        <v>52</v>
      </c>
      <c r="L87" s="1" t="s">
        <v>53</v>
      </c>
      <c r="AC87">
        <v>33.086296233669543</v>
      </c>
      <c r="AD87">
        <v>1446.9038</v>
      </c>
    </row>
    <row r="88" spans="1:30" x14ac:dyDescent="0.25">
      <c r="A88">
        <v>1</v>
      </c>
      <c r="B88" s="4">
        <f t="shared" ref="B88:C91" ca="1" si="19">C57</f>
        <v>7.9999999999999982</v>
      </c>
      <c r="C88" s="4">
        <f t="shared" ca="1" si="19"/>
        <v>12</v>
      </c>
      <c r="D88" s="4">
        <f t="shared" ref="D88:E91" ca="1" si="20">C58</f>
        <v>-8.0000000000000018</v>
      </c>
      <c r="E88" s="4">
        <f t="shared" ca="1" si="20"/>
        <v>11.999999999999996</v>
      </c>
      <c r="F88" s="1">
        <f ca="1">IF(AND(E88&gt;=E$82,C88&lt;=E$82),1,IF(AND(C88&gt;=E$82,E88&gt;=E$82),3,IF(AND(E88&lt;=E$82,C88&gt;=E$82),2,0)))</f>
        <v>3</v>
      </c>
      <c r="G88" s="1" t="str">
        <f ca="1">IF(E88=C88,"H",IF(B88=D88,"V",(E88-C88)/(D88-B88)))</f>
        <v>H</v>
      </c>
      <c r="H88" s="4" t="e">
        <f ca="1">IF(OR(F88=1,F88=2),IF(G88="V",B88,(E$82-C88+(G88*B88))/G88),NA())</f>
        <v>#N/A</v>
      </c>
      <c r="I88" s="4" t="e">
        <f ca="1">IF(OR(F88=1,F88=2),E$82,NA())</f>
        <v>#N/A</v>
      </c>
      <c r="J88" s="5">
        <f ca="1">IF(F88=0,0,IF(F88=1,-0.5*B$85*(H88+D88)*(I88-E88),IF(F88=2,-0.5*B$85*(B88+H88)*(C88-I88),IF(F88=3,-0.5*B$85*(B88+D88)*(C88-E88),0))))</f>
        <v>4.2914033244023041E-29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2.2887484396812289E-28</v>
      </c>
      <c r="L88" s="5">
        <f ca="1">IF(F88=1,(1/6)*B$85*(POWER(H88,2)+H88*D88+POWER(D88,2))*(E88-I88),IF(F88=2,(1/6)*B$85*(POWER(B88,2)+B88*H88+POWER(H88,2))*(I88-C88),IF(F88=3,(1/6)*B$85*(POWER(B88,2)+B88*D88+POWER(D88,2))*(E88-C88),0)))</f>
        <v>-2.5769016550232966E-13</v>
      </c>
      <c r="AC88">
        <v>33.934660239661071</v>
      </c>
      <c r="AD88">
        <v>1446.9038</v>
      </c>
    </row>
    <row r="89" spans="1:30" x14ac:dyDescent="0.25">
      <c r="A89">
        <v>2</v>
      </c>
      <c r="B89" s="4">
        <f t="shared" ca="1" si="19"/>
        <v>-8.0000000000000018</v>
      </c>
      <c r="C89" s="4">
        <f t="shared" ca="1" si="19"/>
        <v>11.999999999999996</v>
      </c>
      <c r="D89" s="4">
        <f t="shared" ca="1" si="20"/>
        <v>-7.9999999999999982</v>
      </c>
      <c r="E89" s="4">
        <f t="shared" ca="1" si="20"/>
        <v>-12.000000000000004</v>
      </c>
      <c r="F89" s="1">
        <f t="shared" ref="F89:F91" ca="1" si="21">IF(AND(E89&gt;=E$82,C89&lt;=E$82),1,IF(AND(C89&gt;=E$82,E89&gt;=E$82),3,IF(AND(E89&lt;=E$82,C89&gt;=E$82),2,0)))</f>
        <v>2</v>
      </c>
      <c r="G89" s="1" t="str">
        <f t="shared" ref="G89:G91" ca="1" si="22">IF(E89=C89,"H",IF(B89=D89,"V",(E89-C89)/(D89-B89)))</f>
        <v>V</v>
      </c>
      <c r="H89" s="4">
        <f t="shared" ref="H89:H91" ca="1" si="23">IF(OR(F89=1,F89=2),IF(G89="V",B89,(E$82-C89+(G89*B89))/G89),NA())</f>
        <v>-8.0000000000000018</v>
      </c>
      <c r="I89" s="4">
        <f t="shared" ref="I89:I91" ca="1" si="24">IF(OR(F89=1,F89=2),E$82,NA())</f>
        <v>-7.2708794231923051</v>
      </c>
      <c r="J89" s="5">
        <f ca="1">IF(F89=0,0,IF(F89=1,-0.5*B$85*(H89+D89)*(I89-E89),IF(F89=2,-0.5*B$85*(B89+H89)*(C89-I89),IF(F89=3,-0.5*B$85*(B89+D89)*(C89-E89),0))))</f>
        <v>1048.3358406216614</v>
      </c>
      <c r="K89" s="5">
        <f t="shared" ref="K89:K91" ca="1" si="25">IF(F89=1,(1/6)*B$85*(E89-I89)*((H89*(2*I89+E89))+(D89*(I89+2*E89))),IF(F89=2,(1/6)*B$85*(I89-C89)*((B89*(2*C89+I89))+(H89*(C89+2*I89))),IF(F89=3,(1/6)*B$85*(E89-C89)*((B89*(2*C89+E89))+(D89*(C89+2*E89))),0)))</f>
        <v>2478.8532976444435</v>
      </c>
      <c r="L89" s="5">
        <f t="shared" ref="L89:L90" ca="1" si="26">IF(F89=1,(1/6)*B$85*(POWER(H89,2)+H89*D89+POWER(D89,2))*(E89-I89),IF(F89=2,(1/6)*B$85*(POWER(B89,2)+B89*H89+POWER(H89,2))*(I89-C89),IF(F89=3,(1/6)*B$85*(POWER(B89,2)+B89*D89+POWER(D89,2))*(E89-C89),0)))</f>
        <v>-4193.3433624866466</v>
      </c>
      <c r="AC89">
        <v>34.783024245652598</v>
      </c>
      <c r="AD89">
        <v>1446.9038</v>
      </c>
    </row>
    <row r="90" spans="1:30" x14ac:dyDescent="0.25">
      <c r="A90">
        <v>3</v>
      </c>
      <c r="B90" s="4">
        <f t="shared" ca="1" si="19"/>
        <v>-7.9999999999999982</v>
      </c>
      <c r="C90" s="4">
        <f t="shared" ca="1" si="19"/>
        <v>-12.000000000000004</v>
      </c>
      <c r="D90" s="4">
        <f t="shared" ca="1" si="20"/>
        <v>8.0000000000000018</v>
      </c>
      <c r="E90" s="4">
        <f t="shared" ca="1" si="20"/>
        <v>-12</v>
      </c>
      <c r="F90" s="1">
        <f t="shared" ca="1" si="21"/>
        <v>0</v>
      </c>
      <c r="G90" s="1" t="str">
        <f t="shared" ca="1" si="22"/>
        <v>H</v>
      </c>
      <c r="H90" s="4" t="e">
        <f t="shared" ca="1" si="23"/>
        <v>#N/A</v>
      </c>
      <c r="I90" s="4" t="e">
        <f t="shared" ca="1" si="24"/>
        <v>#N/A</v>
      </c>
      <c r="J90" s="5">
        <f t="shared" ref="J90:J91" ca="1" si="27">IF(F90=0,0,IF(F90=1,-0.5*B$85*(H90+D90)*(I90-E90),IF(F90=2,-0.5*B$85*(B90+H90)*(C90-I90),IF(F90=3,-0.5*B$85*(B90+D90)*(C90-E90),0))))</f>
        <v>0</v>
      </c>
      <c r="K90" s="5">
        <f t="shared" ca="1" si="25"/>
        <v>0</v>
      </c>
      <c r="L90" s="5">
        <f t="shared" ca="1" si="26"/>
        <v>0</v>
      </c>
      <c r="AC90">
        <v>35.631388251644125</v>
      </c>
      <c r="AD90">
        <v>1446.9038</v>
      </c>
    </row>
    <row r="91" spans="1:30" ht="15.75" thickBot="1" x14ac:dyDescent="0.3">
      <c r="A91">
        <v>4</v>
      </c>
      <c r="B91" s="4">
        <f t="shared" ca="1" si="19"/>
        <v>8.0000000000000018</v>
      </c>
      <c r="C91" s="4">
        <f t="shared" ca="1" si="19"/>
        <v>-12</v>
      </c>
      <c r="D91" s="4">
        <f t="shared" ca="1" si="20"/>
        <v>7.9999999999999982</v>
      </c>
      <c r="E91" s="4">
        <f t="shared" ca="1" si="20"/>
        <v>12</v>
      </c>
      <c r="F91" s="1">
        <f t="shared" ca="1" si="21"/>
        <v>1</v>
      </c>
      <c r="G91" s="1" t="str">
        <f t="shared" ca="1" si="22"/>
        <v>V</v>
      </c>
      <c r="H91" s="4">
        <f t="shared" ca="1" si="23"/>
        <v>8.0000000000000018</v>
      </c>
      <c r="I91" s="4">
        <f t="shared" ca="1" si="24"/>
        <v>-7.2708794231923051</v>
      </c>
      <c r="J91" s="22">
        <f t="shared" ca="1" si="27"/>
        <v>1048.3358406216614</v>
      </c>
      <c r="K91" s="22">
        <f t="shared" ca="1" si="25"/>
        <v>2478.8532976444449</v>
      </c>
      <c r="L91" s="22">
        <f ca="1">IF(F91=1,(1/6)*B$85*(POWER(H91,2)+H91*D91+POWER(D91,2))*(E91-I91),IF(F91=2,(1/6)*B$85*(POWER(B91,2)+B91*H91+POWER(H91,2))*(I91-C91),IF(F91=3,(1/6)*B$85*(POWER(B91,2)+B91*D91+POWER(D91,2))*(E91-C91),0)))</f>
        <v>4193.3433624866457</v>
      </c>
      <c r="M91" s="1" t="s">
        <v>169</v>
      </c>
      <c r="N91" s="1" t="s">
        <v>170</v>
      </c>
      <c r="V91" s="68"/>
      <c r="AC91">
        <v>36.479752257635653</v>
      </c>
      <c r="AD91">
        <v>1446.9038</v>
      </c>
    </row>
    <row r="92" spans="1:30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IF($B$78=0,0,SUM(J88:J91))</f>
        <v>2096.6716812433228</v>
      </c>
      <c r="K92" s="5">
        <f t="shared" ref="K92" ca="1" si="28">IF($B$78=0,0,SUM(K88:K91))</f>
        <v>4957.7065952888879</v>
      </c>
      <c r="L92" s="5">
        <f ca="1">IF($B$78=0,0,-1*SUM(L88:L91))</f>
        <v>0</v>
      </c>
      <c r="M92" s="76">
        <f ca="1">(-1*L92)/J92</f>
        <v>0</v>
      </c>
      <c r="N92" s="76">
        <f ca="1">K92/J92</f>
        <v>2.3645602884038457</v>
      </c>
      <c r="V92" s="68"/>
      <c r="AC92">
        <v>37.32811626362718</v>
      </c>
      <c r="AD92">
        <v>1446.9038</v>
      </c>
    </row>
    <row r="93" spans="1:30" x14ac:dyDescent="0.25">
      <c r="V93" s="68"/>
      <c r="AC93">
        <v>38.176480269618708</v>
      </c>
      <c r="AD93">
        <v>1446.9038</v>
      </c>
    </row>
    <row r="94" spans="1:30" x14ac:dyDescent="0.25">
      <c r="T94" s="45"/>
      <c r="U94" s="45"/>
      <c r="V94" s="45"/>
      <c r="W94" s="45"/>
      <c r="X94" s="45"/>
      <c r="Y94" s="45"/>
      <c r="Z94" s="45"/>
      <c r="AC94">
        <v>39.024844275610235</v>
      </c>
      <c r="AD94">
        <v>1446.9038</v>
      </c>
    </row>
    <row r="95" spans="1:30" x14ac:dyDescent="0.25">
      <c r="A95" t="s">
        <v>55</v>
      </c>
      <c r="T95" s="45"/>
      <c r="U95" s="45"/>
      <c r="V95" s="69"/>
      <c r="W95" s="69"/>
      <c r="X95" s="69"/>
      <c r="Y95" s="45"/>
      <c r="Z95" s="45"/>
      <c r="AC95">
        <v>39.873208281601762</v>
      </c>
      <c r="AD95">
        <v>1446.9038</v>
      </c>
    </row>
    <row r="96" spans="1:30" x14ac:dyDescent="0.25">
      <c r="A96" s="2" t="s">
        <v>57</v>
      </c>
      <c r="B96" s="1">
        <v>3.0000000000000001E-3</v>
      </c>
      <c r="T96" s="45"/>
      <c r="U96" s="45"/>
      <c r="V96" s="45"/>
      <c r="W96" s="45"/>
      <c r="X96" s="45"/>
      <c r="Y96" s="45"/>
      <c r="Z96" s="45"/>
      <c r="AC96">
        <v>40.72157228759329</v>
      </c>
      <c r="AD96">
        <v>1446.9038</v>
      </c>
    </row>
    <row r="97" spans="1:30" x14ac:dyDescent="0.25">
      <c r="A97" t="s">
        <v>56</v>
      </c>
      <c r="B97" t="s">
        <v>59</v>
      </c>
      <c r="C97" t="str">
        <f t="shared" ref="C97:C109" si="29">F63</f>
        <v>x'</v>
      </c>
      <c r="D97" t="str">
        <f t="shared" ref="D97:D109" si="30">G63</f>
        <v>y'</v>
      </c>
      <c r="E97" t="s">
        <v>60</v>
      </c>
      <c r="F97" t="s">
        <v>58</v>
      </c>
      <c r="G97" t="s">
        <v>62</v>
      </c>
      <c r="H97" s="1" t="s">
        <v>63</v>
      </c>
      <c r="I97" s="1" t="s">
        <v>64</v>
      </c>
      <c r="J97" s="1" t="s">
        <v>65</v>
      </c>
      <c r="M97" t="s">
        <v>134</v>
      </c>
      <c r="T97" s="45"/>
      <c r="U97" s="45"/>
      <c r="V97" s="45"/>
      <c r="W97" s="45"/>
      <c r="X97" s="45"/>
      <c r="Y97" s="45"/>
      <c r="Z97" s="45"/>
      <c r="AC97">
        <v>41.569936293584817</v>
      </c>
      <c r="AD97">
        <v>1446.9038</v>
      </c>
    </row>
    <row r="98" spans="1:30" x14ac:dyDescent="0.25">
      <c r="A98" s="8">
        <f>A64</f>
        <v>1</v>
      </c>
      <c r="B98" s="7">
        <f ca="1">C13</f>
        <v>0.79</v>
      </c>
      <c r="C98">
        <f t="shared" ca="1" si="29"/>
        <v>4.8749999999999991</v>
      </c>
      <c r="D98">
        <f t="shared" ca="1" si="30"/>
        <v>8.8749999999999982</v>
      </c>
      <c r="E98" s="7">
        <f ca="1">G$58-D98</f>
        <v>3.1250000000000018</v>
      </c>
      <c r="F98" s="10">
        <f ca="1">IF($B$78=0,-1,IF(B98=0,0,((B$78-E98)/B$78)*B$96)*IF(B$78&lt;0,-1,1))</f>
        <v>2.6837845400731301E-3</v>
      </c>
      <c r="G98" s="4">
        <f ca="1">IF(AND(F98&gt;0,E98&lt;=B$81),MIN((F98*B$11),B$10)-B$85,MAX(F98*B$11,-1*B$10))</f>
        <v>53.2</v>
      </c>
      <c r="H98" s="4">
        <f ca="1">G98*B98</f>
        <v>42.028000000000006</v>
      </c>
      <c r="I98" s="4">
        <f ca="1">H98*D98</f>
        <v>372.99849999999998</v>
      </c>
      <c r="J98" s="4">
        <f ca="1">H98*C98*-1</f>
        <v>-204.88649999999998</v>
      </c>
      <c r="M98" s="1" t="s">
        <v>124</v>
      </c>
      <c r="N98" s="1" t="s">
        <v>125</v>
      </c>
      <c r="O98" s="1" t="s">
        <v>126</v>
      </c>
      <c r="P98" s="1" t="s">
        <v>135</v>
      </c>
      <c r="Q98" s="1" t="s">
        <v>127</v>
      </c>
      <c r="R98" s="1" t="s">
        <v>129</v>
      </c>
      <c r="S98" s="1" t="s">
        <v>128</v>
      </c>
      <c r="T98" s="45"/>
      <c r="U98" s="45"/>
      <c r="V98" s="45"/>
      <c r="W98" s="45"/>
      <c r="X98" s="70"/>
      <c r="Y98" s="70"/>
      <c r="Z98" s="70"/>
      <c r="AC98">
        <v>42.418300299576345</v>
      </c>
      <c r="AD98">
        <v>1446.9038</v>
      </c>
    </row>
    <row r="99" spans="1:30" x14ac:dyDescent="0.25">
      <c r="A99" s="8">
        <f t="shared" ref="A99:A108" si="31">A65</f>
        <v>2</v>
      </c>
      <c r="B99" s="7">
        <f t="shared" ref="B99:B109" ca="1" si="32">C14</f>
        <v>0.79</v>
      </c>
      <c r="C99">
        <f t="shared" ca="1" si="29"/>
        <v>-1.0873192537314001E-15</v>
      </c>
      <c r="D99">
        <f t="shared" ca="1" si="30"/>
        <v>8.8749999999999982</v>
      </c>
      <c r="E99" s="7">
        <f t="shared" ref="E99:E109" ca="1" si="33">G$58-D99</f>
        <v>3.1250000000000018</v>
      </c>
      <c r="F99" s="10">
        <f t="shared" ref="F99:F109" ca="1" si="34">IF($B$78=0,-1,IF(B99=0,0,((B$78-E99)/B$78)*B$96)*IF(B$78&lt;0,-1,1))</f>
        <v>2.6837845400731301E-3</v>
      </c>
      <c r="G99" s="4">
        <f ca="1">IF(AND(F99&gt;0,E99&lt;=B$81),MIN((F99*B$11),B$10)-B$85,MAX(F99*B$11,-1*B$10))</f>
        <v>53.2</v>
      </c>
      <c r="H99" s="4">
        <f t="shared" ref="H99:H109" ca="1" si="35">G99*B99</f>
        <v>42.028000000000006</v>
      </c>
      <c r="I99" s="4">
        <f t="shared" ref="I99:I109" ca="1" si="36">H99*D99</f>
        <v>372.99849999999998</v>
      </c>
      <c r="J99" s="4">
        <f t="shared" ref="J99:J109" ca="1" si="37">H99*C99*-1</f>
        <v>4.5697853595823289E-14</v>
      </c>
      <c r="M99" s="76">
        <v>-381</v>
      </c>
      <c r="N99" s="76">
        <v>-69.849999999999994</v>
      </c>
      <c r="O99" s="76">
        <v>0</v>
      </c>
      <c r="P99" s="76">
        <f>SQRT((N99*N99)+(O99*O99)+(M99*M99))</f>
        <v>387.34999999999997</v>
      </c>
      <c r="Q99" s="76">
        <f>N99/P99</f>
        <v>-0.18032786885245902</v>
      </c>
      <c r="R99" s="76">
        <f>O99/P99</f>
        <v>0</v>
      </c>
      <c r="S99" s="76">
        <f>M99/P99</f>
        <v>-0.98360655737704927</v>
      </c>
      <c r="T99" s="69"/>
      <c r="U99" s="69"/>
      <c r="V99" s="69"/>
      <c r="W99" s="67"/>
      <c r="X99" s="67"/>
      <c r="Y99" s="67"/>
      <c r="Z99" s="67"/>
      <c r="AC99">
        <v>43.266664305567872</v>
      </c>
      <c r="AD99">
        <v>1446.9038</v>
      </c>
    </row>
    <row r="100" spans="1:30" x14ac:dyDescent="0.25">
      <c r="A100" s="8">
        <f t="shared" si="31"/>
        <v>3</v>
      </c>
      <c r="B100" s="7">
        <f t="shared" ca="1" si="32"/>
        <v>0.79</v>
      </c>
      <c r="C100">
        <f t="shared" ca="1" si="29"/>
        <v>-4.8750000000000009</v>
      </c>
      <c r="D100">
        <f t="shared" ca="1" si="30"/>
        <v>8.8749999999999982</v>
      </c>
      <c r="E100" s="7">
        <f t="shared" ca="1" si="33"/>
        <v>3.1250000000000018</v>
      </c>
      <c r="F100" s="10">
        <f t="shared" ca="1" si="34"/>
        <v>2.6837845400731301E-3</v>
      </c>
      <c r="G100" s="4">
        <f t="shared" ref="G100:G109" ca="1" si="38">IF(AND(F100&gt;0,E100&lt;=B$81),MIN((F100*B$11),B$10)-B$85,MAX(F100*B$11,-1*B$10))</f>
        <v>53.2</v>
      </c>
      <c r="H100" s="4">
        <f t="shared" ca="1" si="35"/>
        <v>42.028000000000006</v>
      </c>
      <c r="I100" s="4">
        <f t="shared" ca="1" si="36"/>
        <v>372.99849999999998</v>
      </c>
      <c r="J100" s="4">
        <f t="shared" ca="1" si="37"/>
        <v>204.88650000000007</v>
      </c>
      <c r="M100" s="77">
        <v>2904.0124999999998</v>
      </c>
      <c r="N100" s="77">
        <v>64.902000000000001</v>
      </c>
      <c r="O100" s="77">
        <v>0</v>
      </c>
      <c r="P100" s="76">
        <f>SQRT((N100*N100)+(O100*O100)+(M100*M100))</f>
        <v>2904.7376593696458</v>
      </c>
      <c r="Q100" s="77">
        <f>N100/P100</f>
        <v>2.2343497971546358E-2</v>
      </c>
      <c r="R100" s="77">
        <f>O100/P100</f>
        <v>0</v>
      </c>
      <c r="S100" s="77">
        <f>M100/P100</f>
        <v>0.99975035288735736</v>
      </c>
      <c r="T100" s="69"/>
      <c r="U100" s="69"/>
      <c r="V100" s="69"/>
      <c r="W100" s="67"/>
      <c r="X100" s="67"/>
      <c r="Y100" s="67"/>
      <c r="Z100" s="67"/>
      <c r="AC100">
        <v>44.115028311559392</v>
      </c>
      <c r="AD100">
        <v>1446.9038</v>
      </c>
    </row>
    <row r="101" spans="1:30" x14ac:dyDescent="0.25">
      <c r="A101" s="8">
        <f t="shared" si="31"/>
        <v>4</v>
      </c>
      <c r="B101" s="7">
        <f t="shared" ca="1" si="32"/>
        <v>0.79</v>
      </c>
      <c r="C101">
        <f t="shared" ca="1" si="29"/>
        <v>4.875</v>
      </c>
      <c r="D101">
        <f t="shared" ca="1" si="30"/>
        <v>2.9583333333333308</v>
      </c>
      <c r="E101" s="7">
        <f t="shared" ca="1" si="33"/>
        <v>9.0416666666666696</v>
      </c>
      <c r="F101" s="10">
        <f t="shared" ca="1" si="34"/>
        <v>2.0850832692782574E-3</v>
      </c>
      <c r="G101" s="4">
        <f t="shared" ca="1" si="38"/>
        <v>53.2</v>
      </c>
      <c r="H101" s="4">
        <f t="shared" ca="1" si="35"/>
        <v>42.028000000000006</v>
      </c>
      <c r="I101" s="4">
        <f t="shared" ca="1" si="36"/>
        <v>124.33283333333324</v>
      </c>
      <c r="J101" s="4">
        <f t="shared" ca="1" si="37"/>
        <v>-204.88650000000004</v>
      </c>
      <c r="T101" s="45"/>
      <c r="U101" s="45"/>
      <c r="V101" s="45"/>
      <c r="W101" s="45"/>
      <c r="X101" s="70"/>
      <c r="Y101" s="70"/>
      <c r="Z101" s="70"/>
      <c r="AA101" s="45"/>
      <c r="AC101">
        <v>44.96339231755092</v>
      </c>
      <c r="AD101">
        <v>1446.9038</v>
      </c>
    </row>
    <row r="102" spans="1:30" x14ac:dyDescent="0.25">
      <c r="A102" s="8">
        <f t="shared" si="31"/>
        <v>5</v>
      </c>
      <c r="B102" s="7">
        <f t="shared" ca="1" si="32"/>
        <v>0.79</v>
      </c>
      <c r="C102">
        <f t="shared" ca="1" si="29"/>
        <v>-4.875</v>
      </c>
      <c r="D102">
        <f t="shared" ca="1" si="30"/>
        <v>2.9583333333333299</v>
      </c>
      <c r="E102" s="7">
        <f t="shared" ca="1" si="33"/>
        <v>9.0416666666666696</v>
      </c>
      <c r="F102" s="10">
        <f t="shared" ca="1" si="34"/>
        <v>2.0850832692782574E-3</v>
      </c>
      <c r="G102" s="4">
        <f t="shared" ca="1" si="38"/>
        <v>53.2</v>
      </c>
      <c r="H102" s="4">
        <f t="shared" ca="1" si="35"/>
        <v>42.028000000000006</v>
      </c>
      <c r="I102" s="4">
        <f t="shared" ca="1" si="36"/>
        <v>124.33283333333321</v>
      </c>
      <c r="J102" s="4">
        <f t="shared" ca="1" si="37"/>
        <v>204.88650000000004</v>
      </c>
      <c r="T102" s="45"/>
      <c r="U102" s="45"/>
      <c r="V102" s="45"/>
      <c r="W102" s="69"/>
      <c r="X102" s="70"/>
      <c r="Y102" s="70"/>
      <c r="Z102" s="70"/>
      <c r="AA102" s="45"/>
      <c r="AC102">
        <v>45.811756323542447</v>
      </c>
      <c r="AD102">
        <v>1446.9038</v>
      </c>
    </row>
    <row r="103" spans="1:30" x14ac:dyDescent="0.25">
      <c r="A103" s="8">
        <f t="shared" si="31"/>
        <v>6</v>
      </c>
      <c r="B103" s="7">
        <f t="shared" ca="1" si="32"/>
        <v>0.79</v>
      </c>
      <c r="C103">
        <f t="shared" ca="1" si="29"/>
        <v>4.875</v>
      </c>
      <c r="D103">
        <f t="shared" ca="1" si="30"/>
        <v>-2.9583333333333353</v>
      </c>
      <c r="E103" s="7">
        <f t="shared" ca="1" si="33"/>
        <v>14.958333333333336</v>
      </c>
      <c r="F103" s="10">
        <f t="shared" ca="1" si="34"/>
        <v>1.4863819984833847E-3</v>
      </c>
      <c r="G103" s="4">
        <f t="shared" ca="1" si="38"/>
        <v>36.30507795601816</v>
      </c>
      <c r="H103" s="4">
        <f t="shared" ca="1" si="35"/>
        <v>28.681011585254346</v>
      </c>
      <c r="I103" s="4">
        <f t="shared" ca="1" si="36"/>
        <v>-84.847992606377503</v>
      </c>
      <c r="J103" s="4">
        <f t="shared" ca="1" si="37"/>
        <v>-139.81993147811494</v>
      </c>
      <c r="T103" s="45"/>
      <c r="U103" s="45"/>
      <c r="V103" s="45"/>
      <c r="W103" s="69"/>
      <c r="X103" s="70"/>
      <c r="Y103" s="70"/>
      <c r="Z103" s="70"/>
      <c r="AA103" s="45"/>
      <c r="AC103">
        <v>46.660120329533974</v>
      </c>
      <c r="AD103">
        <v>1446.9038</v>
      </c>
    </row>
    <row r="104" spans="1:30" x14ac:dyDescent="0.25">
      <c r="A104" s="8">
        <f t="shared" si="31"/>
        <v>7</v>
      </c>
      <c r="B104" s="7">
        <f t="shared" ca="1" si="32"/>
        <v>0.79</v>
      </c>
      <c r="C104">
        <f t="shared" ca="1" si="29"/>
        <v>-4.875</v>
      </c>
      <c r="D104">
        <f t="shared" ca="1" si="30"/>
        <v>-2.9583333333333361</v>
      </c>
      <c r="E104" s="7">
        <f t="shared" ca="1" si="33"/>
        <v>14.958333333333336</v>
      </c>
      <c r="F104" s="10">
        <f t="shared" ca="1" si="34"/>
        <v>1.4863819984833847E-3</v>
      </c>
      <c r="G104" s="4">
        <f t="shared" ca="1" si="38"/>
        <v>36.30507795601816</v>
      </c>
      <c r="H104" s="4">
        <f t="shared" ca="1" si="35"/>
        <v>28.681011585254346</v>
      </c>
      <c r="I104" s="4">
        <f t="shared" ca="1" si="36"/>
        <v>-84.847992606377517</v>
      </c>
      <c r="J104" s="4">
        <f t="shared" ca="1" si="37"/>
        <v>139.81993147811494</v>
      </c>
      <c r="T104" s="45"/>
      <c r="U104" s="45"/>
      <c r="V104" s="45"/>
      <c r="W104" s="69"/>
      <c r="X104" s="45"/>
      <c r="Y104" s="45"/>
      <c r="Z104" s="45"/>
      <c r="AC104">
        <v>47.508484335525502</v>
      </c>
      <c r="AD104">
        <v>1446.9038</v>
      </c>
    </row>
    <row r="105" spans="1:30" x14ac:dyDescent="0.25">
      <c r="A105" s="8">
        <f t="shared" si="31"/>
        <v>8</v>
      </c>
      <c r="B105" s="7">
        <f t="shared" ca="1" si="32"/>
        <v>0.79</v>
      </c>
      <c r="C105">
        <f t="shared" ca="1" si="29"/>
        <v>4.8750000000000009</v>
      </c>
      <c r="D105">
        <f t="shared" ca="1" si="30"/>
        <v>-8.8750000000000018</v>
      </c>
      <c r="E105" s="7">
        <f t="shared" ca="1" si="33"/>
        <v>20.875</v>
      </c>
      <c r="F105" s="10">
        <f t="shared" ca="1" si="34"/>
        <v>8.8768072768851216E-4</v>
      </c>
      <c r="G105" s="4">
        <f t="shared" ca="1" si="38"/>
        <v>25.742741102966853</v>
      </c>
      <c r="H105" s="4">
        <f t="shared" ca="1" si="35"/>
        <v>20.336765471343814</v>
      </c>
      <c r="I105" s="4">
        <f t="shared" ca="1" si="36"/>
        <v>-180.48879355817638</v>
      </c>
      <c r="J105" s="4">
        <f t="shared" ca="1" si="37"/>
        <v>-99.141731672801114</v>
      </c>
      <c r="T105" s="45"/>
      <c r="U105" s="45"/>
      <c r="V105" s="45"/>
      <c r="W105" s="45"/>
      <c r="X105" s="45"/>
      <c r="Y105" s="45"/>
      <c r="Z105" s="45"/>
      <c r="AC105">
        <v>48.356848341517029</v>
      </c>
      <c r="AD105">
        <v>1446.9038</v>
      </c>
    </row>
    <row r="106" spans="1:30" x14ac:dyDescent="0.25">
      <c r="A106" s="8">
        <f t="shared" si="31"/>
        <v>9</v>
      </c>
      <c r="B106" s="7">
        <f t="shared" ca="1" si="32"/>
        <v>0.79</v>
      </c>
      <c r="C106">
        <f t="shared" ca="1" si="29"/>
        <v>1.0873192537314005E-15</v>
      </c>
      <c r="D106">
        <f t="shared" ca="1" si="30"/>
        <v>-8.8750000000000018</v>
      </c>
      <c r="E106" s="7">
        <f t="shared" ca="1" si="33"/>
        <v>20.875</v>
      </c>
      <c r="F106" s="10">
        <f t="shared" ca="1" si="34"/>
        <v>8.8768072768851216E-4</v>
      </c>
      <c r="G106" s="4">
        <f t="shared" ca="1" si="38"/>
        <v>25.742741102966853</v>
      </c>
      <c r="H106" s="4">
        <f t="shared" ca="1" si="35"/>
        <v>20.336765471343814</v>
      </c>
      <c r="I106" s="4">
        <f t="shared" ca="1" si="36"/>
        <v>-180.48879355817638</v>
      </c>
      <c r="J106" s="4">
        <f t="shared" ca="1" si="37"/>
        <v>-2.2112556655612069E-14</v>
      </c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C106">
        <v>49.205212347508557</v>
      </c>
      <c r="AD106">
        <v>1446.9038</v>
      </c>
    </row>
    <row r="107" spans="1:30" x14ac:dyDescent="0.25">
      <c r="A107" s="8">
        <f t="shared" si="31"/>
        <v>10</v>
      </c>
      <c r="B107" s="7">
        <f t="shared" ca="1" si="32"/>
        <v>0.79</v>
      </c>
      <c r="C107">
        <f t="shared" ca="1" si="29"/>
        <v>-4.8749999999999991</v>
      </c>
      <c r="D107">
        <f t="shared" ca="1" si="30"/>
        <v>-8.8750000000000018</v>
      </c>
      <c r="E107" s="7">
        <f t="shared" ca="1" si="33"/>
        <v>20.875</v>
      </c>
      <c r="F107" s="10">
        <f t="shared" ca="1" si="34"/>
        <v>8.8768072768851216E-4</v>
      </c>
      <c r="G107" s="4">
        <f t="shared" ca="1" si="38"/>
        <v>25.742741102966853</v>
      </c>
      <c r="H107" s="4">
        <f t="shared" ca="1" si="35"/>
        <v>20.336765471343814</v>
      </c>
      <c r="I107" s="4">
        <f t="shared" ca="1" si="36"/>
        <v>-180.48879355817638</v>
      </c>
      <c r="J107" s="4">
        <f t="shared" ca="1" si="37"/>
        <v>99.141731672801072</v>
      </c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C107">
        <v>50.053576353500084</v>
      </c>
      <c r="AD107">
        <v>1446.9038</v>
      </c>
    </row>
    <row r="108" spans="1:30" x14ac:dyDescent="0.25">
      <c r="A108" s="8">
        <f t="shared" si="31"/>
        <v>11</v>
      </c>
      <c r="B108" s="7">
        <f t="shared" ca="1" si="32"/>
        <v>0</v>
      </c>
      <c r="C108">
        <f t="shared" ca="1" si="29"/>
        <v>0</v>
      </c>
      <c r="D108">
        <f t="shared" ca="1" si="30"/>
        <v>0</v>
      </c>
      <c r="E108" s="7">
        <f t="shared" ca="1" si="33"/>
        <v>12</v>
      </c>
      <c r="F108" s="10">
        <f t="shared" ca="1" si="34"/>
        <v>0</v>
      </c>
      <c r="G108" s="4">
        <f t="shared" ca="1" si="38"/>
        <v>0</v>
      </c>
      <c r="H108" s="4">
        <f t="shared" ca="1" si="35"/>
        <v>0</v>
      </c>
      <c r="I108" s="4">
        <f t="shared" ca="1" si="36"/>
        <v>0</v>
      </c>
      <c r="J108" s="4">
        <f t="shared" ca="1" si="37"/>
        <v>0</v>
      </c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C108">
        <v>50.901940359491611</v>
      </c>
      <c r="AD108">
        <v>1446.9038</v>
      </c>
    </row>
    <row r="109" spans="1:30" ht="15.75" thickBot="1" x14ac:dyDescent="0.3">
      <c r="A109" s="8">
        <f>A75</f>
        <v>12</v>
      </c>
      <c r="B109" s="7">
        <f t="shared" ca="1" si="32"/>
        <v>0</v>
      </c>
      <c r="C109">
        <f t="shared" ca="1" si="29"/>
        <v>0</v>
      </c>
      <c r="D109">
        <f t="shared" ca="1" si="30"/>
        <v>0</v>
      </c>
      <c r="E109" s="7">
        <f t="shared" ca="1" si="33"/>
        <v>12</v>
      </c>
      <c r="F109" s="21">
        <f t="shared" ca="1" si="34"/>
        <v>0</v>
      </c>
      <c r="G109" s="4">
        <f t="shared" ca="1" si="38"/>
        <v>0</v>
      </c>
      <c r="H109" s="20">
        <f t="shared" ca="1" si="35"/>
        <v>0</v>
      </c>
      <c r="I109" s="20">
        <f t="shared" ca="1" si="36"/>
        <v>0</v>
      </c>
      <c r="J109" s="20">
        <f t="shared" ca="1" si="37"/>
        <v>0</v>
      </c>
      <c r="AC109">
        <v>51.750304365483139</v>
      </c>
      <c r="AD109">
        <v>1446.9038</v>
      </c>
    </row>
    <row r="110" spans="1:30" ht="15.75" thickTop="1" x14ac:dyDescent="0.25">
      <c r="F110" s="10">
        <f ca="1">MIN(F98:F109)</f>
        <v>0</v>
      </c>
      <c r="H110" s="4">
        <f ca="1">SUM(H98:H109)</f>
        <v>328.51231958454019</v>
      </c>
      <c r="I110" s="4">
        <f ca="1">SUM(I98:I109)</f>
        <v>656.49880077938178</v>
      </c>
      <c r="J110" s="4">
        <f ca="1">SUM(J98:J109)</f>
        <v>7.1054273576010019E-14</v>
      </c>
      <c r="M110" t="s">
        <v>121</v>
      </c>
      <c r="S110" t="s">
        <v>122</v>
      </c>
      <c r="Y110" t="s">
        <v>123</v>
      </c>
      <c r="AC110">
        <v>52.598668371474666</v>
      </c>
      <c r="AD110">
        <v>1446.9038</v>
      </c>
    </row>
    <row r="111" spans="1:30" x14ac:dyDescent="0.25">
      <c r="M111" s="84">
        <f ca="1">SQRT((J114*J114)+(J115*J115)+(J116*J116))</f>
        <v>1605.4344040718242</v>
      </c>
      <c r="N111" s="83">
        <f ca="1">J114/M111</f>
        <v>-0.18942087668966295</v>
      </c>
      <c r="O111" s="83">
        <f ca="1">J115/M111</f>
        <v>2.0809528793963004E-17</v>
      </c>
      <c r="P111" s="83">
        <f ca="1">J116/M111</f>
        <v>0.98189598811387324</v>
      </c>
      <c r="Q111" s="84">
        <f ca="1">SQRT((N111*N111)+(O111*O111)+(P111*P111))</f>
        <v>1</v>
      </c>
      <c r="R111" s="84"/>
      <c r="S111" s="84">
        <f>SQRT((B119*B119)+(B120*B120)+(B118*B118))</f>
        <v>1583.1810116989654</v>
      </c>
      <c r="T111" s="83">
        <f>B119/S111</f>
        <v>-8.5903000980319846E-2</v>
      </c>
      <c r="U111" s="83">
        <f>B120/S111</f>
        <v>3.474018421998229E-2</v>
      </c>
      <c r="V111" s="83">
        <f>B118/S111</f>
        <v>0.99569764186872356</v>
      </c>
      <c r="W111" s="82">
        <f>SQRT((T111*T111)+(U111*U111)+(V111*V111))</f>
        <v>1</v>
      </c>
      <c r="Y111" s="61">
        <f ca="1">N111-T111</f>
        <v>-0.10351787570934311</v>
      </c>
      <c r="Z111" s="61">
        <f t="shared" ref="Z111:AA111" ca="1" si="39">O111-U111</f>
        <v>-3.4740184219982269E-2</v>
      </c>
      <c r="AA111" s="61">
        <f t="shared" ca="1" si="39"/>
        <v>-1.3801653754850318E-2</v>
      </c>
      <c r="AB111" s="1">
        <f ca="1">SQRT((Y111*Y111)+(Z111*Z111)+(AA111*AA111))</f>
        <v>0.110060513524979</v>
      </c>
      <c r="AC111">
        <v>53.447032377466194</v>
      </c>
      <c r="AD111">
        <v>1446.9038</v>
      </c>
    </row>
    <row r="112" spans="1:30" x14ac:dyDescent="0.25">
      <c r="M112" s="84">
        <f ca="1">SQRT((J114*J114)+(J115*J115))</f>
        <v>304.10279228703155</v>
      </c>
      <c r="N112" s="84">
        <f ca="1">J114/M112</f>
        <v>-1</v>
      </c>
      <c r="O112" s="84">
        <f ca="1">J115/M112</f>
        <v>1.0985868694957117E-16</v>
      </c>
      <c r="P112" s="84"/>
      <c r="Q112" s="84"/>
      <c r="R112" s="84"/>
      <c r="S112" s="84">
        <f>SQRT((B119*B119)+(B120*B120))</f>
        <v>146.70037491431302</v>
      </c>
      <c r="T112" s="84">
        <f>B119/S112</f>
        <v>-0.92705966211359003</v>
      </c>
      <c r="U112" s="84">
        <f>B120/S112</f>
        <v>0.37491383394299593</v>
      </c>
      <c r="V112" s="84"/>
      <c r="AC112">
        <v>54.295396383457721</v>
      </c>
      <c r="AD112">
        <v>1446.9038</v>
      </c>
    </row>
    <row r="113" spans="1:30" x14ac:dyDescent="0.25">
      <c r="A113" s="2" t="s">
        <v>66</v>
      </c>
      <c r="B113" s="29">
        <f ca="1">J92+H110</f>
        <v>2425.1840008278632</v>
      </c>
      <c r="C113" t="s">
        <v>20</v>
      </c>
      <c r="D113" t="s">
        <v>67</v>
      </c>
      <c r="I113" s="2" t="s">
        <v>72</v>
      </c>
      <c r="J113" s="1">
        <f ca="1">IF(ABS(F110)&lt;0.002,0.65,IF(ABS(F110)&gt;0.005,0.9,0.65+((ABS(F110)-0.002)*(250/3))))</f>
        <v>0.65</v>
      </c>
      <c r="AC113">
        <v>55.143760389449241</v>
      </c>
      <c r="AD113">
        <v>1446.9038</v>
      </c>
    </row>
    <row r="114" spans="1:30" ht="15.75" thickBot="1" x14ac:dyDescent="0.3">
      <c r="A114" s="2" t="s">
        <v>68</v>
      </c>
      <c r="B114" s="4">
        <f ca="1">(((K92+I110)*COS(-1*B53))+((L92+J110)*SIN(-1*B53)))</f>
        <v>-5614.2053960682697</v>
      </c>
      <c r="C114" t="s">
        <v>23</v>
      </c>
      <c r="D114" s="4">
        <f ca="1">(B113*(E49-H7))</f>
        <v>-4.3079921866746375E-12</v>
      </c>
      <c r="E114" t="s">
        <v>23</v>
      </c>
      <c r="F114" s="4">
        <f ca="1">B114+D114</f>
        <v>-5614.2053960682742</v>
      </c>
      <c r="G114" s="9" t="str">
        <f>"= Mnx,gc"</f>
        <v>= Mnx,gc</v>
      </c>
      <c r="H114" s="4">
        <f ca="1">F114/12</f>
        <v>-467.85044967235621</v>
      </c>
      <c r="I114" t="s">
        <v>71</v>
      </c>
      <c r="J114" s="27">
        <f ca="1">H114*J113</f>
        <v>-304.10279228703155</v>
      </c>
      <c r="K114" t="s">
        <v>71</v>
      </c>
      <c r="P114" t="s">
        <v>84</v>
      </c>
      <c r="V114">
        <v>4.765927610871308E-10</v>
      </c>
      <c r="W114" s="6"/>
      <c r="AC114">
        <v>55.992124395440769</v>
      </c>
      <c r="AD114">
        <v>1446.9038</v>
      </c>
    </row>
    <row r="115" spans="1:30" ht="15.75" thickBot="1" x14ac:dyDescent="0.3">
      <c r="A115" s="2" t="s">
        <v>69</v>
      </c>
      <c r="B115" s="4">
        <f ca="1">(-1*(K92+I110)*SIN(-1*B53))+((L92+J110)*COS(-1*B53))</f>
        <v>6.1676923307725779E-13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6.1676923307725779E-13</v>
      </c>
      <c r="G115" s="9" t="str">
        <f>"= Mny,gc"</f>
        <v>= Mny,gc</v>
      </c>
      <c r="H115" s="4">
        <f ca="1">F115/12</f>
        <v>5.1397436089771483E-14</v>
      </c>
      <c r="I115" t="s">
        <v>71</v>
      </c>
      <c r="J115" s="27">
        <f ca="1">H115*J113</f>
        <v>3.3408333458351464E-14</v>
      </c>
      <c r="K115" t="s">
        <v>71</v>
      </c>
      <c r="M115" s="73" t="s">
        <v>132</v>
      </c>
      <c r="N115" s="74">
        <f ca="1">IF(AND(J114=0,J115=0),0,ATAN2(J114,J115))</f>
        <v>3.1415926535897931</v>
      </c>
      <c r="P115">
        <f ca="1">(-1*0.003*MAX(E98:E109))/(0.002-0.003)</f>
        <v>62.625</v>
      </c>
      <c r="V115">
        <v>-3.1772419983130971E-10</v>
      </c>
      <c r="W115" s="6"/>
      <c r="X115" s="6"/>
      <c r="AC115">
        <v>56.840488401432296</v>
      </c>
      <c r="AD115">
        <v>1446.9038</v>
      </c>
    </row>
    <row r="116" spans="1:30" ht="15.75" thickBot="1" x14ac:dyDescent="0.3">
      <c r="J116" s="28">
        <f ca="1">B113*J113</f>
        <v>1576.3696005381112</v>
      </c>
      <c r="K116" t="s">
        <v>20</v>
      </c>
      <c r="T116" s="2" t="s">
        <v>118</v>
      </c>
      <c r="U116" s="62">
        <v>9.9999999999999995E-7</v>
      </c>
      <c r="AC116">
        <v>57.688852407423823</v>
      </c>
      <c r="AD116">
        <v>1446.9038</v>
      </c>
    </row>
    <row r="117" spans="1:30" ht="15.75" thickBot="1" x14ac:dyDescent="0.3">
      <c r="A117" s="19" t="s">
        <v>73</v>
      </c>
      <c r="B117" t="s">
        <v>90</v>
      </c>
      <c r="G117" s="2" t="s">
        <v>139</v>
      </c>
      <c r="H117" s="5">
        <f ca="1">B48</f>
        <v>3031.48</v>
      </c>
      <c r="I117" t="s">
        <v>80</v>
      </c>
      <c r="J117" s="1">
        <f ca="1">0.65*((0.85*B2*B5*B6)+((B10-0.85*B2)*SUM(C13:C24)))*0.8</f>
        <v>1576.3696</v>
      </c>
      <c r="K117" t="s">
        <v>20</v>
      </c>
      <c r="L117" s="71" t="s">
        <v>130</v>
      </c>
      <c r="M117" s="72">
        <f ca="1">SQRT((J114*J114)+(J115*J115))</f>
        <v>304.10279228703155</v>
      </c>
      <c r="N117" t="s">
        <v>91</v>
      </c>
      <c r="O117">
        <f ca="1">J114/M117</f>
        <v>-1</v>
      </c>
      <c r="P117">
        <f ca="1">J115/M117</f>
        <v>1.0985868694957117E-16</v>
      </c>
      <c r="T117" s="2" t="s">
        <v>93</v>
      </c>
      <c r="U117" s="50">
        <f ca="1">B118-J116</f>
        <v>-5.3811118050361983E-7</v>
      </c>
      <c r="V117">
        <f ca="1">ABS(U117)</f>
        <v>5.3811118050361983E-7</v>
      </c>
      <c r="AC117">
        <v>58.537216413415351</v>
      </c>
      <c r="AD117">
        <v>1446.9038</v>
      </c>
    </row>
    <row r="118" spans="1:30" ht="15.75" thickBot="1" x14ac:dyDescent="0.3">
      <c r="A118" s="2" t="s">
        <v>74</v>
      </c>
      <c r="B118" s="32">
        <v>1576.3696</v>
      </c>
      <c r="C118" t="s">
        <v>20</v>
      </c>
      <c r="E118" s="4">
        <f ca="1">E120/M117</f>
        <v>0.48240390629444757</v>
      </c>
      <c r="F118" t="s">
        <v>175</v>
      </c>
      <c r="I118" t="s">
        <v>81</v>
      </c>
      <c r="J118" s="1">
        <f ca="1">-1*0.9*B10*SUM(C13:C24)</f>
        <v>-426.6</v>
      </c>
      <c r="K118" t="s">
        <v>20</v>
      </c>
      <c r="O118">
        <f ca="1">ABS(O117)/O117</f>
        <v>-1</v>
      </c>
      <c r="P118">
        <f ca="1">ABS(P117)/P117</f>
        <v>1</v>
      </c>
      <c r="Q118">
        <f ca="1">P118*O118</f>
        <v>-1</v>
      </c>
      <c r="T118" s="2" t="s">
        <v>95</v>
      </c>
      <c r="U118" s="53">
        <f ca="1">B121-N115</f>
        <v>-0.38430382721281919</v>
      </c>
      <c r="AC118">
        <v>59.385580419406878</v>
      </c>
      <c r="AD118">
        <v>1446.9038</v>
      </c>
    </row>
    <row r="119" spans="1:30" ht="15.75" thickBot="1" x14ac:dyDescent="0.3">
      <c r="A119" s="2" t="s">
        <v>75</v>
      </c>
      <c r="B119" s="32">
        <v>-136</v>
      </c>
      <c r="C119" t="s">
        <v>71</v>
      </c>
      <c r="G119" s="2" t="s">
        <v>77</v>
      </c>
      <c r="H119" s="31">
        <v>25</v>
      </c>
      <c r="L119">
        <f ca="1">B118-J116</f>
        <v>-5.3811118050361983E-7</v>
      </c>
      <c r="M119" s="42">
        <f ca="1">N115-B121</f>
        <v>0.38430382721281919</v>
      </c>
      <c r="O119">
        <f>B119/E120</f>
        <v>-0.92705966211359003</v>
      </c>
      <c r="P119">
        <f>B120/E120</f>
        <v>0.37491383394299593</v>
      </c>
      <c r="AC119">
        <v>60.233944425398406</v>
      </c>
      <c r="AD119">
        <v>1446.9038</v>
      </c>
    </row>
    <row r="120" spans="1:30" ht="15.75" thickBot="1" x14ac:dyDescent="0.3">
      <c r="A120" s="2" t="s">
        <v>76</v>
      </c>
      <c r="B120" s="32">
        <v>55</v>
      </c>
      <c r="C120" t="s">
        <v>71</v>
      </c>
      <c r="D120">
        <f>B118</f>
        <v>1576.3696</v>
      </c>
      <c r="E120" s="73">
        <f>SQRT((B119*B119)+(B120*B120))</f>
        <v>146.70037491431302</v>
      </c>
      <c r="F120" s="72" t="s">
        <v>131</v>
      </c>
      <c r="G120" s="2" t="s">
        <v>78</v>
      </c>
      <c r="H120" s="49">
        <v>26</v>
      </c>
      <c r="I120" s="49">
        <v>8</v>
      </c>
      <c r="J120">
        <v>29.647506804911242</v>
      </c>
      <c r="O120">
        <f>ABS(O119)/O119</f>
        <v>-1</v>
      </c>
      <c r="P120">
        <f>ABS(P119)/P119</f>
        <v>1</v>
      </c>
      <c r="Q120">
        <f>P120*O120</f>
        <v>-1</v>
      </c>
      <c r="S120" t="s">
        <v>166</v>
      </c>
      <c r="AC120">
        <v>61.082308431389933</v>
      </c>
      <c r="AD120">
        <v>1446.9038</v>
      </c>
    </row>
    <row r="121" spans="1:30" ht="15.75" thickBot="1" x14ac:dyDescent="0.3">
      <c r="A121" s="71" t="s">
        <v>133</v>
      </c>
      <c r="B121" s="75">
        <f>IF(AND(B119=0,B120=0),0,ATAN2(B119,B120))</f>
        <v>2.7572888263769739</v>
      </c>
      <c r="G121" s="2" t="s">
        <v>117</v>
      </c>
      <c r="H121" s="1">
        <v>0</v>
      </c>
      <c r="I121" s="1" t="s">
        <v>174</v>
      </c>
      <c r="J121">
        <v>29.64750679429164</v>
      </c>
      <c r="O121">
        <f ca="1">O117-O119</f>
        <v>-7.2940337886409967E-2</v>
      </c>
      <c r="P121">
        <f ca="1">P117-P119</f>
        <v>-0.37491383394299582</v>
      </c>
      <c r="S121" s="2" t="s">
        <v>167</v>
      </c>
      <c r="T121">
        <v>0.91687488555908203</v>
      </c>
      <c r="U121" t="s">
        <v>6</v>
      </c>
      <c r="AC121">
        <v>61.93067243738146</v>
      </c>
      <c r="AD121">
        <v>1446.9038</v>
      </c>
    </row>
    <row r="122" spans="1:30" x14ac:dyDescent="0.25">
      <c r="G122" s="2" t="s">
        <v>116</v>
      </c>
      <c r="H122" s="1">
        <v>47</v>
      </c>
      <c r="S122" s="2" t="s">
        <v>168</v>
      </c>
      <c r="T122">
        <v>42.000000953674316</v>
      </c>
      <c r="U122" s="81" t="s">
        <v>6</v>
      </c>
      <c r="AC122">
        <v>62.779036443372988</v>
      </c>
      <c r="AD122">
        <v>1446.9038</v>
      </c>
    </row>
    <row r="123" spans="1:30" x14ac:dyDescent="0.25">
      <c r="A123" s="12"/>
      <c r="B123" s="13"/>
      <c r="C123" s="13"/>
      <c r="D123" s="13"/>
      <c r="E123" s="13"/>
      <c r="F123" s="13"/>
      <c r="G123" s="13"/>
      <c r="H123" s="13"/>
      <c r="I123" s="13"/>
      <c r="AC123">
        <v>63.627400449364515</v>
      </c>
      <c r="AD123">
        <v>1446.9038</v>
      </c>
    </row>
    <row r="124" spans="1:30" x14ac:dyDescent="0.25">
      <c r="A124" s="14"/>
      <c r="B124" s="13"/>
      <c r="C124" s="13"/>
      <c r="D124" s="13"/>
      <c r="E124" s="13"/>
      <c r="F124" s="13"/>
      <c r="G124" s="13"/>
      <c r="H124" s="15">
        <v>0</v>
      </c>
      <c r="I124" s="30">
        <v>0</v>
      </c>
      <c r="J124" s="13"/>
      <c r="K124" s="13"/>
      <c r="L124" s="11"/>
      <c r="M124" s="13"/>
      <c r="N124" s="13"/>
      <c r="AC124">
        <v>64.475764455356043</v>
      </c>
      <c r="AD124">
        <v>1446.9038</v>
      </c>
    </row>
    <row r="125" spans="1:30" x14ac:dyDescent="0.25">
      <c r="A125" s="14"/>
      <c r="B125" s="18"/>
      <c r="C125" s="13"/>
      <c r="D125" s="14"/>
      <c r="E125" s="15"/>
      <c r="F125" s="15"/>
      <c r="G125" s="14">
        <v>25</v>
      </c>
      <c r="H125" s="80">
        <f ca="1">J114</f>
        <v>-304.10279228703155</v>
      </c>
      <c r="I125" s="3">
        <f ca="1">J115</f>
        <v>3.3408333458351464E-14</v>
      </c>
      <c r="J125" s="14"/>
      <c r="K125" s="15"/>
      <c r="L125" s="11"/>
      <c r="M125" s="14"/>
      <c r="N125" s="15"/>
      <c r="AC125">
        <v>65.32412846134757</v>
      </c>
      <c r="AD125">
        <v>1446.9038</v>
      </c>
    </row>
    <row r="126" spans="1:30" x14ac:dyDescent="0.25">
      <c r="A126" s="14"/>
      <c r="B126" s="16"/>
      <c r="C126" s="15"/>
      <c r="D126" s="14"/>
      <c r="E126" s="18"/>
      <c r="F126" s="13"/>
      <c r="G126" s="14">
        <v>72</v>
      </c>
      <c r="H126" s="80">
        <v>42</v>
      </c>
      <c r="I126" s="11"/>
      <c r="J126" s="14"/>
      <c r="K126" s="15"/>
      <c r="L126" s="11"/>
      <c r="M126" s="14"/>
      <c r="N126" s="15"/>
      <c r="AC126">
        <v>66.172492467339097</v>
      </c>
      <c r="AD126">
        <v>1446.9038</v>
      </c>
    </row>
    <row r="127" spans="1:30" ht="15.75" thickBot="1" x14ac:dyDescent="0.3">
      <c r="A127" s="14">
        <f>(2*PI())/360</f>
        <v>1.7453292519943295E-2</v>
      </c>
      <c r="B127" s="15"/>
      <c r="C127" s="16"/>
      <c r="D127" s="14"/>
      <c r="E127" s="15"/>
      <c r="F127" s="13"/>
      <c r="G127" s="14">
        <v>1847</v>
      </c>
      <c r="H127" s="15">
        <v>42.000000953674316</v>
      </c>
      <c r="I127" s="11"/>
      <c r="J127" s="14"/>
      <c r="K127" s="15"/>
      <c r="L127" s="11"/>
      <c r="M127" s="14"/>
      <c r="N127" s="15"/>
      <c r="Q127" s="2" t="s">
        <v>83</v>
      </c>
      <c r="R127" s="54">
        <v>75</v>
      </c>
      <c r="AC127">
        <v>67.020856473330625</v>
      </c>
      <c r="AD127">
        <v>1446.9038</v>
      </c>
    </row>
    <row r="128" spans="1:30" ht="17.25" x14ac:dyDescent="0.25">
      <c r="A128" s="14" t="s">
        <v>82</v>
      </c>
      <c r="B128" s="15" t="s">
        <v>75</v>
      </c>
      <c r="C128" s="16" t="s">
        <v>76</v>
      </c>
      <c r="D128" s="14" t="s">
        <v>92</v>
      </c>
      <c r="E128" s="15"/>
      <c r="F128" s="13"/>
      <c r="G128" s="14"/>
      <c r="H128" s="15"/>
      <c r="I128" s="11"/>
      <c r="J128" s="14"/>
      <c r="K128" s="15"/>
      <c r="L128" s="11"/>
      <c r="M128" s="14"/>
      <c r="N128" s="15"/>
      <c r="Q128" t="s">
        <v>74</v>
      </c>
      <c r="R128" t="s">
        <v>48</v>
      </c>
      <c r="T128" t="s">
        <v>137</v>
      </c>
      <c r="U128" t="s">
        <v>138</v>
      </c>
      <c r="V128" s="38" t="s">
        <v>94</v>
      </c>
      <c r="W128" s="39"/>
      <c r="X128" s="57" t="s">
        <v>163</v>
      </c>
      <c r="Y128" s="57" t="s">
        <v>164</v>
      </c>
      <c r="Z128" s="57"/>
      <c r="AC128">
        <v>67.869220479322152</v>
      </c>
      <c r="AD128">
        <v>1446.9038</v>
      </c>
    </row>
    <row r="129" spans="1:30" x14ac:dyDescent="0.25">
      <c r="A129" s="35">
        <v>-3.1415926535897931</v>
      </c>
      <c r="B129" s="46">
        <v>-304.10279228703126</v>
      </c>
      <c r="C129" s="46">
        <v>-3.2638578827944657E-14</v>
      </c>
      <c r="D129" s="47">
        <f>ATAN2(B129,C129)</f>
        <v>-3.1415926535897931</v>
      </c>
      <c r="E129" s="15"/>
      <c r="F129" s="13"/>
      <c r="G129" s="14"/>
      <c r="H129" s="15"/>
      <c r="I129" s="11"/>
      <c r="J129" s="14"/>
      <c r="K129" s="15"/>
      <c r="L129" s="11"/>
      <c r="M129" s="14"/>
      <c r="N129" s="15"/>
      <c r="P129" s="37"/>
      <c r="Q129" s="37">
        <f ca="1">J118</f>
        <v>-426.6</v>
      </c>
      <c r="R129" s="37" t="e">
        <v>#N/A</v>
      </c>
      <c r="S129" s="37">
        <v>3.1415926529824914</v>
      </c>
      <c r="V129" s="51" t="s">
        <v>74</v>
      </c>
      <c r="W129" s="52" t="s">
        <v>48</v>
      </c>
      <c r="AC129">
        <v>68.717584485313679</v>
      </c>
      <c r="AD129">
        <v>1446.9038</v>
      </c>
    </row>
    <row r="130" spans="1:30" x14ac:dyDescent="0.25">
      <c r="A130" s="36">
        <v>-3.12413936106985</v>
      </c>
      <c r="B130" s="46">
        <v>-304.04316241020837</v>
      </c>
      <c r="C130" s="46">
        <v>-2.401386889028096</v>
      </c>
      <c r="D130" s="47">
        <f t="shared" ref="D130:D193" si="40">ATAN2(B130,C130)</f>
        <v>-3.1336946402351917</v>
      </c>
      <c r="E130" s="15"/>
      <c r="F130" s="13"/>
      <c r="G130" s="14"/>
      <c r="H130" s="15"/>
      <c r="I130" s="11"/>
      <c r="J130" s="14"/>
      <c r="K130" s="15"/>
      <c r="L130" s="11"/>
      <c r="M130" s="14"/>
      <c r="N130" s="15"/>
      <c r="P130" s="37">
        <v>1</v>
      </c>
      <c r="Q130">
        <v>-426.5</v>
      </c>
      <c r="R130" t="e">
        <v>#N/A</v>
      </c>
      <c r="S130" s="37">
        <v>-2.5574415791211838</v>
      </c>
      <c r="T130" t="e">
        <v>#N/A</v>
      </c>
      <c r="U130" t="e">
        <v>#N/A</v>
      </c>
      <c r="V130" s="44">
        <v>0</v>
      </c>
      <c r="W130" s="43">
        <v>0</v>
      </c>
      <c r="X130" t="e">
        <v>#N/A</v>
      </c>
      <c r="Y130" t="e">
        <v>#N/A</v>
      </c>
      <c r="AC130">
        <v>69.565948491305207</v>
      </c>
      <c r="AD130">
        <v>1446.9038</v>
      </c>
    </row>
    <row r="131" spans="1:30" x14ac:dyDescent="0.25">
      <c r="A131" s="36">
        <v>-3.1066860685499065</v>
      </c>
      <c r="B131" s="46">
        <v>-303.75000503496034</v>
      </c>
      <c r="C131" s="46">
        <v>-4.8947294768442235</v>
      </c>
      <c r="D131" s="47">
        <f t="shared" si="40"/>
        <v>-3.1254797127262632</v>
      </c>
      <c r="E131" s="13"/>
      <c r="F131" s="13"/>
      <c r="G131" s="13"/>
      <c r="H131" s="13"/>
      <c r="I131" s="13"/>
      <c r="P131" s="37">
        <v>2</v>
      </c>
      <c r="Q131">
        <v>-399.795072</v>
      </c>
      <c r="R131" t="e">
        <v>#N/A</v>
      </c>
      <c r="S131">
        <v>-2.6195897329719156</v>
      </c>
      <c r="T131" t="e">
        <v>#N/A</v>
      </c>
      <c r="U131" t="e">
        <v>#N/A</v>
      </c>
      <c r="V131" s="44">
        <f>D120</f>
        <v>1576.3696</v>
      </c>
      <c r="W131" s="43">
        <f>E120</f>
        <v>146.70037491431302</v>
      </c>
      <c r="X131" t="e">
        <v>#N/A</v>
      </c>
      <c r="Y131" t="e">
        <v>#N/A</v>
      </c>
      <c r="AC131">
        <v>70.414312497296734</v>
      </c>
      <c r="AD131">
        <v>1446.9038</v>
      </c>
    </row>
    <row r="132" spans="1:30" ht="15.75" thickBot="1" x14ac:dyDescent="0.3">
      <c r="A132" s="36">
        <v>-3.0892327760299634</v>
      </c>
      <c r="B132" s="46">
        <v>-303.41955858134827</v>
      </c>
      <c r="C132" s="46">
        <v>-7.3876704227121763</v>
      </c>
      <c r="D132" s="47">
        <f t="shared" si="40"/>
        <v>-3.1172494269815614</v>
      </c>
      <c r="E132" s="13"/>
      <c r="F132" s="13"/>
      <c r="G132" s="13"/>
      <c r="H132" s="13"/>
      <c r="I132" s="13"/>
      <c r="P132" s="37">
        <v>3</v>
      </c>
      <c r="Q132">
        <v>-373.09014400000001</v>
      </c>
      <c r="R132" t="e">
        <v>#N/A</v>
      </c>
      <c r="S132">
        <v>-2.6337516825131191</v>
      </c>
      <c r="T132" t="e">
        <v>#N/A</v>
      </c>
      <c r="U132" t="e">
        <v>#N/A</v>
      </c>
      <c r="V132" s="40">
        <f ca="1">J116</f>
        <v>1576.3696005381112</v>
      </c>
      <c r="W132" s="41">
        <f ca="1">SQRT((J114*J114)+(J115*J115))</f>
        <v>304.10279228703155</v>
      </c>
      <c r="X132" t="e">
        <v>#N/A</v>
      </c>
      <c r="Y132" t="e">
        <v>#N/A</v>
      </c>
      <c r="AC132">
        <v>71.262676503288247</v>
      </c>
      <c r="AD132">
        <v>1446.9038</v>
      </c>
    </row>
    <row r="133" spans="1:30" x14ac:dyDescent="0.25">
      <c r="A133" s="36">
        <v>-3.0717794835100198</v>
      </c>
      <c r="B133" s="46">
        <v>-303.05324619571508</v>
      </c>
      <c r="C133" s="46">
        <v>-9.88092584987956</v>
      </c>
      <c r="D133" s="47">
        <f t="shared" si="40"/>
        <v>-3.1089996130284834</v>
      </c>
      <c r="E133" s="13"/>
      <c r="F133" s="13"/>
      <c r="G133" s="13"/>
      <c r="H133" s="13"/>
      <c r="I133" s="13"/>
      <c r="P133" s="37">
        <v>4</v>
      </c>
      <c r="Q133">
        <v>-346.38521600000001</v>
      </c>
      <c r="R133">
        <v>77.313412202435771</v>
      </c>
      <c r="S133">
        <v>2.7572889344849485</v>
      </c>
      <c r="T133">
        <v>-384.87223182790717</v>
      </c>
      <c r="U133">
        <v>85.903791336039745</v>
      </c>
      <c r="X133">
        <v>2.9874797768429739</v>
      </c>
      <c r="Y133">
        <v>2.609672647642352</v>
      </c>
      <c r="AC133">
        <v>72.111040509279775</v>
      </c>
      <c r="AD133">
        <v>1446.9038</v>
      </c>
    </row>
    <row r="134" spans="1:30" x14ac:dyDescent="0.25">
      <c r="A134" s="36">
        <v>-3.0543261909900767</v>
      </c>
      <c r="B134" s="46">
        <v>-302.65054467975017</v>
      </c>
      <c r="C134" s="46">
        <v>-12.376098670342206</v>
      </c>
      <c r="D134" s="47">
        <f t="shared" si="40"/>
        <v>-3.1007230519296303</v>
      </c>
      <c r="E134" s="13"/>
      <c r="F134" s="13"/>
      <c r="G134" s="13"/>
      <c r="H134" s="13"/>
      <c r="I134" s="13"/>
      <c r="P134" s="37">
        <v>5</v>
      </c>
      <c r="Q134">
        <v>-319.68028800000002</v>
      </c>
      <c r="R134">
        <v>99.327661744889369</v>
      </c>
      <c r="S134">
        <v>2.7572887619720019</v>
      </c>
      <c r="T134">
        <v>-355.20028933069671</v>
      </c>
      <c r="U134">
        <v>110.36406860543265</v>
      </c>
      <c r="X134">
        <v>2.9417177580154772</v>
      </c>
      <c r="Y134">
        <v>3.103608665874241</v>
      </c>
      <c r="AC134">
        <v>72.959404515271302</v>
      </c>
      <c r="AD134">
        <v>1446.9038</v>
      </c>
    </row>
    <row r="135" spans="1:30" x14ac:dyDescent="0.25">
      <c r="A135" s="36">
        <v>-3.0368728984701332</v>
      </c>
      <c r="B135" s="46">
        <v>-302.21084176424904</v>
      </c>
      <c r="C135" s="46">
        <v>-14.874794935808801</v>
      </c>
      <c r="D135" s="47">
        <f t="shared" si="40"/>
        <v>-3.0924124177611372</v>
      </c>
      <c r="E135" s="13"/>
      <c r="F135" s="13"/>
      <c r="G135" s="13"/>
      <c r="H135" s="13"/>
      <c r="I135" s="13"/>
      <c r="P135" s="37">
        <v>6</v>
      </c>
      <c r="Q135">
        <v>-292.97536000000002</v>
      </c>
      <c r="R135">
        <v>121.63535125891097</v>
      </c>
      <c r="S135">
        <v>2.7572888256828718</v>
      </c>
      <c r="T135">
        <v>-325.52817778182288</v>
      </c>
      <c r="U135">
        <v>135.15039028767885</v>
      </c>
      <c r="X135">
        <v>2.8893000941189233</v>
      </c>
      <c r="Y135">
        <v>3.6871454249342763</v>
      </c>
      <c r="AC135">
        <v>73.80776852126283</v>
      </c>
      <c r="AD135">
        <v>1446.9038</v>
      </c>
    </row>
    <row r="136" spans="1:30" x14ac:dyDescent="0.25">
      <c r="A136" s="36">
        <v>-3.0194196059501901</v>
      </c>
      <c r="B136" s="46">
        <v>-301.73343246078866</v>
      </c>
      <c r="C136" s="46">
        <v>-17.378628110519294</v>
      </c>
      <c r="D136" s="47">
        <f t="shared" si="40"/>
        <v>-3.0840602500790579</v>
      </c>
      <c r="E136" s="13"/>
      <c r="F136" s="13"/>
      <c r="G136" s="13"/>
      <c r="H136" s="13"/>
      <c r="I136" s="13"/>
      <c r="P136" s="37">
        <v>7</v>
      </c>
      <c r="Q136">
        <v>-266.27043200000003</v>
      </c>
      <c r="R136">
        <v>143.11777917034814</v>
      </c>
      <c r="S136">
        <v>2.7572888239774356</v>
      </c>
      <c r="T136">
        <v>-295.85603555557935</v>
      </c>
      <c r="U136">
        <v>159.01975463372014</v>
      </c>
      <c r="X136">
        <v>2.7900942281226548</v>
      </c>
      <c r="Y136">
        <v>4.5041532093657732</v>
      </c>
      <c r="AC136">
        <v>74.656132527254357</v>
      </c>
      <c r="AD136">
        <v>1446.9038</v>
      </c>
    </row>
    <row r="137" spans="1:30" x14ac:dyDescent="0.25">
      <c r="A137" s="36">
        <v>-3.0019663134302466</v>
      </c>
      <c r="B137" s="46">
        <v>-301.2175159192501</v>
      </c>
      <c r="C137" s="46">
        <v>-19.889223379767387</v>
      </c>
      <c r="D137" s="47">
        <f t="shared" si="40"/>
        <v>-3.075658925342009</v>
      </c>
      <c r="E137" s="13"/>
      <c r="F137" s="13"/>
      <c r="G137" s="13"/>
      <c r="H137" s="13"/>
      <c r="I137" s="13"/>
      <c r="P137" s="37">
        <v>8</v>
      </c>
      <c r="Q137">
        <v>-239.56550400000003</v>
      </c>
      <c r="R137">
        <v>164.6632115835728</v>
      </c>
      <c r="S137">
        <v>2.7572888384428325</v>
      </c>
      <c r="T137">
        <v>-266.18389333331311</v>
      </c>
      <c r="U137">
        <v>182.95912398174752</v>
      </c>
      <c r="V137" s="42"/>
      <c r="X137">
        <v>2.6898881787032591</v>
      </c>
      <c r="Y137">
        <v>5.3224993363479101</v>
      </c>
      <c r="AC137">
        <v>75.504496533245884</v>
      </c>
      <c r="AD137">
        <v>1446.9038</v>
      </c>
    </row>
    <row r="138" spans="1:30" x14ac:dyDescent="0.25">
      <c r="A138" s="36">
        <v>-2.9845130209103035</v>
      </c>
      <c r="B138" s="46">
        <v>-300.66219142140005</v>
      </c>
      <c r="C138" s="46">
        <v>-22.408222009888004</v>
      </c>
      <c r="D138" s="47">
        <f t="shared" si="40"/>
        <v>-3.0672006269504131</v>
      </c>
      <c r="E138" s="13"/>
      <c r="F138" s="13"/>
      <c r="G138" s="13"/>
      <c r="H138" s="13"/>
      <c r="I138" s="13"/>
      <c r="P138" s="37">
        <v>9</v>
      </c>
      <c r="Q138">
        <v>-212.86057600000004</v>
      </c>
      <c r="R138">
        <v>183.82563668467517</v>
      </c>
      <c r="S138">
        <v>2.7572888259465067</v>
      </c>
      <c r="T138">
        <v>-236.51175153729025</v>
      </c>
      <c r="U138">
        <v>204.25070742741684</v>
      </c>
      <c r="X138">
        <v>2.6396164577297627</v>
      </c>
      <c r="Y138">
        <v>5.8442689001499692</v>
      </c>
      <c r="AC138">
        <v>76.352860539237412</v>
      </c>
      <c r="AD138">
        <v>1446.9038</v>
      </c>
    </row>
    <row r="139" spans="1:30" x14ac:dyDescent="0.25">
      <c r="A139" s="36">
        <v>-2.9670597283903604</v>
      </c>
      <c r="B139" s="46">
        <v>-300.06645396661571</v>
      </c>
      <c r="C139" s="46">
        <v>-24.937285789162299</v>
      </c>
      <c r="D139" s="47">
        <f t="shared" si="40"/>
        <v>-3.0586773137047563</v>
      </c>
      <c r="E139" s="13"/>
      <c r="F139" s="13"/>
      <c r="G139" s="13"/>
      <c r="H139" s="13"/>
      <c r="I139" s="13"/>
      <c r="P139" s="37">
        <v>10</v>
      </c>
      <c r="Q139">
        <v>-186.15564800000004</v>
      </c>
      <c r="R139">
        <v>201.91746270344436</v>
      </c>
      <c r="S139">
        <v>2.7572893633995719</v>
      </c>
      <c r="T139">
        <v>-206.83960842345044</v>
      </c>
      <c r="U139">
        <v>224.35273633716039</v>
      </c>
      <c r="X139">
        <v>2.613215095008957</v>
      </c>
      <c r="Y139">
        <v>6.23971327425261</v>
      </c>
      <c r="AC139">
        <v>77.201224545228939</v>
      </c>
      <c r="AD139">
        <v>1446.9038</v>
      </c>
    </row>
    <row r="140" spans="1:30" x14ac:dyDescent="0.25">
      <c r="A140" s="36">
        <v>-2.9496064358704168</v>
      </c>
      <c r="B140" s="46">
        <v>-299.42918918081222</v>
      </c>
      <c r="C140" s="46">
        <v>-27.478101574263572</v>
      </c>
      <c r="D140" s="47">
        <f t="shared" si="40"/>
        <v>-3.0500806863734731</v>
      </c>
      <c r="E140" s="13"/>
      <c r="F140" s="13"/>
      <c r="G140" s="13"/>
      <c r="H140" s="13"/>
      <c r="I140" s="13"/>
      <c r="P140" s="37">
        <v>11</v>
      </c>
      <c r="Q140">
        <v>-159.45072000000005</v>
      </c>
      <c r="R140">
        <v>219.33823598438309</v>
      </c>
      <c r="S140">
        <v>2.7572888305598093</v>
      </c>
      <c r="T140">
        <v>-177.16746666668988</v>
      </c>
      <c r="U140">
        <v>243.70915109375898</v>
      </c>
      <c r="X140">
        <v>2.5778416118731657</v>
      </c>
      <c r="Y140">
        <v>6.737189744367015</v>
      </c>
      <c r="AC140">
        <v>78.049588551220467</v>
      </c>
      <c r="AD140">
        <v>1446.9038</v>
      </c>
    </row>
    <row r="141" spans="1:30" x14ac:dyDescent="0.25">
      <c r="A141" s="36">
        <v>-2.9321531433504737</v>
      </c>
      <c r="B141" s="46">
        <v>-298.74916758640734</v>
      </c>
      <c r="C141" s="46">
        <v>-30.032385970237943</v>
      </c>
      <c r="D141" s="47">
        <f t="shared" si="40"/>
        <v>-3.041402152079117</v>
      </c>
      <c r="E141" s="13"/>
      <c r="F141" s="13"/>
      <c r="G141" s="13"/>
      <c r="H141" s="13"/>
      <c r="I141" s="13"/>
      <c r="P141" s="37">
        <v>12</v>
      </c>
      <c r="Q141">
        <v>-132.74579200000005</v>
      </c>
      <c r="R141">
        <v>237.70002106459447</v>
      </c>
      <c r="S141">
        <v>2.7572888270519562</v>
      </c>
      <c r="T141">
        <v>-147.49532444439501</v>
      </c>
      <c r="U141">
        <v>264.11113451621605</v>
      </c>
      <c r="X141">
        <v>2.5539016072161655</v>
      </c>
      <c r="Y141">
        <v>7.1511306543490747</v>
      </c>
      <c r="AC141">
        <v>78.897952557211994</v>
      </c>
      <c r="AD141">
        <v>1446.9038</v>
      </c>
    </row>
    <row r="142" spans="1:30" x14ac:dyDescent="0.25">
      <c r="A142" s="36">
        <v>-2.9146998508305302</v>
      </c>
      <c r="B142" s="46">
        <v>-298.02503817251818</v>
      </c>
      <c r="C142" s="46">
        <v>-32.601890172535335</v>
      </c>
      <c r="D142" s="47">
        <f t="shared" si="40"/>
        <v>-3.0326327861690938</v>
      </c>
      <c r="E142" s="13"/>
      <c r="F142" s="13"/>
      <c r="G142" s="13"/>
      <c r="H142" s="13"/>
      <c r="I142" s="13"/>
      <c r="P142" s="37">
        <v>13</v>
      </c>
      <c r="Q142">
        <v>-106.04086400000006</v>
      </c>
      <c r="R142">
        <v>256.08382953073186</v>
      </c>
      <c r="S142">
        <v>2.7572888275139089</v>
      </c>
      <c r="T142">
        <v>-117.8231822252429</v>
      </c>
      <c r="U142">
        <v>284.53758836747983</v>
      </c>
      <c r="X142">
        <v>2.5316012906953165</v>
      </c>
      <c r="Y142">
        <v>7.5681833332828239</v>
      </c>
      <c r="AC142">
        <v>79.746316563203521</v>
      </c>
      <c r="AD142">
        <v>1446.9038</v>
      </c>
    </row>
    <row r="143" spans="1:30" x14ac:dyDescent="0.25">
      <c r="A143" s="36">
        <v>-2.8972465583105871</v>
      </c>
      <c r="B143" s="46">
        <v>-297.25532119708282</v>
      </c>
      <c r="C143" s="46">
        <v>-35.188405001122703</v>
      </c>
      <c r="D143" s="47">
        <f t="shared" si="40"/>
        <v>-3.0237632911997774</v>
      </c>
      <c r="E143" s="13"/>
      <c r="F143" s="13"/>
      <c r="G143" s="13"/>
      <c r="H143" s="13"/>
      <c r="I143" s="13"/>
      <c r="P143" s="37">
        <v>14</v>
      </c>
      <c r="Q143">
        <v>-79.335936000000061</v>
      </c>
      <c r="R143">
        <v>274.42382319641632</v>
      </c>
      <c r="S143">
        <v>2.7572888279472223</v>
      </c>
      <c r="T143">
        <v>-88.151039999872808</v>
      </c>
      <c r="U143">
        <v>304.91535910712929</v>
      </c>
      <c r="X143">
        <v>2.5110654174351978</v>
      </c>
      <c r="Y143">
        <v>7.9856637613683858</v>
      </c>
      <c r="AC143">
        <v>80.594680569195049</v>
      </c>
      <c r="AD143">
        <v>1446.9038</v>
      </c>
    </row>
    <row r="144" spans="1:30" x14ac:dyDescent="0.25">
      <c r="A144" s="36">
        <v>-2.8797932657906435</v>
      </c>
      <c r="B144" s="46">
        <v>-296.43840071446971</v>
      </c>
      <c r="C144" s="46">
        <v>-37.793766164112668</v>
      </c>
      <c r="D144" s="47">
        <f t="shared" si="40"/>
        <v>-3.0147839528422589</v>
      </c>
      <c r="E144" s="13"/>
      <c r="F144" s="13"/>
      <c r="G144" s="13"/>
      <c r="H144" s="14"/>
      <c r="I144" s="17"/>
      <c r="P144" s="37">
        <v>15</v>
      </c>
      <c r="Q144">
        <v>-52.631008000000065</v>
      </c>
      <c r="R144">
        <v>291.46029307154959</v>
      </c>
      <c r="S144">
        <v>2.7572888431550728</v>
      </c>
      <c r="T144">
        <v>-58.478896900816835</v>
      </c>
      <c r="U144">
        <v>323.84477007949954</v>
      </c>
      <c r="X144">
        <v>2.5018615165109899</v>
      </c>
      <c r="Y144">
        <v>8.3516175742402385</v>
      </c>
      <c r="AC144">
        <v>81.443044575186576</v>
      </c>
      <c r="AD144">
        <v>1446.9038</v>
      </c>
    </row>
    <row r="145" spans="1:30" x14ac:dyDescent="0.25">
      <c r="A145" s="36">
        <v>-2.8623399732707004</v>
      </c>
      <c r="B145" s="46">
        <v>-295.57251384575534</v>
      </c>
      <c r="C145" s="46">
        <v>-40.419859757055342</v>
      </c>
      <c r="D145" s="47">
        <f t="shared" si="40"/>
        <v>-3.0056845911454824</v>
      </c>
      <c r="E145" s="13"/>
      <c r="F145" s="13"/>
      <c r="G145" s="13"/>
      <c r="H145" s="14"/>
      <c r="I145" s="17"/>
      <c r="P145" s="37">
        <v>16</v>
      </c>
      <c r="Q145">
        <v>-25.926080000000066</v>
      </c>
      <c r="R145">
        <v>307.14930738320078</v>
      </c>
      <c r="S145">
        <v>2.7572885059534413</v>
      </c>
      <c r="T145">
        <v>-28.806755555591849</v>
      </c>
      <c r="U145">
        <v>341.27700820355648</v>
      </c>
      <c r="X145">
        <v>2.5027300621616235</v>
      </c>
      <c r="Y145">
        <v>8.6669928737175184</v>
      </c>
      <c r="AC145">
        <v>82.291408581178104</v>
      </c>
      <c r="AD145">
        <v>1446.9038</v>
      </c>
    </row>
    <row r="146" spans="1:30" x14ac:dyDescent="0.25">
      <c r="A146" s="36">
        <v>-2.8448866807507569</v>
      </c>
      <c r="B146" s="46">
        <v>-294.65574366264872</v>
      </c>
      <c r="C146" s="46">
        <v>-43.068628101862892</v>
      </c>
      <c r="D146" s="47">
        <f t="shared" si="40"/>
        <v>-2.996454509287656</v>
      </c>
      <c r="E146" s="13"/>
      <c r="F146" s="13"/>
      <c r="G146" s="13"/>
      <c r="H146" s="13"/>
      <c r="I146" s="13"/>
      <c r="P146" s="37">
        <v>17</v>
      </c>
      <c r="Q146">
        <v>0.77884799999993248</v>
      </c>
      <c r="R146">
        <v>321.71933921343486</v>
      </c>
      <c r="S146">
        <v>2.7572893168644175</v>
      </c>
      <c r="T146">
        <v>0.86538666278008236</v>
      </c>
      <c r="U146">
        <v>357.46593245937208</v>
      </c>
      <c r="X146">
        <v>2.4978851202988239</v>
      </c>
      <c r="Y146">
        <v>8.9792460871552695</v>
      </c>
      <c r="AC146">
        <v>83.139772587169631</v>
      </c>
      <c r="AD146">
        <v>1446.9038</v>
      </c>
    </row>
    <row r="147" spans="1:30" x14ac:dyDescent="0.25">
      <c r="A147" s="36">
        <v>-2.8274333882308138</v>
      </c>
      <c r="B147" s="48">
        <v>-294.17117008350675</v>
      </c>
      <c r="C147" s="48">
        <v>-44.30205592049775</v>
      </c>
      <c r="D147" s="47">
        <f t="shared" si="40"/>
        <v>-2.9921163671312572</v>
      </c>
      <c r="P147" s="37">
        <v>18</v>
      </c>
      <c r="Q147">
        <v>27.483775999999931</v>
      </c>
      <c r="R147">
        <v>331.51013895053416</v>
      </c>
      <c r="S147">
        <v>2.7572882235808458</v>
      </c>
      <c r="T147">
        <v>30.880204311618996</v>
      </c>
      <c r="U147">
        <v>372.47796421107347</v>
      </c>
      <c r="X147">
        <v>2.4873817623433476</v>
      </c>
      <c r="Y147">
        <v>9.2890722802989192</v>
      </c>
      <c r="AC147">
        <v>83.988136593161158</v>
      </c>
      <c r="AD147">
        <v>1446.9038</v>
      </c>
    </row>
    <row r="148" spans="1:30" x14ac:dyDescent="0.25">
      <c r="A148" s="36">
        <v>-2.8099800957108707</v>
      </c>
      <c r="B148" s="48">
        <v>-293.14548837008181</v>
      </c>
      <c r="C148" s="48">
        <v>-47.00187141189005</v>
      </c>
      <c r="D148" s="47">
        <f t="shared" si="40"/>
        <v>-2.9826094749155669</v>
      </c>
      <c r="P148" s="37">
        <v>19</v>
      </c>
      <c r="Q148">
        <v>54.18870399999993</v>
      </c>
      <c r="R148">
        <v>336.62613667538665</v>
      </c>
      <c r="S148">
        <v>2.7572897302202835</v>
      </c>
      <c r="T148">
        <v>62.521457278692793</v>
      </c>
      <c r="U148">
        <v>388.39010888869166</v>
      </c>
      <c r="X148">
        <v>2.4765133003195867</v>
      </c>
      <c r="Y148">
        <v>9.6194164278085292</v>
      </c>
      <c r="AC148">
        <v>84.836500599152686</v>
      </c>
      <c r="AD148">
        <v>1446.9038</v>
      </c>
    </row>
    <row r="149" spans="1:30" x14ac:dyDescent="0.25">
      <c r="A149" s="36">
        <v>-2.7925268031909272</v>
      </c>
      <c r="B149" s="48">
        <v>-292.06214638338292</v>
      </c>
      <c r="C149" s="48">
        <v>-49.730597590578419</v>
      </c>
      <c r="D149" s="47">
        <f t="shared" si="40"/>
        <v>-2.9729361791385598</v>
      </c>
      <c r="P149" s="37">
        <v>20</v>
      </c>
      <c r="Q149">
        <v>80.893631999999926</v>
      </c>
      <c r="R149">
        <v>341.83514407823549</v>
      </c>
      <c r="S149">
        <v>2.7572888268292859</v>
      </c>
      <c r="T149">
        <v>95.89325071269522</v>
      </c>
      <c r="U149">
        <v>405.21957492932779</v>
      </c>
      <c r="X149">
        <v>2.465298279214287</v>
      </c>
      <c r="Y149">
        <v>9.9709329783903833</v>
      </c>
    </row>
    <row r="150" spans="1:30" x14ac:dyDescent="0.25">
      <c r="A150" s="36">
        <v>-2.7750735106709841</v>
      </c>
      <c r="B150" s="48">
        <v>-290.91844851879364</v>
      </c>
      <c r="C150" s="48">
        <v>-52.4904665114992</v>
      </c>
      <c r="D150" s="47">
        <f t="shared" si="40"/>
        <v>-2.9630830721110657</v>
      </c>
      <c r="P150" s="37">
        <v>21</v>
      </c>
      <c r="Q150">
        <v>107.59855999999992</v>
      </c>
      <c r="R150">
        <v>347.12758422826164</v>
      </c>
      <c r="S150">
        <v>2.7572888270433049</v>
      </c>
      <c r="T150">
        <v>131.10851414853656</v>
      </c>
      <c r="U150">
        <v>422.97389284891511</v>
      </c>
      <c r="X150">
        <v>2.4537783508905888</v>
      </c>
      <c r="Y150">
        <v>10.344114269578608</v>
      </c>
    </row>
    <row r="151" spans="1:30" x14ac:dyDescent="0.25">
      <c r="A151" s="36">
        <v>-2.7576202181510405</v>
      </c>
      <c r="B151" s="48">
        <v>-289.71150713733113</v>
      </c>
      <c r="C151" s="48">
        <v>-55.283801804885591</v>
      </c>
      <c r="D151" s="47">
        <f t="shared" si="40"/>
        <v>-2.9530358931688698</v>
      </c>
      <c r="P151" s="37">
        <v>22</v>
      </c>
      <c r="Q151">
        <v>134.30348799999993</v>
      </c>
      <c r="R151">
        <v>352.37359729530743</v>
      </c>
      <c r="S151">
        <v>2.7572888130068871</v>
      </c>
      <c r="T151">
        <v>168.08037706128312</v>
      </c>
      <c r="U151">
        <v>440.99440738163543</v>
      </c>
      <c r="X151">
        <v>2.4445798725500718</v>
      </c>
      <c r="Y151">
        <v>10.725917644485808</v>
      </c>
    </row>
    <row r="152" spans="1:30" x14ac:dyDescent="0.25">
      <c r="A152" s="36">
        <v>-2.7401669256310974</v>
      </c>
      <c r="B152" s="48">
        <v>-288.43819174634314</v>
      </c>
      <c r="C152" s="48">
        <v>-58.113026910731207</v>
      </c>
      <c r="D152" s="47">
        <f t="shared" si="40"/>
        <v>-2.9427794201199271</v>
      </c>
      <c r="P152" s="37">
        <v>23</v>
      </c>
      <c r="Q152">
        <v>161.00841599999993</v>
      </c>
      <c r="R152">
        <v>357.16787599812272</v>
      </c>
      <c r="S152">
        <v>2.7572888286506738</v>
      </c>
      <c r="T152">
        <v>206.0853288026259</v>
      </c>
      <c r="U152">
        <v>457.1628054699047</v>
      </c>
      <c r="X152">
        <v>2.4450396551522111</v>
      </c>
      <c r="Y152">
        <v>11.074556665955299</v>
      </c>
    </row>
    <row r="153" spans="1:30" x14ac:dyDescent="0.25">
      <c r="A153" s="36">
        <v>-2.7227136331111539</v>
      </c>
      <c r="B153" s="48">
        <v>-287.09510832536841</v>
      </c>
      <c r="C153" s="48">
        <v>-60.980674311662824</v>
      </c>
      <c r="D153" s="47">
        <f t="shared" si="40"/>
        <v>-2.9322973652585036</v>
      </c>
      <c r="P153" s="37">
        <v>24</v>
      </c>
      <c r="Q153">
        <v>187.71334399999992</v>
      </c>
      <c r="R153">
        <v>361.90717034398824</v>
      </c>
      <c r="S153">
        <v>2.7572885703041585</v>
      </c>
      <c r="T153">
        <v>245.83106286210779</v>
      </c>
      <c r="U153">
        <v>473.95684530068434</v>
      </c>
      <c r="X153">
        <v>2.4443447991118772</v>
      </c>
      <c r="Y153">
        <v>11.442736658495727</v>
      </c>
    </row>
    <row r="154" spans="1:30" x14ac:dyDescent="0.25">
      <c r="A154" s="36">
        <v>-2.7052603405912108</v>
      </c>
      <c r="B154" s="48">
        <v>-285.67857632623418</v>
      </c>
      <c r="C154" s="48">
        <v>-63.889395514687038</v>
      </c>
      <c r="D154" s="47">
        <f t="shared" si="40"/>
        <v>-2.9215722594557407</v>
      </c>
      <c r="P154" s="37">
        <v>25</v>
      </c>
      <c r="Q154">
        <v>214.41827199999992</v>
      </c>
      <c r="R154">
        <v>364.35490757907928</v>
      </c>
      <c r="S154">
        <v>2.7572888395857968</v>
      </c>
      <c r="T154">
        <v>287.89200817073993</v>
      </c>
      <c r="U154">
        <v>489.2067502049797</v>
      </c>
      <c r="X154">
        <v>2.4455016104268834</v>
      </c>
      <c r="Y154">
        <v>11.865329565484688</v>
      </c>
    </row>
    <row r="155" spans="1:30" x14ac:dyDescent="0.25">
      <c r="A155" s="36">
        <v>-2.6878070480712672</v>
      </c>
      <c r="B155" s="48">
        <v>-284.18460306522365</v>
      </c>
      <c r="C155" s="48">
        <v>-66.841971869992477</v>
      </c>
      <c r="D155" s="47">
        <f t="shared" si="40"/>
        <v>-2.9105853226611096</v>
      </c>
      <c r="P155" s="37">
        <v>26</v>
      </c>
      <c r="Q155">
        <v>241.12319999999991</v>
      </c>
      <c r="R155">
        <v>366.95321190076839</v>
      </c>
      <c r="S155">
        <v>2.757288827785255</v>
      </c>
      <c r="T155">
        <v>330.9183706961968</v>
      </c>
      <c r="U155">
        <v>503.60794400505432</v>
      </c>
      <c r="X155">
        <v>2.4392157323142389</v>
      </c>
      <c r="Y155">
        <v>12.240566271777436</v>
      </c>
    </row>
    <row r="156" spans="1:30" x14ac:dyDescent="0.25">
      <c r="A156" s="36">
        <v>-2.6703537555513241</v>
      </c>
      <c r="B156" s="48">
        <v>-282.6088551815352</v>
      </c>
      <c r="C156" s="48">
        <v>-69.841326325630405</v>
      </c>
      <c r="D156" s="47">
        <f t="shared" si="40"/>
        <v>-2.8993163188980589</v>
      </c>
      <c r="P156" s="37">
        <v>27</v>
      </c>
      <c r="Q156">
        <v>267.82812799999994</v>
      </c>
      <c r="R156">
        <v>369.01651170172426</v>
      </c>
      <c r="S156">
        <v>2.7572888209789781</v>
      </c>
      <c r="T156">
        <v>375.40302725386249</v>
      </c>
      <c r="U156">
        <v>517.23437950280152</v>
      </c>
      <c r="X156">
        <v>2.4337187399498812</v>
      </c>
      <c r="Y156">
        <v>12.617612958044987</v>
      </c>
    </row>
    <row r="157" spans="1:30" x14ac:dyDescent="0.25">
      <c r="A157" s="36">
        <v>-2.6529004630313811</v>
      </c>
      <c r="B157" s="48">
        <v>-280.94662678160387</v>
      </c>
      <c r="C157" s="48">
        <v>-72.890536229062732</v>
      </c>
      <c r="D157" s="47">
        <f t="shared" si="40"/>
        <v>-2.8877433935412538</v>
      </c>
      <c r="P157" s="37">
        <v>28</v>
      </c>
      <c r="Q157">
        <v>294.53305599999993</v>
      </c>
      <c r="R157">
        <v>370.28536527624226</v>
      </c>
      <c r="S157">
        <v>2.7572888456329787</v>
      </c>
      <c r="T157">
        <v>421.08491612787577</v>
      </c>
      <c r="U157">
        <v>529.38567948277137</v>
      </c>
      <c r="X157">
        <v>2.4295966451445765</v>
      </c>
      <c r="Y157">
        <v>12.987522010376608</v>
      </c>
    </row>
    <row r="158" spans="1:30" x14ac:dyDescent="0.25">
      <c r="A158" s="36">
        <v>-2.6354471705114375</v>
      </c>
      <c r="B158" s="48">
        <v>-279.19280383077484</v>
      </c>
      <c r="C158" s="48">
        <v>-75.992847300628156</v>
      </c>
      <c r="D158" s="47">
        <f t="shared" si="40"/>
        <v>-2.8758428903215165</v>
      </c>
      <c r="P158" s="37">
        <v>29</v>
      </c>
      <c r="Q158">
        <v>321.23798399999993</v>
      </c>
      <c r="R158">
        <v>371.56124213599321</v>
      </c>
      <c r="S158">
        <v>2.7572888787756713</v>
      </c>
      <c r="T158">
        <v>468.54482299775145</v>
      </c>
      <c r="U158">
        <v>541.94430640376868</v>
      </c>
      <c r="X158">
        <v>2.4246204124284407</v>
      </c>
      <c r="Y158">
        <v>13.374500540533099</v>
      </c>
    </row>
    <row r="159" spans="1:30" x14ac:dyDescent="0.25">
      <c r="A159" s="36">
        <v>-2.6179938779914944</v>
      </c>
      <c r="B159" s="48">
        <v>-277.34307899917587</v>
      </c>
      <c r="C159" s="48">
        <v>-79.149555612848232</v>
      </c>
      <c r="D159" s="47">
        <f t="shared" si="40"/>
        <v>-2.8635974516435168</v>
      </c>
      <c r="P159" s="37">
        <v>30</v>
      </c>
      <c r="Q159">
        <v>347.94291199999992</v>
      </c>
      <c r="R159">
        <v>370.79985745563573</v>
      </c>
      <c r="S159">
        <v>2.7572888115601675</v>
      </c>
      <c r="T159">
        <v>519.59963078775104</v>
      </c>
      <c r="U159">
        <v>553.73298972983127</v>
      </c>
      <c r="X159">
        <v>2.413943531673723</v>
      </c>
      <c r="Y159">
        <v>13.838751032635949</v>
      </c>
    </row>
    <row r="160" spans="1:30" x14ac:dyDescent="0.25">
      <c r="A160" s="36">
        <v>-2.6005405854715509</v>
      </c>
      <c r="B160" s="48">
        <v>-275.46059532995514</v>
      </c>
      <c r="C160" s="48">
        <v>-82.249907573850024</v>
      </c>
      <c r="D160" s="47">
        <f t="shared" si="40"/>
        <v>-2.8514295105496532</v>
      </c>
      <c r="P160" s="37">
        <v>31</v>
      </c>
      <c r="Q160">
        <v>374.64783999999992</v>
      </c>
      <c r="R160">
        <v>372.03730305833932</v>
      </c>
      <c r="S160">
        <v>2.7572886175682685</v>
      </c>
      <c r="T160">
        <v>570.8993255939688</v>
      </c>
      <c r="U160">
        <v>566.92131285732546</v>
      </c>
      <c r="X160">
        <v>2.4074356629896747</v>
      </c>
      <c r="Y160">
        <v>14.260345464947873</v>
      </c>
    </row>
    <row r="161" spans="1:25" x14ac:dyDescent="0.25">
      <c r="A161" s="36">
        <v>-2.5830872929516078</v>
      </c>
      <c r="B161" s="48">
        <v>-273.58138183572254</v>
      </c>
      <c r="C161" s="48">
        <v>-85.237788940340437</v>
      </c>
      <c r="D161" s="47">
        <f t="shared" si="40"/>
        <v>-2.8395618068190358</v>
      </c>
      <c r="P161" s="37">
        <v>32</v>
      </c>
      <c r="Q161">
        <v>401.35276799999991</v>
      </c>
      <c r="R161">
        <v>373.76500241907041</v>
      </c>
      <c r="S161">
        <v>2.7572887938153867</v>
      </c>
      <c r="T161">
        <v>617.46579692437285</v>
      </c>
      <c r="U161">
        <v>575.02308064472379</v>
      </c>
      <c r="X161">
        <v>2.4006754608498175</v>
      </c>
      <c r="Y161">
        <v>14.623266952386626</v>
      </c>
    </row>
    <row r="162" spans="1:25" x14ac:dyDescent="0.25">
      <c r="A162" s="36">
        <v>-2.5656340004316642</v>
      </c>
      <c r="B162" s="48">
        <v>-271.70284879347849</v>
      </c>
      <c r="C162" s="48">
        <v>-88.12336169455638</v>
      </c>
      <c r="D162" s="47">
        <f t="shared" si="40"/>
        <v>-2.8279602829676338</v>
      </c>
      <c r="P162" s="37">
        <v>33</v>
      </c>
      <c r="Q162">
        <v>428.05769599999991</v>
      </c>
      <c r="R162">
        <v>378.28378728967238</v>
      </c>
      <c r="S162">
        <v>2.7572885728276493</v>
      </c>
      <c r="T162">
        <v>658.55030154291023</v>
      </c>
      <c r="U162">
        <v>581.97505736872665</v>
      </c>
      <c r="X162">
        <v>2.3945550382429657</v>
      </c>
      <c r="Y162">
        <v>14.942573497602375</v>
      </c>
    </row>
    <row r="163" spans="1:25" x14ac:dyDescent="0.25">
      <c r="A163" s="36">
        <v>-2.5481807079117211</v>
      </c>
      <c r="B163" s="48">
        <v>-269.82244665973843</v>
      </c>
      <c r="C163" s="48">
        <v>-90.915770445906006</v>
      </c>
      <c r="D163" s="47">
        <f t="shared" si="40"/>
        <v>-2.8165936437790813</v>
      </c>
      <c r="P163" s="37">
        <v>34</v>
      </c>
      <c r="Q163">
        <v>454.7626239999999</v>
      </c>
      <c r="R163">
        <v>382.73656553738061</v>
      </c>
      <c r="S163">
        <v>2.7572888263499205</v>
      </c>
      <c r="T163">
        <v>699.63480634538064</v>
      </c>
      <c r="U163">
        <v>588.82548544212398</v>
      </c>
      <c r="X163">
        <v>2.3883401162765412</v>
      </c>
      <c r="Y163">
        <v>15.261478731617167</v>
      </c>
    </row>
    <row r="164" spans="1:25" x14ac:dyDescent="0.25">
      <c r="A164" s="36">
        <v>-2.5307274153917776</v>
      </c>
      <c r="B164" s="48">
        <v>-267.68553734677971</v>
      </c>
      <c r="C164" s="48">
        <v>-93.688759843467622</v>
      </c>
      <c r="D164" s="47">
        <f t="shared" si="40"/>
        <v>-2.8049217553998993</v>
      </c>
      <c r="P164" s="37">
        <v>35</v>
      </c>
      <c r="Q164">
        <v>481.4675519999999</v>
      </c>
      <c r="R164">
        <v>387.09932116467178</v>
      </c>
      <c r="S164">
        <v>2.7572888249944203</v>
      </c>
      <c r="T164">
        <v>740.71931148897261</v>
      </c>
      <c r="U164">
        <v>595.53741717641822</v>
      </c>
      <c r="X164">
        <v>2.3820639008994644</v>
      </c>
      <c r="Y164">
        <v>15.579597231577081</v>
      </c>
    </row>
    <row r="165" spans="1:25" x14ac:dyDescent="0.25">
      <c r="A165" s="36">
        <v>-2.5132741228718345</v>
      </c>
      <c r="B165" s="48">
        <v>-265.46152537112414</v>
      </c>
      <c r="C165" s="48">
        <v>-96.401357840516553</v>
      </c>
      <c r="D165" s="47">
        <f t="shared" si="40"/>
        <v>-2.7932545909416104</v>
      </c>
      <c r="P165" s="37">
        <v>36</v>
      </c>
      <c r="Q165">
        <v>508.17247999999989</v>
      </c>
      <c r="R165">
        <v>391.34878748669718</v>
      </c>
      <c r="S165">
        <v>2.7572888216935239</v>
      </c>
      <c r="T165">
        <v>781.80381684457325</v>
      </c>
      <c r="U165">
        <v>602.07505767184182</v>
      </c>
      <c r="X165">
        <v>2.3757577157314018</v>
      </c>
      <c r="Y165">
        <v>15.896576766094849</v>
      </c>
    </row>
    <row r="166" spans="1:25" x14ac:dyDescent="0.25">
      <c r="A166" s="36">
        <v>-2.4958208303518914</v>
      </c>
      <c r="B166" s="48">
        <v>-263.23208831620252</v>
      </c>
      <c r="C166" s="48">
        <v>-99.038232171078363</v>
      </c>
      <c r="D166" s="47">
        <f t="shared" si="40"/>
        <v>-2.7817359981132261</v>
      </c>
      <c r="P166" s="37">
        <v>37</v>
      </c>
      <c r="Q166">
        <v>534.87740799999995</v>
      </c>
      <c r="R166">
        <v>395.46231702272144</v>
      </c>
      <c r="S166">
        <v>2.7572888074112538</v>
      </c>
      <c r="T166">
        <v>822.88831999999547</v>
      </c>
      <c r="U166">
        <v>608.40356465034063</v>
      </c>
      <c r="X166">
        <v>2.369449295470488</v>
      </c>
      <c r="Y166">
        <v>16.212099526431356</v>
      </c>
    </row>
    <row r="167" spans="1:25" x14ac:dyDescent="0.25">
      <c r="A167" s="36">
        <v>-2.4783675378319479</v>
      </c>
      <c r="B167" s="48">
        <v>-260.99458107179697</v>
      </c>
      <c r="C167" s="48">
        <v>-101.60590383566569</v>
      </c>
      <c r="D167" s="47">
        <f t="shared" si="40"/>
        <v>-2.7703419360888675</v>
      </c>
      <c r="P167" s="37">
        <v>38</v>
      </c>
      <c r="Q167">
        <v>561.58233599999994</v>
      </c>
      <c r="R167">
        <v>399.41808116720688</v>
      </c>
      <c r="S167">
        <v>2.7572887642282957</v>
      </c>
      <c r="T167">
        <v>863.97282461536895</v>
      </c>
      <c r="U167">
        <v>614.48935564185672</v>
      </c>
      <c r="X167">
        <v>2.3631631572192431</v>
      </c>
      <c r="Y167">
        <v>16.525882583163607</v>
      </c>
    </row>
    <row r="168" spans="1:25" x14ac:dyDescent="0.25">
      <c r="A168" s="36">
        <v>-2.4609142453120048</v>
      </c>
      <c r="B168" s="48">
        <v>-258.74633009155167</v>
      </c>
      <c r="C168" s="48">
        <v>-104.11035795825251</v>
      </c>
      <c r="D168" s="47">
        <f t="shared" si="40"/>
        <v>-2.759049510567626</v>
      </c>
      <c r="P168" s="37">
        <v>39</v>
      </c>
      <c r="Q168">
        <v>588.28726399999994</v>
      </c>
      <c r="R168">
        <v>403.19518059601114</v>
      </c>
      <c r="S168">
        <v>2.757288652470097</v>
      </c>
      <c r="T168">
        <v>905.0573292300196</v>
      </c>
      <c r="U168">
        <v>620.30027784001709</v>
      </c>
      <c r="X168">
        <v>2.3569206892267469</v>
      </c>
      <c r="Y168">
        <v>16.837677338134277</v>
      </c>
    </row>
    <row r="169" spans="1:25" x14ac:dyDescent="0.25">
      <c r="A169" s="36">
        <v>-2.4434609527920612</v>
      </c>
      <c r="B169" s="48">
        <v>-256.48461676512972</v>
      </c>
      <c r="C169" s="48">
        <v>-106.55710981828332</v>
      </c>
      <c r="D169" s="47">
        <f t="shared" si="40"/>
        <v>-2.7478367534345058</v>
      </c>
      <c r="P169" s="37">
        <v>40</v>
      </c>
      <c r="Q169">
        <v>614.99219199999993</v>
      </c>
      <c r="R169">
        <v>406.77373177309101</v>
      </c>
      <c r="S169">
        <v>2.7572883963250852</v>
      </c>
      <c r="T169">
        <v>946.14183384527041</v>
      </c>
      <c r="U169">
        <v>625.80574118937079</v>
      </c>
      <c r="X169">
        <v>2.3507402887355227</v>
      </c>
      <c r="Y169">
        <v>17.147268428866084</v>
      </c>
    </row>
    <row r="170" spans="1:25" x14ac:dyDescent="0.25">
      <c r="A170" s="36">
        <v>-2.4260076602721181</v>
      </c>
      <c r="B170" s="48">
        <v>-254.20666095757062</v>
      </c>
      <c r="C170" s="48">
        <v>-108.9512623635032</v>
      </c>
      <c r="D170" s="47">
        <f t="shared" si="40"/>
        <v>-2.7366824208990823</v>
      </c>
      <c r="P170" s="37">
        <v>41</v>
      </c>
      <c r="Q170">
        <v>641.69711999999993</v>
      </c>
      <c r="R170">
        <v>410.13514522344019</v>
      </c>
      <c r="S170">
        <v>2.7572888317709365</v>
      </c>
      <c r="T170">
        <v>987.22633846094141</v>
      </c>
      <c r="U170">
        <v>630.9771464976003</v>
      </c>
      <c r="X170">
        <v>2.3446385521362076</v>
      </c>
      <c r="Y170">
        <v>17.454473260859693</v>
      </c>
    </row>
    <row r="171" spans="1:25" x14ac:dyDescent="0.25">
      <c r="A171" s="36">
        <v>-2.4085543677521746</v>
      </c>
      <c r="B171" s="48">
        <v>-251.90960377369649</v>
      </c>
      <c r="C171" s="48">
        <v>-111.29755648007786</v>
      </c>
      <c r="D171" s="47">
        <f t="shared" si="40"/>
        <v>-2.7255658053810974</v>
      </c>
      <c r="P171" s="37">
        <v>42</v>
      </c>
      <c r="Q171">
        <v>668.40204799999992</v>
      </c>
      <c r="R171">
        <v>413.03135106556419</v>
      </c>
      <c r="S171">
        <v>2.7572888269044622</v>
      </c>
      <c r="T171">
        <v>1028.3108430767343</v>
      </c>
      <c r="U171">
        <v>635.4328477931756</v>
      </c>
      <c r="X171">
        <v>2.3435725495328983</v>
      </c>
      <c r="Y171">
        <v>17.807047139562862</v>
      </c>
    </row>
    <row r="172" spans="1:25" x14ac:dyDescent="0.25">
      <c r="A172" s="36">
        <v>-2.3911010752322315</v>
      </c>
      <c r="B172" s="48">
        <v>-249.590490517506</v>
      </c>
      <c r="C172" s="48">
        <v>-113.60041550117488</v>
      </c>
      <c r="D172" s="47">
        <f t="shared" si="40"/>
        <v>-2.7144665580641378</v>
      </c>
      <c r="P172" s="37">
        <v>43</v>
      </c>
      <c r="Q172">
        <v>695.10697599999992</v>
      </c>
      <c r="R172">
        <v>415.86056017112207</v>
      </c>
      <c r="S172">
        <v>2.7572888473209494</v>
      </c>
      <c r="T172">
        <v>1069.3953476922179</v>
      </c>
      <c r="U172">
        <v>639.78547718634161</v>
      </c>
      <c r="X172">
        <v>2.3379307212628149</v>
      </c>
      <c r="Y172">
        <v>18.11268887769566</v>
      </c>
    </row>
    <row r="173" spans="1:25" x14ac:dyDescent="0.25">
      <c r="A173" s="36">
        <v>-2.3736477827122879</v>
      </c>
      <c r="B173" s="48">
        <v>-247.24624918330522</v>
      </c>
      <c r="C173" s="48">
        <v>-115.86398369618811</v>
      </c>
      <c r="D173" s="47">
        <f t="shared" si="40"/>
        <v>-2.703364516202758</v>
      </c>
      <c r="P173" s="37">
        <v>44</v>
      </c>
      <c r="Q173">
        <v>721.81190399999991</v>
      </c>
      <c r="R173">
        <v>418.41609577442205</v>
      </c>
      <c r="S173">
        <v>2.7572888371060378</v>
      </c>
      <c r="T173">
        <v>1110.4798523076354</v>
      </c>
      <c r="U173">
        <v>643.7170704221877</v>
      </c>
      <c r="X173">
        <v>2.3327444602015377</v>
      </c>
      <c r="Y173">
        <v>18.418276998226691</v>
      </c>
    </row>
    <row r="174" spans="1:25" x14ac:dyDescent="0.25">
      <c r="A174" s="36">
        <v>-2.3561944901923448</v>
      </c>
      <c r="B174" s="48">
        <v>-244.87367246139635</v>
      </c>
      <c r="C174" s="48">
        <v>-118.09216181177968</v>
      </c>
      <c r="D174" s="47">
        <f t="shared" si="40"/>
        <v>-2.6922395366295819</v>
      </c>
      <c r="P174" s="37">
        <v>45</v>
      </c>
      <c r="Q174">
        <v>748.51683199999991</v>
      </c>
      <c r="R174">
        <v>420.68143530091646</v>
      </c>
      <c r="S174">
        <v>2.75728889676581</v>
      </c>
      <c r="T174">
        <v>1151.5643569230429</v>
      </c>
      <c r="U174">
        <v>647.20220815525613</v>
      </c>
      <c r="X174">
        <v>2.3280218129898711</v>
      </c>
      <c r="Y174">
        <v>18.724114664353692</v>
      </c>
    </row>
    <row r="175" spans="1:25" x14ac:dyDescent="0.25">
      <c r="A175" s="36">
        <v>-2.3387411976724017</v>
      </c>
      <c r="B175" s="48">
        <v>-242.46939401266678</v>
      </c>
      <c r="C175" s="48">
        <v>-120.28863791321747</v>
      </c>
      <c r="D175" s="47">
        <f t="shared" si="40"/>
        <v>-2.6810713272735454</v>
      </c>
      <c r="P175" s="37">
        <v>46</v>
      </c>
      <c r="Q175">
        <v>775.2217599999999</v>
      </c>
      <c r="R175">
        <v>422.64111603420025</v>
      </c>
      <c r="S175">
        <v>2.7572890432539197</v>
      </c>
      <c r="T175">
        <v>1192.6488615385235</v>
      </c>
      <c r="U175">
        <v>650.21710159107727</v>
      </c>
      <c r="X175">
        <v>2.3237697733369487</v>
      </c>
      <c r="Y175">
        <v>19.030533854360904</v>
      </c>
    </row>
    <row r="176" spans="1:25" x14ac:dyDescent="0.25">
      <c r="A176" s="36">
        <v>-2.3212879051524582</v>
      </c>
      <c r="B176" s="48">
        <v>-240.78766099846061</v>
      </c>
      <c r="C176" s="48">
        <v>-121.65456064344905</v>
      </c>
      <c r="D176" s="47">
        <f t="shared" si="40"/>
        <v>-2.6737651362716019</v>
      </c>
      <c r="P176" s="37">
        <v>47</v>
      </c>
      <c r="Q176">
        <v>801.9266879999999</v>
      </c>
      <c r="R176">
        <v>423.87114016208909</v>
      </c>
      <c r="S176">
        <v>2.7572889988823315</v>
      </c>
      <c r="T176">
        <v>1233.7333661538382</v>
      </c>
      <c r="U176">
        <v>652.10944640321395</v>
      </c>
      <c r="X176">
        <v>2.315586473347218</v>
      </c>
      <c r="Y176">
        <v>19.365563040862508</v>
      </c>
    </row>
    <row r="177" spans="1:25" x14ac:dyDescent="0.25">
      <c r="A177" s="36">
        <v>-2.3038346126325147</v>
      </c>
      <c r="B177" s="48">
        <v>-238.27942746379264</v>
      </c>
      <c r="C177" s="48">
        <v>-123.82520907782671</v>
      </c>
      <c r="D177" s="47">
        <f t="shared" si="40"/>
        <v>-2.6623379850776736</v>
      </c>
      <c r="P177" s="37">
        <v>48</v>
      </c>
      <c r="Q177">
        <v>828.63161599999989</v>
      </c>
      <c r="R177">
        <v>425.1358122538964</v>
      </c>
      <c r="S177">
        <v>2.757288829049104</v>
      </c>
      <c r="T177">
        <v>1274.8178707692264</v>
      </c>
      <c r="U177">
        <v>654.05509577522525</v>
      </c>
      <c r="X177">
        <v>2.3123765812856161</v>
      </c>
      <c r="Y177">
        <v>19.673139567947374</v>
      </c>
    </row>
    <row r="178" spans="1:25" x14ac:dyDescent="0.25">
      <c r="A178" s="36">
        <v>-2.2863813201125716</v>
      </c>
      <c r="B178" s="48">
        <v>-235.7275577070842</v>
      </c>
      <c r="C178" s="48">
        <v>-125.97379265899306</v>
      </c>
      <c r="D178" s="47">
        <f t="shared" si="40"/>
        <v>-2.6508019923309676</v>
      </c>
      <c r="P178" s="37">
        <v>49</v>
      </c>
      <c r="Q178">
        <v>855.33654399999989</v>
      </c>
      <c r="R178">
        <v>426.05251237138697</v>
      </c>
      <c r="S178">
        <v>2.7572888306048542</v>
      </c>
      <c r="T178">
        <v>1315.9023753846054</v>
      </c>
      <c r="U178">
        <v>655.46540364828763</v>
      </c>
      <c r="X178">
        <v>2.3096525482099293</v>
      </c>
      <c r="Y178">
        <v>19.982501149533526</v>
      </c>
    </row>
    <row r="179" spans="1:25" x14ac:dyDescent="0.25">
      <c r="A179" s="36">
        <v>-2.2689280275926285</v>
      </c>
      <c r="B179" s="48">
        <v>-233.12771750542737</v>
      </c>
      <c r="C179" s="48">
        <v>-128.10344829380585</v>
      </c>
      <c r="D179" s="47">
        <f t="shared" si="40"/>
        <v>-2.6391341667981525</v>
      </c>
      <c r="P179" s="37">
        <v>50</v>
      </c>
      <c r="Q179">
        <v>882.04147199999989</v>
      </c>
      <c r="R179">
        <v>426.60956719212692</v>
      </c>
      <c r="S179">
        <v>2.7572888323428644</v>
      </c>
      <c r="T179">
        <v>1356.9868799999845</v>
      </c>
      <c r="U179">
        <v>656.32241106481058</v>
      </c>
      <c r="X179">
        <v>2.3074198615638521</v>
      </c>
      <c r="Y179">
        <v>20.294069783452851</v>
      </c>
    </row>
    <row r="180" spans="1:25" x14ac:dyDescent="0.25">
      <c r="A180" s="36">
        <v>-2.2514747350726849</v>
      </c>
      <c r="B180" s="48">
        <v>-230.47525707769776</v>
      </c>
      <c r="C180" s="48">
        <v>-130.2172185394098</v>
      </c>
      <c r="D180" s="47">
        <f t="shared" si="40"/>
        <v>-2.6273103935836679</v>
      </c>
      <c r="P180" s="37">
        <v>51</v>
      </c>
      <c r="Q180">
        <v>908.74639999999988</v>
      </c>
      <c r="R180">
        <v>426.79604895963075</v>
      </c>
      <c r="S180">
        <v>2.7572888419958339</v>
      </c>
      <c r="T180">
        <v>1398.0713846153644</v>
      </c>
      <c r="U180">
        <v>656.60930609173954</v>
      </c>
      <c r="X180">
        <v>2.3056845647203206</v>
      </c>
      <c r="Y180">
        <v>20.608285743668393</v>
      </c>
    </row>
    <row r="181" spans="1:25" x14ac:dyDescent="0.25">
      <c r="A181" s="36">
        <v>-2.2340214425527418</v>
      </c>
      <c r="B181" s="48">
        <v>-227.76516595602939</v>
      </c>
      <c r="C181" s="48">
        <v>-132.31807058565656</v>
      </c>
      <c r="D181" s="47">
        <f t="shared" si="40"/>
        <v>-2.6153051900626081</v>
      </c>
      <c r="P181" s="37">
        <v>52</v>
      </c>
      <c r="Q181">
        <v>935.45132799999988</v>
      </c>
      <c r="R181">
        <v>426.60165942684205</v>
      </c>
      <c r="S181">
        <v>2.7572888710210797</v>
      </c>
      <c r="T181">
        <v>1439.1558892307485</v>
      </c>
      <c r="U181">
        <v>656.31024527206466</v>
      </c>
      <c r="X181">
        <v>2.3044532974154857</v>
      </c>
      <c r="Y181">
        <v>20.925606171202531</v>
      </c>
    </row>
    <row r="182" spans="1:25" x14ac:dyDescent="0.25">
      <c r="A182" s="36">
        <v>-2.2165681500327983</v>
      </c>
      <c r="B182" s="48">
        <v>-224.99202346835261</v>
      </c>
      <c r="C182" s="48">
        <v>-134.40891513365489</v>
      </c>
      <c r="D182" s="47">
        <f t="shared" si="40"/>
        <v>-2.6030914338727724</v>
      </c>
      <c r="P182" s="37">
        <v>53</v>
      </c>
      <c r="Q182">
        <v>962.15625599999987</v>
      </c>
      <c r="R182">
        <v>426.01664220716435</v>
      </c>
      <c r="S182">
        <v>2.7572888778320541</v>
      </c>
      <c r="T182">
        <v>1480.2403938461362</v>
      </c>
      <c r="U182">
        <v>655.41021878025276</v>
      </c>
      <c r="X182">
        <v>2.3037334485319527</v>
      </c>
      <c r="Y182">
        <v>21.246504253840882</v>
      </c>
    </row>
    <row r="183" spans="1:25" x14ac:dyDescent="0.25">
      <c r="A183" s="36">
        <v>-2.1991148575128552</v>
      </c>
      <c r="B183" s="48">
        <v>-222.14994147921664</v>
      </c>
      <c r="C183" s="48">
        <v>-136.49262453757657</v>
      </c>
      <c r="D183" s="47">
        <f t="shared" si="40"/>
        <v>-2.5906400553533007</v>
      </c>
      <c r="P183" s="37">
        <v>54</v>
      </c>
      <c r="Q183">
        <v>988.86118399999987</v>
      </c>
      <c r="R183">
        <v>425.03173499655134</v>
      </c>
      <c r="S183">
        <v>2.7572888802428435</v>
      </c>
      <c r="T183">
        <v>1521.3248984615216</v>
      </c>
      <c r="U183">
        <v>653.89497691777126</v>
      </c>
      <c r="X183">
        <v>2.3035334730757331</v>
      </c>
      <c r="Y183">
        <v>21.57146951307962</v>
      </c>
    </row>
    <row r="184" spans="1:25" x14ac:dyDescent="0.25">
      <c r="A184" s="36">
        <v>-2.1816615649929121</v>
      </c>
      <c r="B184" s="48">
        <v>-220.45508181140951</v>
      </c>
      <c r="C184" s="48">
        <v>-137.74765115919681</v>
      </c>
      <c r="D184" s="47">
        <f t="shared" si="40"/>
        <v>-2.5831133033058009</v>
      </c>
      <c r="P184" s="37">
        <v>55</v>
      </c>
      <c r="Q184">
        <v>1015.5661119999999</v>
      </c>
      <c r="R184">
        <v>423.63808230183059</v>
      </c>
      <c r="S184">
        <v>2.75728887844032</v>
      </c>
      <c r="T184">
        <v>1562.4094030768715</v>
      </c>
      <c r="U184">
        <v>651.75089584897012</v>
      </c>
      <c r="X184">
        <v>2.3038630142632317</v>
      </c>
      <c r="Y184">
        <v>21.901007394827296</v>
      </c>
    </row>
    <row r="185" spans="1:25" x14ac:dyDescent="0.25">
      <c r="A185" s="36">
        <v>-2.1642082724729685</v>
      </c>
      <c r="B185" s="48">
        <v>-217.4919079491041</v>
      </c>
      <c r="C185" s="48">
        <v>-139.80070931539126</v>
      </c>
      <c r="D185" s="47">
        <f t="shared" si="40"/>
        <v>-2.5703056586333171</v>
      </c>
      <c r="P185" s="37">
        <v>56</v>
      </c>
      <c r="Q185">
        <v>1042.2710399999999</v>
      </c>
      <c r="R185">
        <v>421.82716651640055</v>
      </c>
      <c r="S185">
        <v>2.757288845991432</v>
      </c>
      <c r="T185">
        <v>1603.4939076921808</v>
      </c>
      <c r="U185">
        <v>648.96487156369324</v>
      </c>
      <c r="X185">
        <v>2.3047330935553552</v>
      </c>
      <c r="Y185">
        <v>22.235639292791632</v>
      </c>
    </row>
    <row r="186" spans="1:25" x14ac:dyDescent="0.25">
      <c r="A186" s="36">
        <v>-2.146754979953025</v>
      </c>
      <c r="B186" s="48">
        <v>-214.43988299918428</v>
      </c>
      <c r="C186" s="48">
        <v>-141.85532291474863</v>
      </c>
      <c r="D186" s="47">
        <f t="shared" si="40"/>
        <v>-2.5571646723152175</v>
      </c>
      <c r="P186" s="37">
        <v>57</v>
      </c>
      <c r="Q186">
        <v>1068.975968</v>
      </c>
      <c r="R186">
        <v>419.59076649877267</v>
      </c>
      <c r="S186">
        <v>2.7572888342533144</v>
      </c>
      <c r="T186">
        <v>1644.5784123073358</v>
      </c>
      <c r="U186">
        <v>645.52425615195796</v>
      </c>
      <c r="X186">
        <v>2.3061564165690149</v>
      </c>
      <c r="Y186">
        <v>22.575903389789197</v>
      </c>
    </row>
    <row r="187" spans="1:25" x14ac:dyDescent="0.25">
      <c r="A187" s="36">
        <v>-2.1293016874330819</v>
      </c>
      <c r="B187" s="48">
        <v>-211.29059495848568</v>
      </c>
      <c r="C187" s="48">
        <v>-143.91435671351888</v>
      </c>
      <c r="D187" s="47">
        <f t="shared" si="40"/>
        <v>-2.5436501850812978</v>
      </c>
      <c r="P187" s="37">
        <v>58</v>
      </c>
      <c r="Q187">
        <v>1095.6808960000001</v>
      </c>
      <c r="R187">
        <v>416.92086620582444</v>
      </c>
      <c r="S187">
        <v>2.7572888322873048</v>
      </c>
      <c r="T187">
        <v>1685.6629169224061</v>
      </c>
      <c r="U187">
        <v>641.41671723972979</v>
      </c>
      <c r="X187">
        <v>2.3081474386986112</v>
      </c>
      <c r="Y187">
        <v>22.922354039415197</v>
      </c>
    </row>
    <row r="188" spans="1:25" x14ac:dyDescent="0.25">
      <c r="A188" s="36">
        <v>-2.1118483949131388</v>
      </c>
      <c r="B188" s="48">
        <v>-208.03472031468635</v>
      </c>
      <c r="C188" s="48">
        <v>-145.98072911235951</v>
      </c>
      <c r="D188" s="47">
        <f t="shared" si="40"/>
        <v>-2.5297177519262117</v>
      </c>
      <c r="P188" s="37">
        <v>59</v>
      </c>
      <c r="Q188">
        <v>1122.3858240000002</v>
      </c>
      <c r="R188">
        <v>413.80961074931668</v>
      </c>
      <c r="S188">
        <v>2.7572888302452685</v>
      </c>
      <c r="T188">
        <v>1726.7474215384425</v>
      </c>
      <c r="U188">
        <v>636.63017038356418</v>
      </c>
      <c r="X188">
        <v>2.310722643596129</v>
      </c>
      <c r="Y188">
        <v>23.275562289303814</v>
      </c>
    </row>
    <row r="189" spans="1:25" x14ac:dyDescent="0.25">
      <c r="A189" s="36">
        <v>-2.0943951023931957</v>
      </c>
      <c r="B189" s="48">
        <v>-204.6618813439417</v>
      </c>
      <c r="C189" s="48">
        <v>-148.05743263475998</v>
      </c>
      <c r="D189" s="47">
        <f t="shared" si="40"/>
        <v>-2.5153178830677727</v>
      </c>
      <c r="P189" s="37">
        <v>60</v>
      </c>
      <c r="Q189">
        <v>1149.0907520000003</v>
      </c>
      <c r="R189">
        <v>410.24925329322724</v>
      </c>
      <c r="S189">
        <v>2.7572888285827739</v>
      </c>
      <c r="T189">
        <v>1767.831926153834</v>
      </c>
      <c r="U189">
        <v>631.15269737419578</v>
      </c>
      <c r="X189">
        <v>2.3139007789422732</v>
      </c>
      <c r="Y189">
        <v>23.636115965740927</v>
      </c>
    </row>
    <row r="190" spans="1:25" x14ac:dyDescent="0.25">
      <c r="A190" s="36">
        <v>-2.0769418098732522</v>
      </c>
      <c r="B190" s="48">
        <v>-201.11957363993855</v>
      </c>
      <c r="C190" s="48">
        <v>-150.13678715939119</v>
      </c>
      <c r="D190" s="47">
        <f t="shared" si="40"/>
        <v>-2.5003320364642025</v>
      </c>
      <c r="P190" s="37">
        <v>61</v>
      </c>
      <c r="Q190">
        <v>1175.7956800000004</v>
      </c>
      <c r="R190">
        <v>406.21068274997856</v>
      </c>
      <c r="S190">
        <v>2.7572898262506116</v>
      </c>
      <c r="T190">
        <v>1808.9164307683998</v>
      </c>
      <c r="U190">
        <v>624.93951192304382</v>
      </c>
      <c r="X190">
        <v>2.3223241691754648</v>
      </c>
      <c r="Y190">
        <v>24.084154494579845</v>
      </c>
    </row>
    <row r="191" spans="1:25" x14ac:dyDescent="0.25">
      <c r="A191" s="36">
        <v>-2.0594885173533086</v>
      </c>
      <c r="B191" s="48">
        <v>-197.32269677525611</v>
      </c>
      <c r="C191" s="48">
        <v>-152.20106282046217</v>
      </c>
      <c r="D191" s="47">
        <f t="shared" si="40"/>
        <v>-2.4845790496863001</v>
      </c>
      <c r="P191" s="37">
        <v>62</v>
      </c>
      <c r="Q191">
        <v>1202.5006080000005</v>
      </c>
      <c r="R191">
        <v>401.65982637063996</v>
      </c>
      <c r="S191">
        <v>2.7572889304912525</v>
      </c>
      <c r="T191">
        <v>1850.0009353844393</v>
      </c>
      <c r="U191">
        <v>617.93819441636913</v>
      </c>
      <c r="X191">
        <v>2.3269097992399823</v>
      </c>
      <c r="Y191">
        <v>24.463686424848699</v>
      </c>
    </row>
    <row r="192" spans="1:25" x14ac:dyDescent="0.25">
      <c r="A192" s="36">
        <v>-2.0420352248333655</v>
      </c>
      <c r="B192" s="48">
        <v>-193.37356461643236</v>
      </c>
      <c r="C192" s="48">
        <v>-154.28320813638632</v>
      </c>
      <c r="D192" s="47">
        <f t="shared" si="40"/>
        <v>-2.4681637162470231</v>
      </c>
      <c r="P192" s="37">
        <v>63</v>
      </c>
      <c r="Q192">
        <v>1229.2055360000006</v>
      </c>
      <c r="R192">
        <v>396.63517726446344</v>
      </c>
      <c r="S192">
        <v>2.7572888424495567</v>
      </c>
      <c r="T192">
        <v>1891.085440000297</v>
      </c>
      <c r="U192">
        <v>610.20796502225141</v>
      </c>
      <c r="X192">
        <v>2.3321820956869987</v>
      </c>
      <c r="Y192">
        <v>24.852514665258244</v>
      </c>
    </row>
    <row r="193" spans="1:25" x14ac:dyDescent="0.25">
      <c r="A193" s="36">
        <v>-2.0245819323134224</v>
      </c>
      <c r="B193" s="48">
        <v>-189.25591199914408</v>
      </c>
      <c r="C193" s="48">
        <v>-156.38676348956963</v>
      </c>
      <c r="D193" s="47">
        <f t="shared" si="40"/>
        <v>-2.4510051261922539</v>
      </c>
      <c r="P193" s="37">
        <v>64</v>
      </c>
      <c r="Q193">
        <v>1255.9104640000007</v>
      </c>
      <c r="R193">
        <v>391.12871296119113</v>
      </c>
      <c r="S193">
        <v>2.7572888527502792</v>
      </c>
      <c r="T193">
        <v>1932.1699446425141</v>
      </c>
      <c r="U193">
        <v>601.73648147875554</v>
      </c>
      <c r="X193">
        <v>2.3381715817325088</v>
      </c>
      <c r="Y193">
        <v>25.251279671968199</v>
      </c>
    </row>
    <row r="194" spans="1:25" x14ac:dyDescent="0.25">
      <c r="A194" s="36">
        <v>-2.0071286397934789</v>
      </c>
      <c r="B194" s="48">
        <v>-184.95120573287616</v>
      </c>
      <c r="C194" s="48">
        <v>-158.51548131024916</v>
      </c>
      <c r="D194" s="47">
        <f t="shared" ref="D194:D257" si="41">ATAN2(B194,C194)</f>
        <v>-2.4330104046913275</v>
      </c>
      <c r="P194" s="37">
        <v>65</v>
      </c>
      <c r="Q194">
        <v>1282.6153920000008</v>
      </c>
      <c r="R194">
        <v>385.05022934585224</v>
      </c>
      <c r="S194">
        <v>2.7572888273918901</v>
      </c>
      <c r="T194">
        <v>1973.2544494822178</v>
      </c>
      <c r="U194">
        <v>592.38496822438799</v>
      </c>
      <c r="X194">
        <v>2.3450173132693153</v>
      </c>
      <c r="Y194">
        <v>25.662881132035086</v>
      </c>
    </row>
    <row r="195" spans="1:25" x14ac:dyDescent="0.25">
      <c r="A195" s="36">
        <v>-1.9896753472735356</v>
      </c>
      <c r="B195" s="48">
        <v>-180.4382090587566</v>
      </c>
      <c r="C195" s="48">
        <v>-160.67336616272112</v>
      </c>
      <c r="D195" s="47">
        <f t="shared" si="41"/>
        <v>-2.4140722338912814</v>
      </c>
      <c r="P195" s="37">
        <v>66</v>
      </c>
      <c r="Q195">
        <v>1309.3203200000009</v>
      </c>
      <c r="R195">
        <v>378.27521623555515</v>
      </c>
      <c r="S195">
        <v>2.7572888372389022</v>
      </c>
      <c r="T195">
        <v>2014.3389538075362</v>
      </c>
      <c r="U195">
        <v>581.9618711316233</v>
      </c>
      <c r="X195">
        <v>2.3475245833343084</v>
      </c>
      <c r="Y195">
        <v>26.092115480596821</v>
      </c>
    </row>
    <row r="196" spans="1:25" x14ac:dyDescent="0.25">
      <c r="A196" s="36">
        <v>-1.9722220547535922</v>
      </c>
      <c r="B196" s="48">
        <v>-175.69244111666248</v>
      </c>
      <c r="C196" s="48">
        <v>-162.8647210903257</v>
      </c>
      <c r="D196" s="47">
        <f t="shared" si="41"/>
        <v>-2.3940657516130992</v>
      </c>
      <c r="P196" s="37">
        <v>67</v>
      </c>
      <c r="Q196">
        <v>1336.0252480000011</v>
      </c>
      <c r="R196">
        <v>370.98314705236083</v>
      </c>
      <c r="S196">
        <v>2.7572884664541806</v>
      </c>
      <c r="T196">
        <v>2055.4234584615297</v>
      </c>
      <c r="U196">
        <v>570.74330315747818</v>
      </c>
      <c r="X196">
        <v>2.3555413926758426</v>
      </c>
      <c r="Y196">
        <v>26.528949513380493</v>
      </c>
    </row>
    <row r="197" spans="1:25" x14ac:dyDescent="0.25">
      <c r="A197" s="36">
        <v>-1.9547687622336489</v>
      </c>
      <c r="B197" s="48">
        <v>-170.68550053360264</v>
      </c>
      <c r="C197" s="48">
        <v>-165.09420197518875</v>
      </c>
      <c r="D197" s="47">
        <f t="shared" si="41"/>
        <v>-2.3728446385484352</v>
      </c>
      <c r="P197" s="37">
        <v>68</v>
      </c>
      <c r="Q197">
        <v>1362.7301760000012</v>
      </c>
      <c r="R197">
        <v>363.15478942265406</v>
      </c>
      <c r="S197">
        <v>2.7572887247297846</v>
      </c>
      <c r="T197">
        <v>2096.5079632911857</v>
      </c>
      <c r="U197">
        <v>558.69967603485236</v>
      </c>
      <c r="X197">
        <v>2.3639915610518307</v>
      </c>
      <c r="Y197">
        <v>26.977336495240515</v>
      </c>
    </row>
    <row r="198" spans="1:25" x14ac:dyDescent="0.25">
      <c r="A198" s="36">
        <v>-1.9373154697137058</v>
      </c>
      <c r="B198" s="48">
        <v>-165.3842109935899</v>
      </c>
      <c r="C198" s="48">
        <v>-167.36688191894382</v>
      </c>
      <c r="D198" s="47">
        <f t="shared" si="41"/>
        <v>-2.3502361402285321</v>
      </c>
      <c r="P198" s="37">
        <v>69</v>
      </c>
      <c r="Q198">
        <v>1389.4351040000013</v>
      </c>
      <c r="R198">
        <v>354.77820305644514</v>
      </c>
      <c r="S198">
        <v>2.7572887885042752</v>
      </c>
      <c r="T198">
        <v>2137.5924676923241</v>
      </c>
      <c r="U198">
        <v>545.81262008683859</v>
      </c>
      <c r="X198">
        <v>2.3729081810304917</v>
      </c>
      <c r="Y198">
        <v>27.43782928377129</v>
      </c>
    </row>
    <row r="199" spans="1:25" x14ac:dyDescent="0.25">
      <c r="A199" s="36">
        <v>-1.9198621771937625</v>
      </c>
      <c r="B199" s="48">
        <v>-159.7495311232355</v>
      </c>
      <c r="C199" s="48">
        <v>-169.68832859489763</v>
      </c>
      <c r="D199" s="47">
        <f t="shared" si="41"/>
        <v>-2.3260346785457973</v>
      </c>
      <c r="P199" s="37">
        <v>70</v>
      </c>
      <c r="Q199">
        <v>1416.1400320000014</v>
      </c>
      <c r="R199">
        <v>345.84109021390276</v>
      </c>
      <c r="S199">
        <v>2.7572888060197092</v>
      </c>
      <c r="T199">
        <v>2178.6771688852564</v>
      </c>
      <c r="U199">
        <v>532.06321571369654</v>
      </c>
      <c r="X199">
        <v>2.3823284854685585</v>
      </c>
      <c r="Y199">
        <v>27.911017113152148</v>
      </c>
    </row>
    <row r="200" spans="1:25" x14ac:dyDescent="0.25">
      <c r="A200" s="36">
        <v>-1.9024088846738192</v>
      </c>
      <c r="B200" s="48">
        <v>-153.73514733249397</v>
      </c>
      <c r="C200" s="48">
        <v>-172.06469630256782</v>
      </c>
      <c r="D200" s="47">
        <f t="shared" si="41"/>
        <v>-2.2999935832656924</v>
      </c>
      <c r="P200" s="37">
        <v>71</v>
      </c>
      <c r="Q200">
        <v>1442.8449600000015</v>
      </c>
      <c r="R200">
        <v>336.24235750469762</v>
      </c>
      <c r="S200">
        <v>2.757288797338199</v>
      </c>
      <c r="T200">
        <v>2219.7616255766584</v>
      </c>
      <c r="U200">
        <v>517.29593462261175</v>
      </c>
      <c r="X200">
        <v>2.3922218735706045</v>
      </c>
      <c r="Y200">
        <v>28.398516978912824</v>
      </c>
    </row>
    <row r="201" spans="1:25" x14ac:dyDescent="0.25">
      <c r="A201" s="36">
        <v>-1.8849555921538759</v>
      </c>
      <c r="B201" s="48">
        <v>-147.30264339372485</v>
      </c>
      <c r="C201" s="48">
        <v>-174.40051199695782</v>
      </c>
      <c r="D201" s="47">
        <f t="shared" si="41"/>
        <v>-2.2721603361126483</v>
      </c>
      <c r="P201" s="37">
        <v>72</v>
      </c>
      <c r="Q201">
        <v>1469.5498880000016</v>
      </c>
      <c r="R201">
        <v>325.98645549646096</v>
      </c>
      <c r="S201">
        <v>2.7572885715764817</v>
      </c>
      <c r="T201">
        <v>2260.8460293895869</v>
      </c>
      <c r="U201">
        <v>501.51762384070918</v>
      </c>
      <c r="X201">
        <v>2.4026353435901675</v>
      </c>
      <c r="Y201">
        <v>28.900723208731705</v>
      </c>
    </row>
    <row r="202" spans="1:25" x14ac:dyDescent="0.25">
      <c r="A202" s="36">
        <v>-1.8675022996339325</v>
      </c>
      <c r="B202" s="48">
        <v>-140.39861150881893</v>
      </c>
      <c r="C202" s="48">
        <v>-176.68425033856593</v>
      </c>
      <c r="D202" s="47">
        <f t="shared" si="41"/>
        <v>-2.2422543103803561</v>
      </c>
      <c r="P202" s="37">
        <v>73</v>
      </c>
      <c r="Q202">
        <v>1496.2548160000017</v>
      </c>
      <c r="R202">
        <v>315.12380074809266</v>
      </c>
      <c r="S202">
        <v>2.757288457183801</v>
      </c>
      <c r="T202">
        <v>2301.9305431241364</v>
      </c>
      <c r="U202">
        <v>484.80584730475795</v>
      </c>
      <c r="X202">
        <v>2.4136615847463481</v>
      </c>
      <c r="Y202">
        <v>29.417542121564971</v>
      </c>
    </row>
    <row r="203" spans="1:25" x14ac:dyDescent="0.25">
      <c r="A203" s="36">
        <v>-1.8500490071139892</v>
      </c>
      <c r="B203" s="48">
        <v>-132.92930350647063</v>
      </c>
      <c r="C203" s="48">
        <v>-179.03297210200674</v>
      </c>
      <c r="D203" s="47">
        <f t="shared" si="41"/>
        <v>-2.209470487059344</v>
      </c>
      <c r="P203" s="37">
        <v>74</v>
      </c>
      <c r="Q203">
        <v>1522.9597440000018</v>
      </c>
      <c r="R203">
        <v>303.63940175207023</v>
      </c>
      <c r="S203">
        <v>2.7572884321304532</v>
      </c>
      <c r="T203">
        <v>2343.0149746902021</v>
      </c>
      <c r="U203">
        <v>467.13754115703114</v>
      </c>
      <c r="X203">
        <v>2.4253451549506608</v>
      </c>
      <c r="Y203">
        <v>29.949633052969045</v>
      </c>
    </row>
    <row r="204" spans="1:25" x14ac:dyDescent="0.25">
      <c r="A204" s="36">
        <v>-1.8325957145940459</v>
      </c>
      <c r="B204" s="48">
        <v>-124.79731761801025</v>
      </c>
      <c r="C204" s="48">
        <v>-181.45566904033907</v>
      </c>
      <c r="D204" s="47">
        <f t="shared" si="41"/>
        <v>-2.1732578337761028</v>
      </c>
      <c r="P204" s="37">
        <v>75</v>
      </c>
      <c r="Q204">
        <v>1549.6646720000019</v>
      </c>
      <c r="R204">
        <v>291.59334087006613</v>
      </c>
      <c r="S204">
        <v>2.7572890236346512</v>
      </c>
      <c r="T204">
        <v>2384.0994239070797</v>
      </c>
      <c r="U204">
        <v>448.60513980010177</v>
      </c>
      <c r="X204">
        <v>2.4445037750591734</v>
      </c>
      <c r="Y204">
        <v>30.606102256338133</v>
      </c>
    </row>
    <row r="205" spans="1:25" x14ac:dyDescent="0.25">
      <c r="A205" s="36">
        <v>-1.8151424220741026</v>
      </c>
      <c r="B205" s="48">
        <v>-115.95357507602914</v>
      </c>
      <c r="C205" s="48">
        <v>-183.94351661511089</v>
      </c>
      <c r="D205" s="47">
        <f t="shared" si="41"/>
        <v>-2.133252180224614</v>
      </c>
      <c r="P205" s="37">
        <v>76</v>
      </c>
      <c r="Q205">
        <v>1576.369600000002</v>
      </c>
      <c r="R205">
        <v>70.328665909695403</v>
      </c>
      <c r="S205">
        <v>2.7572895465565432</v>
      </c>
      <c r="T205">
        <v>2896.3704153580024</v>
      </c>
      <c r="U205">
        <v>108.19794755337753</v>
      </c>
      <c r="X205">
        <v>2.6438090854182992</v>
      </c>
      <c r="Y205">
        <v>39.822794449250296</v>
      </c>
    </row>
    <row r="206" spans="1:25" x14ac:dyDescent="0.25">
      <c r="A206" s="36">
        <v>-1.7976891295541593</v>
      </c>
      <c r="B206" s="48">
        <v>-106.99246321347619</v>
      </c>
      <c r="C206" s="48">
        <v>-186.32291305685808</v>
      </c>
      <c r="D206" s="47">
        <f t="shared" si="41"/>
        <v>-2.0920527753069091</v>
      </c>
      <c r="P206" s="37">
        <v>77</v>
      </c>
      <c r="Q206">
        <v>1576.369600000002</v>
      </c>
      <c r="R206">
        <v>0</v>
      </c>
      <c r="X206">
        <v>-2.9492485121780718</v>
      </c>
      <c r="Y206">
        <v>19.530938339233369</v>
      </c>
    </row>
    <row r="207" spans="1:25" x14ac:dyDescent="0.25">
      <c r="A207" s="36">
        <v>-1.7802358370342162</v>
      </c>
      <c r="B207" s="48">
        <v>-98.07063744943359</v>
      </c>
      <c r="C207" s="48">
        <v>-188.55419778535898</v>
      </c>
      <c r="D207" s="47">
        <f t="shared" si="41"/>
        <v>-2.0504093550174067</v>
      </c>
      <c r="P207">
        <v>78</v>
      </c>
      <c r="X207">
        <v>-2.9473334138485208</v>
      </c>
      <c r="Y207">
        <v>19.758815908431977</v>
      </c>
    </row>
    <row r="208" spans="1:25" x14ac:dyDescent="0.25">
      <c r="A208" s="36">
        <v>-1.7627825445142729</v>
      </c>
      <c r="B208" s="48">
        <v>-89.30597191637699</v>
      </c>
      <c r="C208" s="48">
        <v>-190.50553421385104</v>
      </c>
      <c r="D208" s="47">
        <f t="shared" si="41"/>
        <v>-2.0091608714088824</v>
      </c>
      <c r="P208">
        <v>79</v>
      </c>
      <c r="X208">
        <v>-2.9453484653781907</v>
      </c>
      <c r="Y208">
        <v>19.986693477630585</v>
      </c>
    </row>
    <row r="209" spans="1:25" x14ac:dyDescent="0.25">
      <c r="A209" s="36">
        <v>-1.7453292519943295</v>
      </c>
      <c r="B209" s="48">
        <v>-80.827641848647986</v>
      </c>
      <c r="C209" s="48">
        <v>-192.03291580506769</v>
      </c>
      <c r="D209" s="47">
        <f t="shared" si="41"/>
        <v>-1.9691934871467209</v>
      </c>
      <c r="P209">
        <v>80</v>
      </c>
      <c r="X209">
        <v>-2.9432893207131947</v>
      </c>
      <c r="Y209">
        <v>20.214571046829192</v>
      </c>
    </row>
    <row r="210" spans="1:25" x14ac:dyDescent="0.25">
      <c r="A210" s="36">
        <v>-1.7278759594743862</v>
      </c>
      <c r="B210" s="48">
        <v>-72.37738790304239</v>
      </c>
      <c r="C210" s="48">
        <v>-193.41693436232595</v>
      </c>
      <c r="D210" s="47">
        <f t="shared" si="41"/>
        <v>-1.9288689396822525</v>
      </c>
      <c r="P210">
        <v>81</v>
      </c>
      <c r="X210">
        <v>-2.9411502807042438</v>
      </c>
      <c r="Y210">
        <v>20.4424486160278</v>
      </c>
    </row>
    <row r="211" spans="1:25" x14ac:dyDescent="0.25">
      <c r="A211" s="36">
        <v>-1.7104226669544429</v>
      </c>
      <c r="B211" s="48">
        <v>-63.948975996415733</v>
      </c>
      <c r="C211" s="48">
        <v>-194.66097793276577</v>
      </c>
      <c r="D211" s="47">
        <f t="shared" si="41"/>
        <v>-1.8882037824683369</v>
      </c>
      <c r="P211">
        <v>82</v>
      </c>
      <c r="X211">
        <v>-2.9389252685008516</v>
      </c>
      <c r="Y211">
        <v>20.670326185226408</v>
      </c>
    </row>
    <row r="212" spans="1:25" x14ac:dyDescent="0.25">
      <c r="A212" s="36">
        <v>-1.6929693744344996</v>
      </c>
      <c r="B212" s="48">
        <v>-55.536193390849832</v>
      </c>
      <c r="C212" s="48">
        <v>-195.76805938930124</v>
      </c>
      <c r="D212" s="47">
        <f t="shared" si="41"/>
        <v>-1.8472175801709816</v>
      </c>
      <c r="P212">
        <v>83</v>
      </c>
      <c r="X212">
        <v>-2.9366081773448656</v>
      </c>
      <c r="Y212">
        <v>20.898203754425015</v>
      </c>
    </row>
    <row r="213" spans="1:25" x14ac:dyDescent="0.25">
      <c r="A213" s="36">
        <v>-1.6755160819145563</v>
      </c>
      <c r="B213" s="48">
        <v>-47.132827139830347</v>
      </c>
      <c r="C213" s="48">
        <v>-196.74083297985553</v>
      </c>
      <c r="D213" s="47">
        <f t="shared" si="41"/>
        <v>-1.8059328880820482</v>
      </c>
      <c r="P213">
        <v>84</v>
      </c>
      <c r="X213">
        <v>-2.934192187430495</v>
      </c>
      <c r="Y213">
        <v>21.126081323623623</v>
      </c>
    </row>
    <row r="214" spans="1:25" x14ac:dyDescent="0.25">
      <c r="A214" s="36">
        <v>-1.6580627893946129</v>
      </c>
      <c r="B214" s="48">
        <v>-38.732642052473651</v>
      </c>
      <c r="C214" s="48">
        <v>-197.58160813810264</v>
      </c>
      <c r="D214" s="47">
        <f t="shared" si="41"/>
        <v>-1.7643751872728419</v>
      </c>
      <c r="P214">
        <v>85</v>
      </c>
      <c r="X214">
        <v>-2.9316698817150879</v>
      </c>
      <c r="Y214">
        <v>21.353958892822231</v>
      </c>
    </row>
    <row r="215" spans="1:25" x14ac:dyDescent="0.25">
      <c r="A215" s="36">
        <v>-1.6406094968746696</v>
      </c>
      <c r="B215" s="48">
        <v>-30.329357989068079</v>
      </c>
      <c r="C215" s="48">
        <v>-198.29236336033247</v>
      </c>
      <c r="D215" s="47">
        <f t="shared" si="41"/>
        <v>-1.7225727699590174</v>
      </c>
      <c r="P215">
        <v>86</v>
      </c>
      <c r="X215">
        <v>-2.9290331703690438</v>
      </c>
      <c r="Y215">
        <v>21.581836462020838</v>
      </c>
    </row>
    <row r="216" spans="1:25" x14ac:dyDescent="0.25">
      <c r="A216" s="36">
        <v>-1.6231562043547265</v>
      </c>
      <c r="B216" s="48">
        <v>-21.916626216964104</v>
      </c>
      <c r="C216" s="48">
        <v>-198.87475566110851</v>
      </c>
      <c r="D216" s="47">
        <f t="shared" si="41"/>
        <v>-1.6805565787911207</v>
      </c>
      <c r="P216">
        <v>87</v>
      </c>
      <c r="X216">
        <v>-2.9262732039442843</v>
      </c>
      <c r="Y216">
        <v>21.809714031219446</v>
      </c>
    </row>
    <row r="217" spans="1:25" x14ac:dyDescent="0.25">
      <c r="A217" s="36">
        <v>-1.6057029118347832</v>
      </c>
      <c r="B217" s="48">
        <v>-13.488004616277975</v>
      </c>
      <c r="C217" s="48">
        <v>-199.33013044516562</v>
      </c>
      <c r="D217" s="47">
        <f t="shared" si="41"/>
        <v>-1.6383599950089081</v>
      </c>
      <c r="P217">
        <v>88</v>
      </c>
      <c r="X217">
        <v>-2.9233794953236889</v>
      </c>
      <c r="Y217">
        <v>22.037591600418054</v>
      </c>
    </row>
    <row r="218" spans="1:25" x14ac:dyDescent="0.25">
      <c r="A218" s="36">
        <v>-1.5882496193148399</v>
      </c>
      <c r="B218" s="48">
        <v>-5.0369314260372526</v>
      </c>
      <c r="C218" s="48">
        <v>-199.65952882174093</v>
      </c>
      <c r="D218" s="47">
        <f t="shared" si="41"/>
        <v>-1.5960185804427161</v>
      </c>
      <c r="P218">
        <v>89</v>
      </c>
      <c r="X218">
        <v>-2.92034241683008</v>
      </c>
      <c r="Y218">
        <v>22.265469169616662</v>
      </c>
    </row>
    <row r="219" spans="1:25" x14ac:dyDescent="0.25">
      <c r="A219" s="36">
        <v>-1.5707963267948966</v>
      </c>
      <c r="B219" s="48">
        <v>1.0834329777212272E-13</v>
      </c>
      <c r="C219" s="48">
        <v>-199.77811800993842</v>
      </c>
      <c r="D219" s="47">
        <f t="shared" si="41"/>
        <v>-1.5707963267948961</v>
      </c>
      <c r="P219">
        <v>90</v>
      </c>
      <c r="X219">
        <v>-2.9171496309524567</v>
      </c>
      <c r="Y219">
        <v>22.493346738815269</v>
      </c>
    </row>
    <row r="220" spans="1:25" x14ac:dyDescent="0.25">
      <c r="A220" s="36">
        <v>-1.5533430342749532</v>
      </c>
      <c r="B220" s="48">
        <v>5.0369314260371834</v>
      </c>
      <c r="C220" s="48">
        <v>-199.65952882174099</v>
      </c>
      <c r="D220" s="47">
        <f t="shared" si="41"/>
        <v>-1.5455740731470775</v>
      </c>
      <c r="P220">
        <v>91</v>
      </c>
      <c r="X220">
        <v>-2.9137879503912347</v>
      </c>
      <c r="Y220">
        <v>22.721224308013877</v>
      </c>
    </row>
    <row r="221" spans="1:25" x14ac:dyDescent="0.25">
      <c r="A221" s="36">
        <v>-1.5358897417550099</v>
      </c>
      <c r="B221" s="48">
        <v>13.488004616277999</v>
      </c>
      <c r="C221" s="48">
        <v>-199.33013044516562</v>
      </c>
      <c r="D221" s="47">
        <f t="shared" si="41"/>
        <v>-1.5032326585808848</v>
      </c>
      <c r="P221">
        <v>92</v>
      </c>
      <c r="X221">
        <v>-2.9102426783422173</v>
      </c>
      <c r="Y221">
        <v>22.949101877212485</v>
      </c>
    </row>
    <row r="222" spans="1:25" x14ac:dyDescent="0.25">
      <c r="A222" s="36">
        <v>-1.5184364492350666</v>
      </c>
      <c r="B222" s="48">
        <v>21.916626216964048</v>
      </c>
      <c r="C222" s="48">
        <v>-198.87475566110851</v>
      </c>
      <c r="D222" s="47">
        <f t="shared" si="41"/>
        <v>-1.4610360747986726</v>
      </c>
      <c r="P222">
        <v>93</v>
      </c>
      <c r="X222">
        <v>-2.9064973646494248</v>
      </c>
      <c r="Y222">
        <v>23.176979446411092</v>
      </c>
    </row>
    <row r="223" spans="1:25" x14ac:dyDescent="0.25">
      <c r="A223" s="36">
        <v>-1.5009831567151233</v>
      </c>
      <c r="B223" s="48">
        <v>30.329357989068249</v>
      </c>
      <c r="C223" s="48">
        <v>-198.29236336033239</v>
      </c>
      <c r="D223" s="47">
        <f t="shared" si="41"/>
        <v>-1.4190198836307746</v>
      </c>
      <c r="P223">
        <v>94</v>
      </c>
      <c r="X223">
        <v>-2.902533509762693</v>
      </c>
      <c r="Y223">
        <v>23.4048570156097</v>
      </c>
    </row>
    <row r="224" spans="1:25" x14ac:dyDescent="0.25">
      <c r="A224" s="36">
        <v>-1.48352986419518</v>
      </c>
      <c r="B224" s="48">
        <v>38.732642052473686</v>
      </c>
      <c r="C224" s="48">
        <v>-197.58160813810261</v>
      </c>
      <c r="D224" s="47">
        <f t="shared" si="41"/>
        <v>-1.377217466316951</v>
      </c>
      <c r="P224">
        <v>95</v>
      </c>
      <c r="X224">
        <v>-2.8983302018452863</v>
      </c>
      <c r="Y224">
        <v>23.632734584808308</v>
      </c>
    </row>
    <row r="225" spans="1:25" x14ac:dyDescent="0.25">
      <c r="A225" s="36">
        <v>-1.4660765716752366</v>
      </c>
      <c r="B225" s="48">
        <v>47.132827139830397</v>
      </c>
      <c r="C225" s="48">
        <v>-196.74083297985547</v>
      </c>
      <c r="D225" s="47">
        <f t="shared" si="41"/>
        <v>-1.3356597655077447</v>
      </c>
      <c r="P225">
        <v>96</v>
      </c>
      <c r="X225">
        <v>-2.8938636671632065</v>
      </c>
      <c r="Y225">
        <v>23.860612154006915</v>
      </c>
    </row>
    <row r="226" spans="1:25" x14ac:dyDescent="0.25">
      <c r="A226" s="36">
        <v>-1.4486232791552935</v>
      </c>
      <c r="B226" s="48">
        <v>55.536193390849924</v>
      </c>
      <c r="C226" s="48">
        <v>-195.76805938930116</v>
      </c>
      <c r="D226" s="47">
        <f t="shared" si="41"/>
        <v>-1.2943750734188111</v>
      </c>
      <c r="P226">
        <v>97</v>
      </c>
      <c r="X226">
        <v>-2.8891067063713587</v>
      </c>
      <c r="Y226">
        <v>24.088489723205523</v>
      </c>
    </row>
    <row r="227" spans="1:25" x14ac:dyDescent="0.25">
      <c r="A227" s="36">
        <v>-1.4311699866353502</v>
      </c>
      <c r="B227" s="48">
        <v>63.948975996415548</v>
      </c>
      <c r="C227" s="48">
        <v>-194.66097793276606</v>
      </c>
      <c r="D227" s="47">
        <f t="shared" si="41"/>
        <v>-1.2533888711214576</v>
      </c>
      <c r="P227">
        <v>98</v>
      </c>
      <c r="X227">
        <v>-2.8840279782423592</v>
      </c>
      <c r="Y227">
        <v>24.316367292404131</v>
      </c>
    </row>
    <row r="228" spans="1:25" x14ac:dyDescent="0.25">
      <c r="A228" s="36">
        <v>-1.4137166941154069</v>
      </c>
      <c r="B228" s="48">
        <v>72.377387903042546</v>
      </c>
      <c r="C228" s="48">
        <v>-193.41693436232586</v>
      </c>
      <c r="D228" s="47">
        <f t="shared" si="41"/>
        <v>-1.2127237139075397</v>
      </c>
      <c r="P228">
        <v>99</v>
      </c>
      <c r="X228">
        <v>-2.8785911747981037</v>
      </c>
      <c r="Y228">
        <v>24.544244861602738</v>
      </c>
    </row>
    <row r="229" spans="1:25" x14ac:dyDescent="0.25">
      <c r="A229" s="36">
        <v>-1.3962634015954636</v>
      </c>
      <c r="B229" s="48">
        <v>80.827641848648085</v>
      </c>
      <c r="C229" s="48">
        <v>-192.03291580506774</v>
      </c>
      <c r="D229" s="47">
        <f t="shared" si="41"/>
        <v>-1.1723991664430717</v>
      </c>
      <c r="P229">
        <v>100</v>
      </c>
      <c r="X229">
        <v>-2.8695768676473921</v>
      </c>
      <c r="Y229">
        <v>24.772122430801346</v>
      </c>
    </row>
    <row r="230" spans="1:25" x14ac:dyDescent="0.25">
      <c r="A230" s="36">
        <v>-1.3788101090755203</v>
      </c>
      <c r="B230" s="48">
        <v>89.305971916376762</v>
      </c>
      <c r="C230" s="48">
        <v>-190.50553421385121</v>
      </c>
      <c r="D230" s="47">
        <f t="shared" si="41"/>
        <v>-1.1324317821809118</v>
      </c>
      <c r="P230">
        <v>101</v>
      </c>
      <c r="X230">
        <v>-2.8631930914448191</v>
      </c>
      <c r="Y230">
        <v>24.999999999999954</v>
      </c>
    </row>
    <row r="231" spans="1:25" x14ac:dyDescent="0.25">
      <c r="A231" s="36">
        <v>-1.3613568165555769</v>
      </c>
      <c r="B231" s="48">
        <v>98.070637449433761</v>
      </c>
      <c r="C231" s="48">
        <v>-188.5541977853587</v>
      </c>
      <c r="D231" s="47">
        <f t="shared" si="41"/>
        <v>-1.0911832985723851</v>
      </c>
      <c r="P231">
        <v>102</v>
      </c>
    </row>
    <row r="232" spans="1:25" x14ac:dyDescent="0.25">
      <c r="A232" s="36">
        <v>-1.3439035240356336</v>
      </c>
      <c r="B232" s="48">
        <v>106.99246321347626</v>
      </c>
      <c r="C232" s="48">
        <v>-186.32291305685783</v>
      </c>
      <c r="D232" s="47">
        <f t="shared" si="41"/>
        <v>-1.0495398782828831</v>
      </c>
    </row>
    <row r="233" spans="1:25" x14ac:dyDescent="0.25">
      <c r="A233" s="36">
        <v>-1.3264502315156903</v>
      </c>
      <c r="B233" s="48">
        <v>115.95357507602954</v>
      </c>
      <c r="C233" s="48">
        <v>-183.94351661511104</v>
      </c>
      <c r="D233" s="47">
        <f t="shared" si="41"/>
        <v>-1.008340473365178</v>
      </c>
    </row>
    <row r="234" spans="1:25" x14ac:dyDescent="0.25">
      <c r="A234" s="36">
        <v>-1.308996938995747</v>
      </c>
      <c r="B234" s="48">
        <v>124.79731761801044</v>
      </c>
      <c r="C234" s="48">
        <v>-181.45566904033893</v>
      </c>
      <c r="D234" s="47">
        <f t="shared" si="41"/>
        <v>-0.96833481981368907</v>
      </c>
    </row>
    <row r="235" spans="1:25" x14ac:dyDescent="0.25">
      <c r="A235" s="36">
        <v>-1.2915436464758039</v>
      </c>
      <c r="B235" s="48">
        <v>132.92930350647086</v>
      </c>
      <c r="C235" s="48">
        <v>-179.0329721020068</v>
      </c>
      <c r="D235" s="47">
        <f t="shared" si="41"/>
        <v>-0.93212216653044833</v>
      </c>
    </row>
    <row r="236" spans="1:25" x14ac:dyDescent="0.25">
      <c r="A236" s="36">
        <v>-1.2740903539558606</v>
      </c>
      <c r="B236" s="48">
        <v>140.39861150881902</v>
      </c>
      <c r="C236" s="48">
        <v>-176.68425033856582</v>
      </c>
      <c r="D236" s="47">
        <f t="shared" si="41"/>
        <v>-0.89933834320943651</v>
      </c>
    </row>
    <row r="237" spans="1:25" x14ac:dyDescent="0.25">
      <c r="A237" s="36">
        <v>-1.2566370614359172</v>
      </c>
      <c r="B237" s="48">
        <v>147.30264339372482</v>
      </c>
      <c r="C237" s="48">
        <v>-174.40051199695745</v>
      </c>
      <c r="D237" s="47">
        <f t="shared" si="41"/>
        <v>-0.869432317477144</v>
      </c>
    </row>
    <row r="238" spans="1:25" x14ac:dyDescent="0.25">
      <c r="A238" s="36">
        <v>-1.2391837689159739</v>
      </c>
      <c r="B238" s="48">
        <v>153.73514733249382</v>
      </c>
      <c r="C238" s="48">
        <v>-172.06469630256754</v>
      </c>
      <c r="D238" s="47">
        <f t="shared" si="41"/>
        <v>-0.84159907032410053</v>
      </c>
    </row>
    <row r="239" spans="1:25" x14ac:dyDescent="0.25">
      <c r="A239" s="36">
        <v>-1.2217304763960306</v>
      </c>
      <c r="B239" s="48">
        <v>159.74953112323556</v>
      </c>
      <c r="C239" s="48">
        <v>-169.68832859489757</v>
      </c>
      <c r="D239" s="47">
        <f t="shared" si="41"/>
        <v>-0.8155579750439953</v>
      </c>
    </row>
    <row r="240" spans="1:25" x14ac:dyDescent="0.25">
      <c r="A240" s="36">
        <v>-1.2042771838760873</v>
      </c>
      <c r="B240" s="48">
        <v>165.38421099359002</v>
      </c>
      <c r="C240" s="48">
        <v>-167.36688191894393</v>
      </c>
      <c r="D240" s="47">
        <f t="shared" si="41"/>
        <v>-0.79135651336126112</v>
      </c>
    </row>
    <row r="241" spans="1:4" x14ac:dyDescent="0.25">
      <c r="A241" s="36">
        <v>-1.186823891356144</v>
      </c>
      <c r="B241" s="48">
        <v>170.68550053360272</v>
      </c>
      <c r="C241" s="48">
        <v>-165.09420197518875</v>
      </c>
      <c r="D241" s="47">
        <f t="shared" si="41"/>
        <v>-0.7687480150413577</v>
      </c>
    </row>
    <row r="242" spans="1:4" x14ac:dyDescent="0.25">
      <c r="A242" s="36">
        <v>-1.1693705988362006</v>
      </c>
      <c r="B242" s="48">
        <v>175.69244111666254</v>
      </c>
      <c r="C242" s="48">
        <v>-162.86472109032579</v>
      </c>
      <c r="D242" s="47">
        <f t="shared" si="41"/>
        <v>-0.7475269019766938</v>
      </c>
    </row>
    <row r="243" spans="1:4" x14ac:dyDescent="0.25">
      <c r="A243" s="36">
        <v>-1.1519173063162573</v>
      </c>
      <c r="B243" s="48">
        <v>180.43820905875666</v>
      </c>
      <c r="C243" s="48">
        <v>-160.67336616272129</v>
      </c>
      <c r="D243" s="47">
        <f t="shared" si="41"/>
        <v>-0.72752041969851211</v>
      </c>
    </row>
    <row r="244" spans="1:4" x14ac:dyDescent="0.25">
      <c r="A244" s="36">
        <v>-1.1344640137963142</v>
      </c>
      <c r="B244" s="48">
        <v>184.95120573287608</v>
      </c>
      <c r="C244" s="48">
        <v>-158.51548131024899</v>
      </c>
      <c r="D244" s="47">
        <f t="shared" si="41"/>
        <v>-0.70858224889846522</v>
      </c>
    </row>
    <row r="245" spans="1:4" x14ac:dyDescent="0.25">
      <c r="A245" s="36">
        <v>-1.1170107212763707</v>
      </c>
      <c r="B245" s="48">
        <v>189.25591199914433</v>
      </c>
      <c r="C245" s="48">
        <v>-156.38676348956977</v>
      </c>
      <c r="D245" s="47">
        <f t="shared" si="41"/>
        <v>-0.69058752739753915</v>
      </c>
    </row>
    <row r="246" spans="1:4" x14ac:dyDescent="0.25">
      <c r="A246" s="36">
        <v>-1.0995574287564276</v>
      </c>
      <c r="B246" s="48">
        <v>193.37356461643228</v>
      </c>
      <c r="C246" s="48">
        <v>-154.28320813638612</v>
      </c>
      <c r="D246" s="47">
        <f t="shared" si="41"/>
        <v>-0.67342893734276976</v>
      </c>
    </row>
    <row r="247" spans="1:4" x14ac:dyDescent="0.25">
      <c r="A247" s="36">
        <v>-1.082104136236484</v>
      </c>
      <c r="B247" s="48">
        <v>197.32269677525628</v>
      </c>
      <c r="C247" s="48">
        <v>-152.20106282046206</v>
      </c>
      <c r="D247" s="47">
        <f t="shared" si="41"/>
        <v>-0.65701360390349239</v>
      </c>
    </row>
    <row r="248" spans="1:4" x14ac:dyDescent="0.25">
      <c r="A248" s="36">
        <v>-1.064650843716541</v>
      </c>
      <c r="B248" s="48">
        <v>201.11957363993838</v>
      </c>
      <c r="C248" s="48">
        <v>-150.13678715939105</v>
      </c>
      <c r="D248" s="47">
        <f t="shared" si="41"/>
        <v>-0.64126061712559057</v>
      </c>
    </row>
    <row r="249" spans="1:4" x14ac:dyDescent="0.25">
      <c r="A249" s="36">
        <v>-1.0471975511965979</v>
      </c>
      <c r="B249" s="48">
        <v>204.66188134394162</v>
      </c>
      <c r="C249" s="48">
        <v>-148.05743263476</v>
      </c>
      <c r="D249" s="47">
        <f t="shared" si="41"/>
        <v>-0.62627477052202063</v>
      </c>
    </row>
    <row r="250" spans="1:4" x14ac:dyDescent="0.25">
      <c r="A250" s="36">
        <v>-1.0297442586766543</v>
      </c>
      <c r="B250" s="48">
        <v>208.0347203146865</v>
      </c>
      <c r="C250" s="48">
        <v>-145.98072911235954</v>
      </c>
      <c r="D250" s="47">
        <f t="shared" si="41"/>
        <v>-0.61187490166358105</v>
      </c>
    </row>
    <row r="251" spans="1:4" x14ac:dyDescent="0.25">
      <c r="A251" s="36">
        <v>-1.0122909661567112</v>
      </c>
      <c r="B251" s="48">
        <v>211.29059495848566</v>
      </c>
      <c r="C251" s="48">
        <v>-143.91435671351869</v>
      </c>
      <c r="D251" s="47">
        <f t="shared" si="41"/>
        <v>-0.59794246850849486</v>
      </c>
    </row>
    <row r="252" spans="1:4" x14ac:dyDescent="0.25">
      <c r="A252" s="36">
        <v>-0.99483767363676767</v>
      </c>
      <c r="B252" s="48">
        <v>214.43988299918422</v>
      </c>
      <c r="C252" s="48">
        <v>-141.8553229147484</v>
      </c>
      <c r="D252" s="47">
        <f t="shared" si="41"/>
        <v>-0.58442798127457507</v>
      </c>
    </row>
    <row r="253" spans="1:4" x14ac:dyDescent="0.25">
      <c r="A253" s="36">
        <v>-0.97738438111682457</v>
      </c>
      <c r="B253" s="48">
        <v>217.49190794910442</v>
      </c>
      <c r="C253" s="48">
        <v>-139.80070931539132</v>
      </c>
      <c r="D253" s="47">
        <f t="shared" si="41"/>
        <v>-0.57128699495647584</v>
      </c>
    </row>
    <row r="254" spans="1:4" x14ac:dyDescent="0.25">
      <c r="A254" s="36">
        <v>-0.95993108859688103</v>
      </c>
      <c r="B254" s="48">
        <v>220.4550818114098</v>
      </c>
      <c r="C254" s="48">
        <v>-137.74765115919686</v>
      </c>
      <c r="D254" s="47">
        <f t="shared" si="41"/>
        <v>-0.55847935028399165</v>
      </c>
    </row>
    <row r="255" spans="1:4" x14ac:dyDescent="0.25">
      <c r="A255" s="36">
        <v>-0.94247779607693793</v>
      </c>
      <c r="B255" s="48">
        <v>222.14994147921664</v>
      </c>
      <c r="C255" s="48">
        <v>-136.49262453757652</v>
      </c>
      <c r="D255" s="47">
        <f t="shared" si="41"/>
        <v>-0.55095259823649212</v>
      </c>
    </row>
    <row r="256" spans="1:4" x14ac:dyDescent="0.25">
      <c r="A256" s="36">
        <v>-0.92502450355699439</v>
      </c>
      <c r="B256" s="48">
        <v>224.99202346835278</v>
      </c>
      <c r="C256" s="48">
        <v>-134.40891513365483</v>
      </c>
      <c r="D256" s="47">
        <f t="shared" si="41"/>
        <v>-0.53850121971701992</v>
      </c>
    </row>
    <row r="257" spans="1:7" x14ac:dyDescent="0.25">
      <c r="A257" s="36">
        <v>-0.9075712110370513</v>
      </c>
      <c r="B257" s="48">
        <v>227.76516595602888</v>
      </c>
      <c r="C257" s="48">
        <v>-132.31807058565636</v>
      </c>
      <c r="D257" s="47">
        <f t="shared" si="41"/>
        <v>-0.52628746352718547</v>
      </c>
    </row>
    <row r="258" spans="1:7" x14ac:dyDescent="0.25">
      <c r="A258" s="36">
        <v>-0.8901179185171082</v>
      </c>
      <c r="B258" s="48">
        <v>230.47525707769782</v>
      </c>
      <c r="C258" s="48">
        <v>-130.21721853940974</v>
      </c>
      <c r="D258" s="47">
        <f t="shared" ref="D258:D321" si="42">ATAN2(B258,C258)</f>
        <v>-0.51428226000612487</v>
      </c>
    </row>
    <row r="259" spans="1:7" x14ac:dyDescent="0.25">
      <c r="A259" s="36">
        <v>-0.87266462599716466</v>
      </c>
      <c r="B259" s="48">
        <v>233.12771750542746</v>
      </c>
      <c r="C259" s="48">
        <v>-128.10344829380574</v>
      </c>
      <c r="D259" s="47">
        <f t="shared" si="42"/>
        <v>-0.50245848679163985</v>
      </c>
    </row>
    <row r="260" spans="1:7" x14ac:dyDescent="0.25">
      <c r="A260" s="36">
        <v>-0.85521133347722156</v>
      </c>
      <c r="B260" s="48">
        <v>235.72755770708432</v>
      </c>
      <c r="C260" s="48">
        <v>-125.97379265899296</v>
      </c>
      <c r="D260" s="47">
        <f t="shared" si="42"/>
        <v>-0.49079066125882476</v>
      </c>
    </row>
    <row r="261" spans="1:7" x14ac:dyDescent="0.25">
      <c r="A261" s="36">
        <v>-0.83775804095727802</v>
      </c>
      <c r="B261" s="48">
        <v>238.2794274637931</v>
      </c>
      <c r="C261" s="48">
        <v>-123.82520907782666</v>
      </c>
      <c r="D261" s="47">
        <f t="shared" si="42"/>
        <v>-0.47925466851211823</v>
      </c>
      <c r="F261">
        <f>-1*PI()</f>
        <v>-3.1415926535897931</v>
      </c>
      <c r="G261">
        <f>-1*PI()</f>
        <v>-3.1415926535897931</v>
      </c>
    </row>
    <row r="262" spans="1:7" x14ac:dyDescent="0.25">
      <c r="A262" s="36">
        <v>-0.82030474843733492</v>
      </c>
      <c r="B262" s="48">
        <v>240.78766099846064</v>
      </c>
      <c r="C262" s="48">
        <v>-121.65456064344902</v>
      </c>
      <c r="D262" s="47">
        <f t="shared" si="42"/>
        <v>-0.46782751731819094</v>
      </c>
      <c r="F262">
        <f>PI()</f>
        <v>3.1415926535897931</v>
      </c>
      <c r="G262">
        <f>PI()</f>
        <v>3.1415926535897931</v>
      </c>
    </row>
    <row r="263" spans="1:7" x14ac:dyDescent="0.25">
      <c r="A263" s="36">
        <v>-0.80285145591739138</v>
      </c>
      <c r="B263" s="48">
        <v>242.46939401266667</v>
      </c>
      <c r="C263" s="48">
        <v>-120.28863791321743</v>
      </c>
      <c r="D263" s="47">
        <f t="shared" si="42"/>
        <v>-0.46052132631624759</v>
      </c>
    </row>
    <row r="264" spans="1:7" x14ac:dyDescent="0.25">
      <c r="A264" s="36">
        <v>-0.78539816339744828</v>
      </c>
      <c r="B264" s="48">
        <v>244.87367246139655</v>
      </c>
      <c r="C264" s="48">
        <v>-118.09216181177973</v>
      </c>
      <c r="D264" s="47">
        <f t="shared" si="42"/>
        <v>-0.44935311696021113</v>
      </c>
    </row>
    <row r="265" spans="1:7" x14ac:dyDescent="0.25">
      <c r="A265" s="36">
        <v>-0.76794487087750474</v>
      </c>
      <c r="B265" s="48">
        <v>247.24624918330534</v>
      </c>
      <c r="C265" s="48">
        <v>-115.86398369618806</v>
      </c>
      <c r="D265" s="47">
        <f t="shared" si="42"/>
        <v>-0.43822813738703481</v>
      </c>
    </row>
    <row r="266" spans="1:7" x14ac:dyDescent="0.25">
      <c r="A266" s="36">
        <v>-0.75049157835756164</v>
      </c>
      <c r="B266" s="48">
        <v>249.59049051750574</v>
      </c>
      <c r="C266" s="48">
        <v>-113.60041550117479</v>
      </c>
      <c r="D266" s="47">
        <f t="shared" si="42"/>
        <v>-0.4271260955256555</v>
      </c>
    </row>
    <row r="267" spans="1:7" x14ac:dyDescent="0.25">
      <c r="A267" s="36">
        <v>-0.73303828583761854</v>
      </c>
      <c r="B267" s="48">
        <v>251.90960377369697</v>
      </c>
      <c r="C267" s="48">
        <v>-111.297556480078</v>
      </c>
      <c r="D267" s="47">
        <f t="shared" si="42"/>
        <v>-0.41602684820869529</v>
      </c>
    </row>
    <row r="268" spans="1:7" x14ac:dyDescent="0.25">
      <c r="A268" s="36">
        <v>-0.715584993317675</v>
      </c>
      <c r="B268" s="48">
        <v>254.20666095757065</v>
      </c>
      <c r="C268" s="48">
        <v>-108.95126236350325</v>
      </c>
      <c r="D268" s="47">
        <f t="shared" si="42"/>
        <v>-0.40491023269071097</v>
      </c>
    </row>
    <row r="269" spans="1:7" x14ac:dyDescent="0.25">
      <c r="A269" s="36">
        <v>-0.6981317007977319</v>
      </c>
      <c r="B269" s="48">
        <v>256.48461676513006</v>
      </c>
      <c r="C269" s="48">
        <v>-106.55710981828339</v>
      </c>
      <c r="D269" s="47">
        <f t="shared" si="42"/>
        <v>-0.39375590015528711</v>
      </c>
    </row>
    <row r="270" spans="1:7" x14ac:dyDescent="0.25">
      <c r="A270" s="36">
        <v>-0.68067840827778836</v>
      </c>
      <c r="B270" s="48">
        <v>258.74633009155167</v>
      </c>
      <c r="C270" s="48">
        <v>-104.11035795825252</v>
      </c>
      <c r="D270" s="47">
        <f t="shared" si="42"/>
        <v>-0.38254314302216719</v>
      </c>
    </row>
    <row r="271" spans="1:7" x14ac:dyDescent="0.25">
      <c r="A271" s="36">
        <v>-0.66322511575784526</v>
      </c>
      <c r="B271" s="48">
        <v>260.9945810717964</v>
      </c>
      <c r="C271" s="48">
        <v>-101.6059038356657</v>
      </c>
      <c r="D271" s="47">
        <f t="shared" si="42"/>
        <v>-0.37125071750092642</v>
      </c>
    </row>
    <row r="272" spans="1:7" x14ac:dyDescent="0.25">
      <c r="A272" s="36">
        <v>-0.64577182323790172</v>
      </c>
      <c r="B272" s="48">
        <v>263.23208831620235</v>
      </c>
      <c r="C272" s="48">
        <v>-99.038232171078377</v>
      </c>
      <c r="D272" s="47">
        <f t="shared" si="42"/>
        <v>-0.3598566554765672</v>
      </c>
    </row>
    <row r="273" spans="1:4" x14ac:dyDescent="0.25">
      <c r="A273" s="36">
        <v>-0.62831853071795862</v>
      </c>
      <c r="B273" s="48">
        <v>265.46152537112442</v>
      </c>
      <c r="C273" s="48">
        <v>-96.40135784051661</v>
      </c>
      <c r="D273" s="47">
        <f t="shared" si="42"/>
        <v>-0.34833806264818273</v>
      </c>
    </row>
    <row r="274" spans="1:4" x14ac:dyDescent="0.25">
      <c r="A274" s="36">
        <v>-0.61086523819801508</v>
      </c>
      <c r="B274" s="48">
        <v>267.6855373467796</v>
      </c>
      <c r="C274" s="48">
        <v>-93.688759843467494</v>
      </c>
      <c r="D274" s="47">
        <f t="shared" si="42"/>
        <v>-0.33667089818989371</v>
      </c>
    </row>
    <row r="275" spans="1:4" x14ac:dyDescent="0.25">
      <c r="A275" s="36">
        <v>-0.59341194567807198</v>
      </c>
      <c r="B275" s="48">
        <v>269.82244665973855</v>
      </c>
      <c r="C275" s="48">
        <v>-90.915770445906034</v>
      </c>
      <c r="D275" s="47">
        <f t="shared" si="42"/>
        <v>-0.32499900981071178</v>
      </c>
    </row>
    <row r="276" spans="1:4" x14ac:dyDescent="0.25">
      <c r="A276" s="36">
        <v>-0.57595865315812889</v>
      </c>
      <c r="B276" s="48">
        <v>271.70284879347849</v>
      </c>
      <c r="C276" s="48">
        <v>-88.123361694556337</v>
      </c>
      <c r="D276" s="47">
        <f t="shared" si="42"/>
        <v>-0.31363237062215926</v>
      </c>
    </row>
    <row r="277" spans="1:4" x14ac:dyDescent="0.25">
      <c r="A277" s="36">
        <v>-0.55850536063818534</v>
      </c>
      <c r="B277" s="48">
        <v>273.58138183572277</v>
      </c>
      <c r="C277" s="48">
        <v>-85.237788940340394</v>
      </c>
      <c r="D277" s="47">
        <f t="shared" si="42"/>
        <v>-0.30203084677075698</v>
      </c>
    </row>
    <row r="278" spans="1:4" x14ac:dyDescent="0.25">
      <c r="A278" s="36">
        <v>-0.54105206811824225</v>
      </c>
      <c r="B278" s="48">
        <v>275.46059532995474</v>
      </c>
      <c r="C278" s="48">
        <v>-82.249907573849981</v>
      </c>
      <c r="D278" s="47">
        <f t="shared" si="42"/>
        <v>-0.29016314304014007</v>
      </c>
    </row>
    <row r="279" spans="1:4" x14ac:dyDescent="0.25">
      <c r="A279" s="36">
        <v>-0.5235987755982987</v>
      </c>
      <c r="B279" s="48">
        <v>277.34307899917587</v>
      </c>
      <c r="C279" s="48">
        <v>-79.149555612848133</v>
      </c>
      <c r="D279" s="47">
        <f t="shared" si="42"/>
        <v>-0.27799520194627614</v>
      </c>
    </row>
    <row r="280" spans="1:4" x14ac:dyDescent="0.25">
      <c r="A280" s="36">
        <v>-0.50614548307835561</v>
      </c>
      <c r="B280" s="48">
        <v>279.19280383077449</v>
      </c>
      <c r="C280" s="48">
        <v>-75.992847300628029</v>
      </c>
      <c r="D280" s="47">
        <f t="shared" si="42"/>
        <v>-0.2657497632682766</v>
      </c>
    </row>
    <row r="281" spans="1:4" x14ac:dyDescent="0.25">
      <c r="A281" s="36">
        <v>-0.48869219055841207</v>
      </c>
      <c r="B281" s="48">
        <v>280.94662678160353</v>
      </c>
      <c r="C281" s="48">
        <v>-72.890536229062732</v>
      </c>
      <c r="D281" s="47">
        <f t="shared" si="42"/>
        <v>-0.25384926004853947</v>
      </c>
    </row>
    <row r="282" spans="1:4" x14ac:dyDescent="0.25">
      <c r="A282" s="36">
        <v>-0.47123889803846897</v>
      </c>
      <c r="B282" s="48">
        <v>282.60885518153532</v>
      </c>
      <c r="C282" s="48">
        <v>-69.841326325630376</v>
      </c>
      <c r="D282" s="47">
        <f t="shared" si="42"/>
        <v>-0.24227633469173393</v>
      </c>
    </row>
    <row r="283" spans="1:4" x14ac:dyDescent="0.25">
      <c r="A283" s="36">
        <v>-0.45378560551852543</v>
      </c>
      <c r="B283" s="48">
        <v>284.18460306522383</v>
      </c>
      <c r="C283" s="48">
        <v>-66.841971869992321</v>
      </c>
      <c r="D283" s="47">
        <f t="shared" si="42"/>
        <v>-0.23100733092868284</v>
      </c>
    </row>
    <row r="284" spans="1:4" x14ac:dyDescent="0.25">
      <c r="A284" s="36">
        <v>-0.43633231299858233</v>
      </c>
      <c r="B284" s="48">
        <v>285.67857632623407</v>
      </c>
      <c r="C284" s="48">
        <v>-63.889395514687024</v>
      </c>
      <c r="D284" s="47">
        <f t="shared" si="42"/>
        <v>-0.22002039413405258</v>
      </c>
    </row>
    <row r="285" spans="1:4" x14ac:dyDescent="0.25">
      <c r="A285" s="36">
        <v>-0.41887902047863923</v>
      </c>
      <c r="B285" s="48">
        <v>287.09510832536859</v>
      </c>
      <c r="C285" s="48">
        <v>-60.980674311662838</v>
      </c>
      <c r="D285" s="47">
        <f t="shared" si="42"/>
        <v>-0.20929528833128927</v>
      </c>
    </row>
    <row r="286" spans="1:4" x14ac:dyDescent="0.25">
      <c r="A286" s="36">
        <v>-0.40142572795869569</v>
      </c>
      <c r="B286" s="48">
        <v>288.43819174634268</v>
      </c>
      <c r="C286" s="48">
        <v>-58.113026910731122</v>
      </c>
      <c r="D286" s="47">
        <f t="shared" si="42"/>
        <v>-0.19881323346986593</v>
      </c>
    </row>
    <row r="287" spans="1:4" x14ac:dyDescent="0.25">
      <c r="A287" s="36">
        <v>-0.38397243543875259</v>
      </c>
      <c r="B287" s="48">
        <v>289.71150713733169</v>
      </c>
      <c r="C287" s="48">
        <v>-55.283801804885691</v>
      </c>
      <c r="D287" s="47">
        <f t="shared" si="42"/>
        <v>-0.18855676042092318</v>
      </c>
    </row>
    <row r="288" spans="1:4" x14ac:dyDescent="0.25">
      <c r="A288" s="36">
        <v>-0.36651914291880905</v>
      </c>
      <c r="B288" s="48">
        <v>290.91844851879353</v>
      </c>
      <c r="C288" s="48">
        <v>-52.490466511499264</v>
      </c>
      <c r="D288" s="47">
        <f t="shared" si="42"/>
        <v>-0.1785095814787277</v>
      </c>
    </row>
    <row r="289" spans="1:4" x14ac:dyDescent="0.25">
      <c r="A289" s="36">
        <v>-0.34906585039886595</v>
      </c>
      <c r="B289" s="48">
        <v>292.06214638338309</v>
      </c>
      <c r="C289" s="48">
        <v>-49.730597590578391</v>
      </c>
      <c r="D289" s="47">
        <f t="shared" si="42"/>
        <v>-0.16865647445123327</v>
      </c>
    </row>
    <row r="290" spans="1:4" x14ac:dyDescent="0.25">
      <c r="A290" s="36">
        <v>-0.33161255787892241</v>
      </c>
      <c r="B290" s="48">
        <v>293.14548837008175</v>
      </c>
      <c r="C290" s="48">
        <v>-47.001871411889923</v>
      </c>
      <c r="D290" s="47">
        <f t="shared" si="42"/>
        <v>-0.15898317867422562</v>
      </c>
    </row>
    <row r="291" spans="1:4" x14ac:dyDescent="0.25">
      <c r="A291" s="36">
        <v>-0.31415926535897931</v>
      </c>
      <c r="B291" s="48">
        <v>294.17117008350664</v>
      </c>
      <c r="C291" s="48">
        <v>-44.302055920497821</v>
      </c>
      <c r="D291" s="47">
        <f t="shared" si="42"/>
        <v>-0.14947628645853636</v>
      </c>
    </row>
    <row r="292" spans="1:4" x14ac:dyDescent="0.25">
      <c r="A292" s="36">
        <v>-0.29670597283903577</v>
      </c>
      <c r="B292" s="48">
        <v>294.65574366264872</v>
      </c>
      <c r="C292" s="48">
        <v>-43.068628101862842</v>
      </c>
      <c r="D292" s="47">
        <f t="shared" si="42"/>
        <v>-0.14513814430213712</v>
      </c>
    </row>
    <row r="293" spans="1:4" x14ac:dyDescent="0.25">
      <c r="A293" s="36">
        <v>-0.27925268031909267</v>
      </c>
      <c r="B293" s="48">
        <v>295.57251384575466</v>
      </c>
      <c r="C293" s="48">
        <v>-40.419859757055384</v>
      </c>
      <c r="D293" s="47">
        <f t="shared" si="42"/>
        <v>-0.13590806244431106</v>
      </c>
    </row>
    <row r="294" spans="1:4" x14ac:dyDescent="0.25">
      <c r="A294" s="36">
        <v>-0.26179938779914957</v>
      </c>
      <c r="B294" s="48">
        <v>296.43840071446965</v>
      </c>
      <c r="C294" s="48">
        <v>-37.79376616411264</v>
      </c>
      <c r="D294" s="47">
        <f t="shared" si="42"/>
        <v>-0.12680870074753425</v>
      </c>
    </row>
    <row r="295" spans="1:4" x14ac:dyDescent="0.25">
      <c r="A295" s="36">
        <v>-0.24434609527920603</v>
      </c>
      <c r="B295" s="48">
        <v>297.25532119708271</v>
      </c>
      <c r="C295" s="48">
        <v>-35.188405001122625</v>
      </c>
      <c r="D295" s="47">
        <f t="shared" si="42"/>
        <v>-0.11782936239001558</v>
      </c>
    </row>
    <row r="296" spans="1:4" x14ac:dyDescent="0.25">
      <c r="A296" s="36">
        <v>-0.22689280275926293</v>
      </c>
      <c r="B296" s="48">
        <v>298.02503817251863</v>
      </c>
      <c r="C296" s="48">
        <v>-32.601890172535363</v>
      </c>
      <c r="D296" s="47">
        <f t="shared" si="42"/>
        <v>-0.10895986742069937</v>
      </c>
    </row>
    <row r="297" spans="1:4" x14ac:dyDescent="0.25">
      <c r="A297" s="36">
        <v>-0.20943951023931939</v>
      </c>
      <c r="B297" s="48">
        <v>298.74916758640722</v>
      </c>
      <c r="C297" s="48">
        <v>-30.032385970238</v>
      </c>
      <c r="D297" s="47">
        <f t="shared" si="42"/>
        <v>-0.10019050151067643</v>
      </c>
    </row>
    <row r="298" spans="1:4" x14ac:dyDescent="0.25">
      <c r="A298" s="36">
        <v>-0.1919862177193763</v>
      </c>
      <c r="B298" s="48">
        <v>299.42918918081165</v>
      </c>
      <c r="C298" s="48">
        <v>-27.478101574263572</v>
      </c>
      <c r="D298" s="47">
        <f t="shared" si="42"/>
        <v>-9.151196721632035E-2</v>
      </c>
    </row>
    <row r="299" spans="1:4" x14ac:dyDescent="0.25">
      <c r="A299" s="36">
        <v>-0.17453292519943275</v>
      </c>
      <c r="B299" s="48">
        <v>300.06645396661611</v>
      </c>
      <c r="C299" s="48">
        <v>-24.937285789162321</v>
      </c>
      <c r="D299" s="47">
        <f t="shared" si="42"/>
        <v>-8.2915339885036993E-2</v>
      </c>
    </row>
    <row r="300" spans="1:4" x14ac:dyDescent="0.25">
      <c r="A300" s="36">
        <v>-0.15707963267948966</v>
      </c>
      <c r="B300" s="48">
        <v>300.66219142140034</v>
      </c>
      <c r="C300" s="48">
        <v>-22.40822200988805</v>
      </c>
      <c r="D300" s="47">
        <f t="shared" si="42"/>
        <v>-7.4392026639379924E-2</v>
      </c>
    </row>
    <row r="301" spans="1:4" x14ac:dyDescent="0.25">
      <c r="A301" s="36">
        <v>-0.13962634015954611</v>
      </c>
      <c r="B301" s="48">
        <v>301.2175159192501</v>
      </c>
      <c r="C301" s="48">
        <v>-19.889223379767337</v>
      </c>
      <c r="D301" s="47">
        <f t="shared" si="42"/>
        <v>-6.5933728247783846E-2</v>
      </c>
    </row>
    <row r="302" spans="1:4" x14ac:dyDescent="0.25">
      <c r="A302" s="36">
        <v>-0.12217304763960302</v>
      </c>
      <c r="B302" s="48">
        <v>301.7334324607894</v>
      </c>
      <c r="C302" s="48">
        <v>-17.378628110519244</v>
      </c>
      <c r="D302" s="47">
        <f t="shared" si="42"/>
        <v>-5.753240351073495E-2</v>
      </c>
    </row>
    <row r="303" spans="1:4" x14ac:dyDescent="0.25">
      <c r="A303" s="36">
        <v>-0.10471975511965992</v>
      </c>
      <c r="B303" s="48">
        <v>302.21084176424876</v>
      </c>
      <c r="C303" s="48">
        <v>-14.87479493580876</v>
      </c>
      <c r="D303" s="47">
        <f t="shared" si="42"/>
        <v>-4.9180235828655681E-2</v>
      </c>
    </row>
    <row r="304" spans="1:4" x14ac:dyDescent="0.25">
      <c r="A304" s="36">
        <v>-8.7266462599716377E-2</v>
      </c>
      <c r="B304" s="48">
        <v>302.65054467975006</v>
      </c>
      <c r="C304" s="48">
        <v>-12.37609867034215</v>
      </c>
      <c r="D304" s="47">
        <f t="shared" si="42"/>
        <v>-4.086960166016268E-2</v>
      </c>
    </row>
    <row r="305" spans="1:4" x14ac:dyDescent="0.25">
      <c r="A305" s="36">
        <v>-6.9813170079773279E-2</v>
      </c>
      <c r="B305" s="48">
        <v>303.05324619571468</v>
      </c>
      <c r="C305" s="48">
        <v>-9.880925849879457</v>
      </c>
      <c r="D305" s="47">
        <f t="shared" si="42"/>
        <v>-3.2593040561309558E-2</v>
      </c>
    </row>
    <row r="306" spans="1:4" x14ac:dyDescent="0.25">
      <c r="A306" s="36">
        <v>-5.2359877559829737E-2</v>
      </c>
      <c r="B306" s="48">
        <v>303.41955858134821</v>
      </c>
      <c r="C306" s="48">
        <v>-7.3876704227121142</v>
      </c>
      <c r="D306" s="47">
        <f t="shared" si="42"/>
        <v>-2.4343226608231489E-2</v>
      </c>
    </row>
    <row r="307" spans="1:4" x14ac:dyDescent="0.25">
      <c r="A307" s="36">
        <v>-3.490658503988664E-2</v>
      </c>
      <c r="B307" s="48">
        <v>303.75000503496028</v>
      </c>
      <c r="C307" s="48">
        <v>-4.8947294768441978</v>
      </c>
      <c r="D307" s="47">
        <f t="shared" si="42"/>
        <v>-1.6112940863530004E-2</v>
      </c>
    </row>
    <row r="308" spans="1:4" x14ac:dyDescent="0.25">
      <c r="A308" s="36">
        <v>-1.7453292519943098E-2</v>
      </c>
      <c r="B308" s="48">
        <v>304.04316241020854</v>
      </c>
      <c r="C308" s="48">
        <v>-2.4013868890281747</v>
      </c>
      <c r="D308" s="47">
        <f t="shared" si="42"/>
        <v>-7.8980133546017097E-3</v>
      </c>
    </row>
    <row r="309" spans="1:4" x14ac:dyDescent="0.25">
      <c r="A309" s="36">
        <v>0</v>
      </c>
      <c r="B309" s="48">
        <v>304.10279228703155</v>
      </c>
      <c r="C309" s="48">
        <v>0</v>
      </c>
      <c r="D309" s="47">
        <f t="shared" si="42"/>
        <v>0</v>
      </c>
    </row>
    <row r="310" spans="1:4" x14ac:dyDescent="0.25">
      <c r="A310" s="36">
        <v>1.7453292519943542E-2</v>
      </c>
      <c r="B310" s="48">
        <v>304.04316241020831</v>
      </c>
      <c r="C310" s="48">
        <v>2.4013868890281445</v>
      </c>
      <c r="D310" s="47">
        <f t="shared" si="42"/>
        <v>7.898013354601616E-3</v>
      </c>
    </row>
    <row r="311" spans="1:4" x14ac:dyDescent="0.25">
      <c r="A311" s="36">
        <v>3.490658503988664E-2</v>
      </c>
      <c r="B311" s="48">
        <v>303.75000503496028</v>
      </c>
      <c r="C311" s="48">
        <v>4.8947294768441978</v>
      </c>
      <c r="D311" s="47">
        <f t="shared" si="42"/>
        <v>1.6112940863530004E-2</v>
      </c>
    </row>
    <row r="312" spans="1:4" x14ac:dyDescent="0.25">
      <c r="A312" s="36">
        <v>5.2359877559829737E-2</v>
      </c>
      <c r="B312" s="48">
        <v>303.41955858134821</v>
      </c>
      <c r="C312" s="48">
        <v>7.3876704227121381</v>
      </c>
      <c r="D312" s="47">
        <f t="shared" si="42"/>
        <v>2.4343226608231568E-2</v>
      </c>
    </row>
    <row r="313" spans="1:4" x14ac:dyDescent="0.25">
      <c r="A313" s="36">
        <v>6.9813170079773279E-2</v>
      </c>
      <c r="B313" s="48">
        <v>303.05324619571473</v>
      </c>
      <c r="C313" s="48">
        <v>9.8809258498794854</v>
      </c>
      <c r="D313" s="47">
        <f t="shared" si="42"/>
        <v>3.2593040561309648E-2</v>
      </c>
    </row>
    <row r="314" spans="1:4" x14ac:dyDescent="0.25">
      <c r="A314" s="36">
        <v>8.7266462599716377E-2</v>
      </c>
      <c r="B314" s="48">
        <v>302.65054467975017</v>
      </c>
      <c r="C314" s="48">
        <v>12.376098670342161</v>
      </c>
      <c r="D314" s="47">
        <f t="shared" si="42"/>
        <v>4.0869601660162701E-2</v>
      </c>
    </row>
    <row r="315" spans="1:4" x14ac:dyDescent="0.25">
      <c r="A315" s="36">
        <v>0.10471975511965992</v>
      </c>
      <c r="B315" s="48">
        <v>302.21084176424876</v>
      </c>
      <c r="C315" s="48">
        <v>14.874794935808783</v>
      </c>
      <c r="D315" s="47">
        <f t="shared" si="42"/>
        <v>4.9180235828655758E-2</v>
      </c>
    </row>
    <row r="316" spans="1:4" x14ac:dyDescent="0.25">
      <c r="A316" s="36">
        <v>0.12217304763960302</v>
      </c>
      <c r="B316" s="48">
        <v>301.73343246078906</v>
      </c>
      <c r="C316" s="48">
        <v>17.37862811051917</v>
      </c>
      <c r="D316" s="47">
        <f t="shared" si="42"/>
        <v>5.753240351073477E-2</v>
      </c>
    </row>
    <row r="317" spans="1:4" x14ac:dyDescent="0.25">
      <c r="A317" s="36">
        <v>0.13962634015954656</v>
      </c>
      <c r="B317" s="48">
        <v>301.21751591925005</v>
      </c>
      <c r="C317" s="48">
        <v>19.889223379767383</v>
      </c>
      <c r="D317" s="47">
        <f t="shared" si="42"/>
        <v>6.5933728247784013E-2</v>
      </c>
    </row>
    <row r="318" spans="1:4" x14ac:dyDescent="0.25">
      <c r="A318" s="36">
        <v>0.15707963267948966</v>
      </c>
      <c r="B318" s="48">
        <v>300.66219142140034</v>
      </c>
      <c r="C318" s="48">
        <v>22.408222009888121</v>
      </c>
      <c r="D318" s="47">
        <f t="shared" si="42"/>
        <v>7.439202663938016E-2</v>
      </c>
    </row>
    <row r="319" spans="1:4" x14ac:dyDescent="0.25">
      <c r="A319" s="36">
        <v>0.1745329251994332</v>
      </c>
      <c r="B319" s="48">
        <v>300.066453966616</v>
      </c>
      <c r="C319" s="48">
        <v>24.937285789162367</v>
      </c>
      <c r="D319" s="47">
        <f t="shared" si="42"/>
        <v>8.2915339885037187E-2</v>
      </c>
    </row>
    <row r="320" spans="1:4" x14ac:dyDescent="0.25">
      <c r="A320" s="36">
        <v>0.1919862177193763</v>
      </c>
      <c r="B320" s="48">
        <v>299.42918918081187</v>
      </c>
      <c r="C320" s="48">
        <v>27.478101574263565</v>
      </c>
      <c r="D320" s="47">
        <f t="shared" si="42"/>
        <v>9.1511967216320267E-2</v>
      </c>
    </row>
    <row r="321" spans="1:4" x14ac:dyDescent="0.25">
      <c r="A321" s="36">
        <v>0.20943951023931984</v>
      </c>
      <c r="B321" s="48">
        <v>298.749167586407</v>
      </c>
      <c r="C321" s="48">
        <v>30.032385970237986</v>
      </c>
      <c r="D321" s="47">
        <f t="shared" si="42"/>
        <v>0.10019050151067646</v>
      </c>
    </row>
    <row r="322" spans="1:4" x14ac:dyDescent="0.25">
      <c r="A322" s="36">
        <v>0.22689280275926293</v>
      </c>
      <c r="B322" s="48">
        <v>298.02503817251818</v>
      </c>
      <c r="C322" s="48">
        <v>32.601890172535349</v>
      </c>
      <c r="D322" s="47">
        <f t="shared" ref="D322:D385" si="43">ATAN2(B322,C322)</f>
        <v>0.10895986742069949</v>
      </c>
    </row>
    <row r="323" spans="1:4" x14ac:dyDescent="0.25">
      <c r="A323" s="36">
        <v>0.24434609527920603</v>
      </c>
      <c r="B323" s="48">
        <v>297.25532119708271</v>
      </c>
      <c r="C323" s="48">
        <v>35.188405001122625</v>
      </c>
      <c r="D323" s="47">
        <f t="shared" si="43"/>
        <v>0.11782936239001558</v>
      </c>
    </row>
    <row r="324" spans="1:4" x14ac:dyDescent="0.25">
      <c r="A324" s="36">
        <v>0.26179938779914957</v>
      </c>
      <c r="B324" s="48">
        <v>296.43840071446965</v>
      </c>
      <c r="C324" s="48">
        <v>37.793766164112689</v>
      </c>
      <c r="D324" s="47">
        <f t="shared" si="43"/>
        <v>0.12680870074753439</v>
      </c>
    </row>
    <row r="325" spans="1:4" x14ac:dyDescent="0.25">
      <c r="A325" s="36">
        <v>0.27925268031909267</v>
      </c>
      <c r="B325" s="48">
        <v>295.57251384575466</v>
      </c>
      <c r="C325" s="48">
        <v>40.419859757055413</v>
      </c>
      <c r="D325" s="47">
        <f t="shared" si="43"/>
        <v>0.13590806244431114</v>
      </c>
    </row>
    <row r="326" spans="1:4" x14ac:dyDescent="0.25">
      <c r="A326" s="36">
        <v>0.29670597283903621</v>
      </c>
      <c r="B326" s="48">
        <v>294.65574366264843</v>
      </c>
      <c r="C326" s="48">
        <v>43.068628101862807</v>
      </c>
      <c r="D326" s="47">
        <f t="shared" si="43"/>
        <v>0.14513814430213715</v>
      </c>
    </row>
    <row r="327" spans="1:4" x14ac:dyDescent="0.25">
      <c r="A327" s="36">
        <v>0.31415926535897931</v>
      </c>
      <c r="B327" s="48">
        <v>294.17117008350675</v>
      </c>
      <c r="C327" s="48">
        <v>44.302055920497764</v>
      </c>
      <c r="D327" s="47">
        <f t="shared" si="43"/>
        <v>0.14947628645853611</v>
      </c>
    </row>
    <row r="328" spans="1:4" x14ac:dyDescent="0.25">
      <c r="A328" s="36">
        <v>0.33161255787892285</v>
      </c>
      <c r="B328" s="48">
        <v>293.14548837008158</v>
      </c>
      <c r="C328" s="48">
        <v>47.001871411889965</v>
      </c>
      <c r="D328" s="47">
        <f t="shared" si="43"/>
        <v>0.15898317867422584</v>
      </c>
    </row>
    <row r="329" spans="1:4" x14ac:dyDescent="0.25">
      <c r="A329" s="36">
        <v>0.34906585039886595</v>
      </c>
      <c r="B329" s="48">
        <v>292.06214638338253</v>
      </c>
      <c r="C329" s="48">
        <v>49.730597590578448</v>
      </c>
      <c r="D329" s="47">
        <f t="shared" si="43"/>
        <v>0.16865647445123377</v>
      </c>
    </row>
    <row r="330" spans="1:4" x14ac:dyDescent="0.25">
      <c r="A330" s="36">
        <v>0.36651914291880949</v>
      </c>
      <c r="B330" s="48">
        <v>290.91844851879387</v>
      </c>
      <c r="C330" s="48">
        <v>52.490466511499292</v>
      </c>
      <c r="D330" s="47">
        <f t="shared" si="43"/>
        <v>0.17850958147872759</v>
      </c>
    </row>
    <row r="331" spans="1:4" x14ac:dyDescent="0.25">
      <c r="A331" s="36">
        <v>0.38397243543875259</v>
      </c>
      <c r="B331" s="48">
        <v>289.71150713733141</v>
      </c>
      <c r="C331" s="48">
        <v>55.283801804885542</v>
      </c>
      <c r="D331" s="47">
        <f t="shared" si="43"/>
        <v>0.18855676042092284</v>
      </c>
    </row>
    <row r="332" spans="1:4" x14ac:dyDescent="0.25">
      <c r="A332" s="36">
        <v>0.40142572795869569</v>
      </c>
      <c r="B332" s="48">
        <v>288.43819174634274</v>
      </c>
      <c r="C332" s="48">
        <v>58.113026910731051</v>
      </c>
      <c r="D332" s="47">
        <f t="shared" si="43"/>
        <v>0.19881323346986568</v>
      </c>
    </row>
    <row r="333" spans="1:4" x14ac:dyDescent="0.25">
      <c r="A333" s="36">
        <v>0.41887902047863923</v>
      </c>
      <c r="B333" s="48">
        <v>287.09510832536904</v>
      </c>
      <c r="C333" s="48">
        <v>60.980674311662803</v>
      </c>
      <c r="D333" s="47">
        <f t="shared" si="43"/>
        <v>0.20929528833128885</v>
      </c>
    </row>
    <row r="334" spans="1:4" x14ac:dyDescent="0.25">
      <c r="A334" s="36">
        <v>0.43633231299858233</v>
      </c>
      <c r="B334" s="48">
        <v>285.67857632623407</v>
      </c>
      <c r="C334" s="48">
        <v>63.889395514687024</v>
      </c>
      <c r="D334" s="47">
        <f t="shared" si="43"/>
        <v>0.22002039413405258</v>
      </c>
    </row>
    <row r="335" spans="1:4" x14ac:dyDescent="0.25">
      <c r="A335" s="36">
        <v>0.45378560551852587</v>
      </c>
      <c r="B335" s="48">
        <v>284.18460306522388</v>
      </c>
      <c r="C335" s="48">
        <v>66.841971869992506</v>
      </c>
      <c r="D335" s="47">
        <f t="shared" si="43"/>
        <v>0.23100733092868342</v>
      </c>
    </row>
    <row r="336" spans="1:4" x14ac:dyDescent="0.25">
      <c r="A336" s="36">
        <v>0.47123889803846897</v>
      </c>
      <c r="B336" s="48">
        <v>282.60885518153555</v>
      </c>
      <c r="C336" s="48">
        <v>69.841326325630391</v>
      </c>
      <c r="D336" s="47">
        <f t="shared" si="43"/>
        <v>0.24227633469173382</v>
      </c>
    </row>
    <row r="337" spans="1:4" x14ac:dyDescent="0.25">
      <c r="A337" s="36">
        <v>0.48869219055841251</v>
      </c>
      <c r="B337" s="48">
        <v>280.94662678160381</v>
      </c>
      <c r="C337" s="48">
        <v>72.890536229062732</v>
      </c>
      <c r="D337" s="47">
        <f t="shared" si="43"/>
        <v>0.25384926004853925</v>
      </c>
    </row>
    <row r="338" spans="1:4" x14ac:dyDescent="0.25">
      <c r="A338" s="36">
        <v>0.50614548307835561</v>
      </c>
      <c r="B338" s="48">
        <v>279.19280383077449</v>
      </c>
      <c r="C338" s="48">
        <v>75.992847300627972</v>
      </c>
      <c r="D338" s="47">
        <f t="shared" si="43"/>
        <v>0.26574976326827643</v>
      </c>
    </row>
    <row r="339" spans="1:4" x14ac:dyDescent="0.25">
      <c r="A339" s="36">
        <v>0.52359877559829915</v>
      </c>
      <c r="B339" s="48">
        <v>277.34307899917587</v>
      </c>
      <c r="C339" s="48">
        <v>79.149555612848303</v>
      </c>
      <c r="D339" s="47">
        <f t="shared" si="43"/>
        <v>0.27799520194627675</v>
      </c>
    </row>
    <row r="340" spans="1:4" x14ac:dyDescent="0.25">
      <c r="A340" s="36">
        <v>0.54105206811824225</v>
      </c>
      <c r="B340" s="48">
        <v>275.46059532995474</v>
      </c>
      <c r="C340" s="48">
        <v>82.249907573849981</v>
      </c>
      <c r="D340" s="47">
        <f t="shared" si="43"/>
        <v>0.29016314304014007</v>
      </c>
    </row>
    <row r="341" spans="1:4" x14ac:dyDescent="0.25">
      <c r="A341" s="36">
        <v>0.55850536063818534</v>
      </c>
      <c r="B341" s="48">
        <v>273.5813818357226</v>
      </c>
      <c r="C341" s="48">
        <v>85.237788940340437</v>
      </c>
      <c r="D341" s="47">
        <f t="shared" si="43"/>
        <v>0.30203084677075726</v>
      </c>
    </row>
    <row r="342" spans="1:4" x14ac:dyDescent="0.25">
      <c r="A342" s="36">
        <v>0.57595865315812889</v>
      </c>
      <c r="B342" s="48">
        <v>271.70284879347832</v>
      </c>
      <c r="C342" s="48">
        <v>88.123361694556351</v>
      </c>
      <c r="D342" s="47">
        <f t="shared" si="43"/>
        <v>0.31363237062215954</v>
      </c>
    </row>
    <row r="343" spans="1:4" x14ac:dyDescent="0.25">
      <c r="A343" s="36">
        <v>0.59341194567807198</v>
      </c>
      <c r="B343" s="48">
        <v>269.82244665973838</v>
      </c>
      <c r="C343" s="48">
        <v>90.915770445906062</v>
      </c>
      <c r="D343" s="47">
        <f t="shared" si="43"/>
        <v>0.32499900981071211</v>
      </c>
    </row>
    <row r="344" spans="1:4" x14ac:dyDescent="0.25">
      <c r="A344" s="36">
        <v>0.61086523819801553</v>
      </c>
      <c r="B344" s="48">
        <v>267.68553734677982</v>
      </c>
      <c r="C344" s="48">
        <v>93.688759843467565</v>
      </c>
      <c r="D344" s="47">
        <f t="shared" si="43"/>
        <v>0.33667089818989371</v>
      </c>
    </row>
    <row r="345" spans="1:4" x14ac:dyDescent="0.25">
      <c r="A345" s="36">
        <v>0.62831853071795862</v>
      </c>
      <c r="B345" s="48">
        <v>265.46152537112442</v>
      </c>
      <c r="C345" s="48">
        <v>96.401357840516653</v>
      </c>
      <c r="D345" s="47">
        <f t="shared" si="43"/>
        <v>0.3483380626481829</v>
      </c>
    </row>
    <row r="346" spans="1:4" x14ac:dyDescent="0.25">
      <c r="A346" s="36">
        <v>0.64577182323790217</v>
      </c>
      <c r="B346" s="48">
        <v>263.23208831620229</v>
      </c>
      <c r="C346" s="48">
        <v>99.038232171078434</v>
      </c>
      <c r="D346" s="47">
        <f t="shared" si="43"/>
        <v>0.35985665547656748</v>
      </c>
    </row>
    <row r="347" spans="1:4" x14ac:dyDescent="0.25">
      <c r="A347" s="36">
        <v>0.66322511575784526</v>
      </c>
      <c r="B347" s="48">
        <v>260.9945810717968</v>
      </c>
      <c r="C347" s="48">
        <v>101.6059038356657</v>
      </c>
      <c r="D347" s="47">
        <f t="shared" si="43"/>
        <v>0.37125071750092592</v>
      </c>
    </row>
    <row r="348" spans="1:4" x14ac:dyDescent="0.25">
      <c r="A348" s="36">
        <v>0.6806784082777888</v>
      </c>
      <c r="B348" s="48">
        <v>258.74633009155156</v>
      </c>
      <c r="C348" s="48">
        <v>104.11035795825245</v>
      </c>
      <c r="D348" s="47">
        <f t="shared" si="43"/>
        <v>0.38254314302216708</v>
      </c>
    </row>
    <row r="349" spans="1:4" x14ac:dyDescent="0.25">
      <c r="A349" s="36">
        <v>0.6981317007977319</v>
      </c>
      <c r="B349" s="48">
        <v>256.48461676513006</v>
      </c>
      <c r="C349" s="48">
        <v>106.55710981828344</v>
      </c>
      <c r="D349" s="47">
        <f t="shared" si="43"/>
        <v>0.39375590015528728</v>
      </c>
    </row>
    <row r="350" spans="1:4" x14ac:dyDescent="0.25">
      <c r="A350" s="36">
        <v>0.715584993317675</v>
      </c>
      <c r="B350" s="48">
        <v>254.20666095757053</v>
      </c>
      <c r="C350" s="48">
        <v>108.95126236350335</v>
      </c>
      <c r="D350" s="47">
        <f t="shared" si="43"/>
        <v>0.40491023269071152</v>
      </c>
    </row>
    <row r="351" spans="1:4" x14ac:dyDescent="0.25">
      <c r="A351" s="36">
        <v>0.73303828583761854</v>
      </c>
      <c r="B351" s="48">
        <v>251.90960377369697</v>
      </c>
      <c r="C351" s="48">
        <v>111.29755648007806</v>
      </c>
      <c r="D351" s="47">
        <f t="shared" si="43"/>
        <v>0.41602684820869545</v>
      </c>
    </row>
    <row r="352" spans="1:4" x14ac:dyDescent="0.25">
      <c r="A352" s="36">
        <v>0.75049157835756164</v>
      </c>
      <c r="B352" s="48">
        <v>249.5904905175058</v>
      </c>
      <c r="C352" s="48">
        <v>113.60041550117477</v>
      </c>
      <c r="D352" s="47">
        <f t="shared" si="43"/>
        <v>0.42712609552565528</v>
      </c>
    </row>
    <row r="353" spans="1:4" x14ac:dyDescent="0.25">
      <c r="A353" s="36">
        <v>0.76794487087750518</v>
      </c>
      <c r="B353" s="48">
        <v>247.24624918330494</v>
      </c>
      <c r="C353" s="48">
        <v>115.86398369618786</v>
      </c>
      <c r="D353" s="47">
        <f t="shared" si="43"/>
        <v>0.43822813738703476</v>
      </c>
    </row>
    <row r="354" spans="1:4" x14ac:dyDescent="0.25">
      <c r="A354" s="36">
        <v>0.78539816339744828</v>
      </c>
      <c r="B354" s="48">
        <v>244.87367246139661</v>
      </c>
      <c r="C354" s="48">
        <v>118.09216181177968</v>
      </c>
      <c r="D354" s="47">
        <f t="shared" si="43"/>
        <v>0.44935311696021091</v>
      </c>
    </row>
    <row r="355" spans="1:4" x14ac:dyDescent="0.25">
      <c r="A355" s="36">
        <v>0.80285145591739182</v>
      </c>
      <c r="B355" s="48">
        <v>242.46939401266664</v>
      </c>
      <c r="C355" s="48">
        <v>120.28863791321743</v>
      </c>
      <c r="D355" s="47">
        <f t="shared" si="43"/>
        <v>0.46052132631624759</v>
      </c>
    </row>
    <row r="356" spans="1:4" x14ac:dyDescent="0.25">
      <c r="A356" s="36">
        <v>0.82030474843733492</v>
      </c>
      <c r="B356" s="48">
        <v>240.78766099846061</v>
      </c>
      <c r="C356" s="48">
        <v>121.6545606434489</v>
      </c>
      <c r="D356" s="47">
        <f t="shared" si="43"/>
        <v>0.46782751731819067</v>
      </c>
    </row>
    <row r="357" spans="1:4" x14ac:dyDescent="0.25">
      <c r="A357" s="36">
        <v>0.83775804095727846</v>
      </c>
      <c r="B357" s="48">
        <v>238.27942746379293</v>
      </c>
      <c r="C357" s="48">
        <v>123.82520907782656</v>
      </c>
      <c r="D357" s="47">
        <f t="shared" si="43"/>
        <v>0.47925466851211823</v>
      </c>
    </row>
    <row r="358" spans="1:4" x14ac:dyDescent="0.25">
      <c r="A358" s="36">
        <v>0.85521133347722156</v>
      </c>
      <c r="B358" s="48">
        <v>235.72755770708434</v>
      </c>
      <c r="C358" s="48">
        <v>125.97379265899293</v>
      </c>
      <c r="D358" s="47">
        <f t="shared" si="43"/>
        <v>0.4907906612588247</v>
      </c>
    </row>
    <row r="359" spans="1:4" x14ac:dyDescent="0.25">
      <c r="A359" s="36">
        <v>0.87266462599716466</v>
      </c>
      <c r="B359" s="48">
        <v>233.12771750542746</v>
      </c>
      <c r="C359" s="48">
        <v>128.10344829380574</v>
      </c>
      <c r="D359" s="47">
        <f t="shared" si="43"/>
        <v>0.50245848679163985</v>
      </c>
    </row>
    <row r="360" spans="1:4" x14ac:dyDescent="0.25">
      <c r="A360" s="36">
        <v>0.89011791851710775</v>
      </c>
      <c r="B360" s="48">
        <v>230.47525707769776</v>
      </c>
      <c r="C360" s="48">
        <v>130.21721853940969</v>
      </c>
      <c r="D360" s="47">
        <f t="shared" si="43"/>
        <v>0.51428226000612476</v>
      </c>
    </row>
    <row r="361" spans="1:4" x14ac:dyDescent="0.25">
      <c r="A361" s="36">
        <v>0.90757121103705174</v>
      </c>
      <c r="B361" s="48">
        <v>227.76516595602851</v>
      </c>
      <c r="C361" s="48">
        <v>132.31807058565627</v>
      </c>
      <c r="D361" s="47">
        <f t="shared" si="43"/>
        <v>0.52628746352718592</v>
      </c>
    </row>
    <row r="362" spans="1:4" x14ac:dyDescent="0.25">
      <c r="A362" s="36">
        <v>0.92502450355699484</v>
      </c>
      <c r="B362" s="48">
        <v>224.99202346835267</v>
      </c>
      <c r="C362" s="48">
        <v>134.40891513365494</v>
      </c>
      <c r="D362" s="47">
        <f t="shared" si="43"/>
        <v>0.53850121971702058</v>
      </c>
    </row>
    <row r="363" spans="1:4" x14ac:dyDescent="0.25">
      <c r="A363" s="36">
        <v>0.94247779607693793</v>
      </c>
      <c r="B363" s="48">
        <v>222.14994147921678</v>
      </c>
      <c r="C363" s="48">
        <v>136.49262453757652</v>
      </c>
      <c r="D363" s="47">
        <f t="shared" si="43"/>
        <v>0.5509525982364919</v>
      </c>
    </row>
    <row r="364" spans="1:4" x14ac:dyDescent="0.25">
      <c r="A364" s="36">
        <v>0.95993108859688103</v>
      </c>
      <c r="B364" s="48">
        <v>220.45508181140963</v>
      </c>
      <c r="C364" s="48">
        <v>137.74765115919681</v>
      </c>
      <c r="D364" s="47">
        <f t="shared" si="43"/>
        <v>0.55847935028399176</v>
      </c>
    </row>
    <row r="365" spans="1:4" x14ac:dyDescent="0.25">
      <c r="A365" s="36">
        <v>0.97738438111682502</v>
      </c>
      <c r="B365" s="48">
        <v>217.49190794910442</v>
      </c>
      <c r="C365" s="48">
        <v>139.80070931539143</v>
      </c>
      <c r="D365" s="47">
        <f t="shared" si="43"/>
        <v>0.57128699495647617</v>
      </c>
    </row>
    <row r="366" spans="1:4" x14ac:dyDescent="0.25">
      <c r="A366" s="36">
        <v>0.99483767363676812</v>
      </c>
      <c r="B366" s="48">
        <v>214.43988299918436</v>
      </c>
      <c r="C366" s="48">
        <v>141.85532291474868</v>
      </c>
      <c r="D366" s="47">
        <f t="shared" si="43"/>
        <v>0.58442798127457563</v>
      </c>
    </row>
    <row r="367" spans="1:4" x14ac:dyDescent="0.25">
      <c r="A367" s="36">
        <v>1.0122909661567112</v>
      </c>
      <c r="B367" s="48">
        <v>211.29059495848566</v>
      </c>
      <c r="C367" s="48">
        <v>143.91435671351869</v>
      </c>
      <c r="D367" s="47">
        <f t="shared" si="43"/>
        <v>0.59794246850849486</v>
      </c>
    </row>
    <row r="368" spans="1:4" x14ac:dyDescent="0.25">
      <c r="A368" s="36">
        <v>1.0297442586766543</v>
      </c>
      <c r="B368" s="48">
        <v>208.03472031468647</v>
      </c>
      <c r="C368" s="48">
        <v>145.9807291123596</v>
      </c>
      <c r="D368" s="47">
        <f t="shared" si="43"/>
        <v>0.61187490166358127</v>
      </c>
    </row>
    <row r="369" spans="1:4" x14ac:dyDescent="0.25">
      <c r="A369" s="36">
        <v>1.0471975511965974</v>
      </c>
      <c r="B369" s="48">
        <v>204.66188134394207</v>
      </c>
      <c r="C369" s="48">
        <v>148.05743263476009</v>
      </c>
      <c r="D369" s="47">
        <f t="shared" si="43"/>
        <v>0.62627477052201985</v>
      </c>
    </row>
    <row r="370" spans="1:4" x14ac:dyDescent="0.25">
      <c r="A370" s="36">
        <v>1.0646508437165414</v>
      </c>
      <c r="B370" s="48">
        <v>201.11957363993838</v>
      </c>
      <c r="C370" s="48">
        <v>150.13678715939113</v>
      </c>
      <c r="D370" s="47">
        <f t="shared" si="43"/>
        <v>0.6412606171255909</v>
      </c>
    </row>
    <row r="371" spans="1:4" x14ac:dyDescent="0.25">
      <c r="A371" s="36">
        <v>1.0821041362364845</v>
      </c>
      <c r="B371" s="48">
        <v>197.32269677525608</v>
      </c>
      <c r="C371" s="48">
        <v>152.20106282046203</v>
      </c>
      <c r="D371" s="47">
        <f t="shared" si="43"/>
        <v>0.65701360390349273</v>
      </c>
    </row>
    <row r="372" spans="1:4" x14ac:dyDescent="0.25">
      <c r="A372" s="36">
        <v>1.0995574287564276</v>
      </c>
      <c r="B372" s="48">
        <v>193.37356461643222</v>
      </c>
      <c r="C372" s="48">
        <v>154.28320813638612</v>
      </c>
      <c r="D372" s="47">
        <f t="shared" si="43"/>
        <v>0.67342893734276987</v>
      </c>
    </row>
    <row r="373" spans="1:4" x14ac:dyDescent="0.25">
      <c r="A373" s="36">
        <v>1.1170107212763707</v>
      </c>
      <c r="B373" s="48">
        <v>189.25591199914444</v>
      </c>
      <c r="C373" s="48">
        <v>156.38676348956974</v>
      </c>
      <c r="D373" s="47">
        <f t="shared" si="43"/>
        <v>0.6905875273975387</v>
      </c>
    </row>
    <row r="374" spans="1:4" x14ac:dyDescent="0.25">
      <c r="A374" s="36">
        <v>1.1344640137963147</v>
      </c>
      <c r="B374" s="48">
        <v>184.95120573287625</v>
      </c>
      <c r="C374" s="48">
        <v>158.51548131024924</v>
      </c>
      <c r="D374" s="47">
        <f t="shared" si="43"/>
        <v>0.70858224889846555</v>
      </c>
    </row>
    <row r="375" spans="1:4" x14ac:dyDescent="0.25">
      <c r="A375" s="36">
        <v>1.1519173063162578</v>
      </c>
      <c r="B375" s="48">
        <v>180.43820905875651</v>
      </c>
      <c r="C375" s="48">
        <v>160.67336616272132</v>
      </c>
      <c r="D375" s="47">
        <f t="shared" si="43"/>
        <v>0.72752041969851267</v>
      </c>
    </row>
    <row r="376" spans="1:4" x14ac:dyDescent="0.25">
      <c r="A376" s="36">
        <v>1.1693705988362009</v>
      </c>
      <c r="B376" s="48">
        <v>175.69244111666262</v>
      </c>
      <c r="C376" s="48">
        <v>162.86472109032567</v>
      </c>
      <c r="D376" s="47">
        <f t="shared" si="43"/>
        <v>0.74752690197669314</v>
      </c>
    </row>
    <row r="377" spans="1:4" x14ac:dyDescent="0.25">
      <c r="A377" s="36">
        <v>1.186823891356144</v>
      </c>
      <c r="B377" s="48">
        <v>170.68550053360275</v>
      </c>
      <c r="C377" s="48">
        <v>165.09420197518875</v>
      </c>
      <c r="D377" s="47">
        <f t="shared" si="43"/>
        <v>0.7687480150413577</v>
      </c>
    </row>
    <row r="378" spans="1:4" x14ac:dyDescent="0.25">
      <c r="A378" s="36">
        <v>1.2042771838760871</v>
      </c>
      <c r="B378" s="48">
        <v>165.38421099358996</v>
      </c>
      <c r="C378" s="48">
        <v>167.36688191894382</v>
      </c>
      <c r="D378" s="47">
        <f t="shared" si="43"/>
        <v>0.791356513361261</v>
      </c>
    </row>
    <row r="379" spans="1:4" x14ac:dyDescent="0.25">
      <c r="A379" s="36">
        <v>1.2217304763960311</v>
      </c>
      <c r="B379" s="48">
        <v>159.74953112323539</v>
      </c>
      <c r="C379" s="48">
        <v>169.68832859489763</v>
      </c>
      <c r="D379" s="47">
        <f t="shared" si="43"/>
        <v>0.81555797504399596</v>
      </c>
    </row>
    <row r="380" spans="1:4" x14ac:dyDescent="0.25">
      <c r="A380" s="36">
        <v>1.2391837689159741</v>
      </c>
      <c r="B380" s="48">
        <v>153.73514733249385</v>
      </c>
      <c r="C380" s="48">
        <v>172.06469630256777</v>
      </c>
      <c r="D380" s="47">
        <f t="shared" si="43"/>
        <v>0.84159907032410108</v>
      </c>
    </row>
    <row r="381" spans="1:4" x14ac:dyDescent="0.25">
      <c r="A381" s="36">
        <v>1.2566370614359172</v>
      </c>
      <c r="B381" s="48">
        <v>147.30264339372491</v>
      </c>
      <c r="C381" s="48">
        <v>174.40051199695759</v>
      </c>
      <c r="D381" s="47">
        <f t="shared" si="43"/>
        <v>0.86943231747714411</v>
      </c>
    </row>
    <row r="382" spans="1:4" x14ac:dyDescent="0.25">
      <c r="A382" s="36">
        <v>1.2740903539558603</v>
      </c>
      <c r="B382" s="48">
        <v>140.39861150881907</v>
      </c>
      <c r="C382" s="48">
        <v>176.68425033856585</v>
      </c>
      <c r="D382" s="47">
        <f t="shared" si="43"/>
        <v>0.8993383432094364</v>
      </c>
    </row>
    <row r="383" spans="1:4" x14ac:dyDescent="0.25">
      <c r="A383" s="36">
        <v>1.2915436464758043</v>
      </c>
      <c r="B383" s="48">
        <v>132.92930350647077</v>
      </c>
      <c r="C383" s="48">
        <v>179.03297210200685</v>
      </c>
      <c r="D383" s="47">
        <f t="shared" si="43"/>
        <v>0.93212216653044877</v>
      </c>
    </row>
    <row r="384" spans="1:4" x14ac:dyDescent="0.25">
      <c r="A384" s="36">
        <v>1.3089969389957474</v>
      </c>
      <c r="B384" s="48">
        <v>124.79731761801014</v>
      </c>
      <c r="C384" s="48">
        <v>181.45566904033885</v>
      </c>
      <c r="D384" s="47">
        <f t="shared" si="43"/>
        <v>0.96833481981369007</v>
      </c>
    </row>
    <row r="385" spans="1:4" x14ac:dyDescent="0.25">
      <c r="A385" s="36">
        <v>1.3264502315156905</v>
      </c>
      <c r="B385" s="48">
        <v>115.95357507602942</v>
      </c>
      <c r="C385" s="48">
        <v>183.94351661511104</v>
      </c>
      <c r="D385" s="47">
        <f t="shared" si="43"/>
        <v>1.0083404733651784</v>
      </c>
    </row>
    <row r="386" spans="1:4" x14ac:dyDescent="0.25">
      <c r="A386" s="36">
        <v>1.3439035240356336</v>
      </c>
      <c r="B386" s="48">
        <v>106.9924632134762</v>
      </c>
      <c r="C386" s="48">
        <v>186.32291305685786</v>
      </c>
      <c r="D386" s="47">
        <f t="shared" ref="D386:D449" si="44">ATAN2(B386,C386)</f>
        <v>1.0495398782828833</v>
      </c>
    </row>
    <row r="387" spans="1:4" x14ac:dyDescent="0.25">
      <c r="A387" s="36">
        <v>1.3613568165555767</v>
      </c>
      <c r="B387" s="48">
        <v>98.070637449433988</v>
      </c>
      <c r="C387" s="48">
        <v>188.55419778535858</v>
      </c>
      <c r="D387" s="47">
        <f t="shared" si="44"/>
        <v>1.0911832985723839</v>
      </c>
    </row>
    <row r="388" spans="1:4" x14ac:dyDescent="0.25">
      <c r="A388" s="36">
        <v>1.3788101090755207</v>
      </c>
      <c r="B388" s="48">
        <v>89.305971916376578</v>
      </c>
      <c r="C388" s="48">
        <v>190.50553421385112</v>
      </c>
      <c r="D388" s="47">
        <f t="shared" si="44"/>
        <v>1.1324317821809124</v>
      </c>
    </row>
    <row r="389" spans="1:4" x14ac:dyDescent="0.25">
      <c r="A389" s="36">
        <v>1.3962634015954638</v>
      </c>
      <c r="B389" s="48">
        <v>80.827641848648042</v>
      </c>
      <c r="C389" s="48">
        <v>192.03291580506774</v>
      </c>
      <c r="D389" s="47">
        <f t="shared" si="44"/>
        <v>1.172399166443072</v>
      </c>
    </row>
    <row r="390" spans="1:4" x14ac:dyDescent="0.25">
      <c r="A390" s="36">
        <v>1.4137166941154069</v>
      </c>
      <c r="B390" s="48">
        <v>72.377387903042489</v>
      </c>
      <c r="C390" s="48">
        <v>193.41693436232589</v>
      </c>
      <c r="D390" s="47">
        <f t="shared" si="44"/>
        <v>1.21272371390754</v>
      </c>
    </row>
    <row r="391" spans="1:4" x14ac:dyDescent="0.25">
      <c r="A391" s="36">
        <v>1.43116998663535</v>
      </c>
      <c r="B391" s="48">
        <v>63.948975996415768</v>
      </c>
      <c r="C391" s="48">
        <v>194.66097793276577</v>
      </c>
      <c r="D391" s="47">
        <f t="shared" si="44"/>
        <v>1.2533888711214562</v>
      </c>
    </row>
    <row r="392" spans="1:4" x14ac:dyDescent="0.25">
      <c r="A392" s="36">
        <v>1.448623279155294</v>
      </c>
      <c r="B392" s="48">
        <v>55.536193390849817</v>
      </c>
      <c r="C392" s="48">
        <v>195.7680593893011</v>
      </c>
      <c r="D392" s="47">
        <f t="shared" si="44"/>
        <v>1.2943750734188113</v>
      </c>
    </row>
    <row r="393" spans="1:4" x14ac:dyDescent="0.25">
      <c r="A393" s="36">
        <v>1.4660765716752371</v>
      </c>
      <c r="B393" s="48">
        <v>47.132827139830276</v>
      </c>
      <c r="C393" s="48">
        <v>196.74083297985536</v>
      </c>
      <c r="D393" s="47">
        <f t="shared" si="44"/>
        <v>1.3356597655077451</v>
      </c>
    </row>
    <row r="394" spans="1:4" x14ac:dyDescent="0.25">
      <c r="A394" s="36">
        <v>1.4835298641951802</v>
      </c>
      <c r="B394" s="48">
        <v>38.732642052473537</v>
      </c>
      <c r="C394" s="48">
        <v>197.5816081381025</v>
      </c>
      <c r="D394" s="47">
        <f t="shared" si="44"/>
        <v>1.3772174663169516</v>
      </c>
    </row>
    <row r="395" spans="1:4" x14ac:dyDescent="0.25">
      <c r="A395" s="36">
        <v>1.5009831567151233</v>
      </c>
      <c r="B395" s="48">
        <v>30.329357989068125</v>
      </c>
      <c r="C395" s="48">
        <v>198.29236336033236</v>
      </c>
      <c r="D395" s="47">
        <f t="shared" si="44"/>
        <v>1.4190198836307752</v>
      </c>
    </row>
    <row r="396" spans="1:4" x14ac:dyDescent="0.25">
      <c r="A396" s="36">
        <v>1.5184364492350664</v>
      </c>
      <c r="B396" s="48">
        <v>21.916626216964158</v>
      </c>
      <c r="C396" s="48">
        <v>198.87475566110822</v>
      </c>
      <c r="D396" s="47">
        <f t="shared" si="44"/>
        <v>1.4610360747986719</v>
      </c>
    </row>
    <row r="397" spans="1:4" x14ac:dyDescent="0.25">
      <c r="A397" s="36">
        <v>1.5358897417550104</v>
      </c>
      <c r="B397" s="48">
        <v>13.488004616277861</v>
      </c>
      <c r="C397" s="48">
        <v>199.33013044516559</v>
      </c>
      <c r="D397" s="47">
        <f t="shared" si="44"/>
        <v>1.5032326585808855</v>
      </c>
    </row>
    <row r="398" spans="1:4" x14ac:dyDescent="0.25">
      <c r="A398" s="36">
        <v>1.5533430342749535</v>
      </c>
      <c r="B398" s="48">
        <v>5.0369314260371771</v>
      </c>
      <c r="C398" s="48">
        <v>199.65952882174105</v>
      </c>
      <c r="D398" s="47">
        <f t="shared" si="44"/>
        <v>1.5455740731470775</v>
      </c>
    </row>
    <row r="399" spans="1:4" x14ac:dyDescent="0.25">
      <c r="A399" s="36">
        <v>1.5707963267948966</v>
      </c>
      <c r="B399" s="48">
        <v>9.8952291281160069E-14</v>
      </c>
      <c r="C399" s="48">
        <v>199.77811800993842</v>
      </c>
      <c r="D399" s="47">
        <f t="shared" si="44"/>
        <v>1.5707963267948961</v>
      </c>
    </row>
    <row r="400" spans="1:4" x14ac:dyDescent="0.25">
      <c r="A400" s="36">
        <v>1.5882496193148397</v>
      </c>
      <c r="B400" s="48">
        <v>-5.0369314260371372</v>
      </c>
      <c r="C400" s="48">
        <v>199.65952882174082</v>
      </c>
      <c r="D400" s="47">
        <f t="shared" si="44"/>
        <v>1.5960185804427154</v>
      </c>
    </row>
    <row r="401" spans="1:4" x14ac:dyDescent="0.25">
      <c r="A401" s="36">
        <v>1.6057029118347836</v>
      </c>
      <c r="B401" s="48">
        <v>-13.488004616278118</v>
      </c>
      <c r="C401" s="48">
        <v>199.33013044516559</v>
      </c>
      <c r="D401" s="47">
        <f t="shared" si="44"/>
        <v>1.6383599950089087</v>
      </c>
    </row>
    <row r="402" spans="1:4" x14ac:dyDescent="0.25">
      <c r="A402" s="36">
        <v>1.6231562043547267</v>
      </c>
      <c r="B402" s="48">
        <v>-21.916626216964232</v>
      </c>
      <c r="C402" s="48">
        <v>198.87475566110842</v>
      </c>
      <c r="D402" s="47">
        <f t="shared" si="44"/>
        <v>1.6805565787911214</v>
      </c>
    </row>
    <row r="403" spans="1:4" x14ac:dyDescent="0.25">
      <c r="A403" s="36">
        <v>1.6406094968746698</v>
      </c>
      <c r="B403" s="48">
        <v>-30.329357989068324</v>
      </c>
      <c r="C403" s="48">
        <v>198.29236336033216</v>
      </c>
      <c r="D403" s="47">
        <f t="shared" si="44"/>
        <v>1.722572769959019</v>
      </c>
    </row>
    <row r="404" spans="1:4" x14ac:dyDescent="0.25">
      <c r="A404" s="36">
        <v>1.6580627893946129</v>
      </c>
      <c r="B404" s="48">
        <v>-38.732642052473651</v>
      </c>
      <c r="C404" s="48">
        <v>197.58160813810255</v>
      </c>
      <c r="D404" s="47">
        <f t="shared" si="44"/>
        <v>1.7643751872728419</v>
      </c>
    </row>
    <row r="405" spans="1:4" x14ac:dyDescent="0.25">
      <c r="A405" s="36">
        <v>1.675516081914556</v>
      </c>
      <c r="B405" s="48">
        <v>-47.132827139830233</v>
      </c>
      <c r="C405" s="48">
        <v>196.7408329798553</v>
      </c>
      <c r="D405" s="47">
        <f t="shared" si="44"/>
        <v>1.805932888082048</v>
      </c>
    </row>
    <row r="406" spans="1:4" x14ac:dyDescent="0.25">
      <c r="A406" s="36">
        <v>1.6929693744345</v>
      </c>
      <c r="B406" s="48">
        <v>-55.536193390850066</v>
      </c>
      <c r="C406" s="48">
        <v>195.76805938930104</v>
      </c>
      <c r="D406" s="47">
        <f t="shared" si="44"/>
        <v>1.8472175801709829</v>
      </c>
    </row>
    <row r="407" spans="1:4" x14ac:dyDescent="0.25">
      <c r="A407" s="36">
        <v>1.7104226669544431</v>
      </c>
      <c r="B407" s="48">
        <v>-63.948975996415797</v>
      </c>
      <c r="C407" s="48">
        <v>194.66097793276575</v>
      </c>
      <c r="D407" s="47">
        <f t="shared" si="44"/>
        <v>1.8882037824683371</v>
      </c>
    </row>
    <row r="408" spans="1:4" x14ac:dyDescent="0.25">
      <c r="A408" s="36">
        <v>1.7278759594743862</v>
      </c>
      <c r="B408" s="48">
        <v>-72.377387903042404</v>
      </c>
      <c r="C408" s="48">
        <v>193.41693436232586</v>
      </c>
      <c r="D408" s="47">
        <f t="shared" si="44"/>
        <v>1.9288689396822527</v>
      </c>
    </row>
    <row r="409" spans="1:4" x14ac:dyDescent="0.25">
      <c r="A409" s="36">
        <v>1.7453292519943293</v>
      </c>
      <c r="B409" s="48">
        <v>-80.827641848647815</v>
      </c>
      <c r="C409" s="48">
        <v>192.03291580506789</v>
      </c>
      <c r="D409" s="47">
        <f t="shared" si="44"/>
        <v>1.96919348714672</v>
      </c>
    </row>
    <row r="410" spans="1:4" x14ac:dyDescent="0.25">
      <c r="A410" s="36">
        <v>1.7627825445142733</v>
      </c>
      <c r="B410" s="48">
        <v>-89.30597191637699</v>
      </c>
      <c r="C410" s="48">
        <v>190.50553421385104</v>
      </c>
      <c r="D410" s="47">
        <f t="shared" si="44"/>
        <v>2.0091608714088824</v>
      </c>
    </row>
    <row r="411" spans="1:4" x14ac:dyDescent="0.25">
      <c r="A411" s="36">
        <v>1.7802358370342164</v>
      </c>
      <c r="B411" s="48">
        <v>-98.07063744943369</v>
      </c>
      <c r="C411" s="48">
        <v>188.55419778535872</v>
      </c>
      <c r="D411" s="47">
        <f t="shared" si="44"/>
        <v>2.0504093550174076</v>
      </c>
    </row>
    <row r="412" spans="1:4" x14ac:dyDescent="0.25">
      <c r="A412" s="36">
        <v>1.7976891295541595</v>
      </c>
      <c r="B412" s="48">
        <v>-106.99246321347631</v>
      </c>
      <c r="C412" s="48">
        <v>186.32291305685803</v>
      </c>
      <c r="D412" s="47">
        <f t="shared" si="44"/>
        <v>2.09205277530691</v>
      </c>
    </row>
    <row r="413" spans="1:4" x14ac:dyDescent="0.25">
      <c r="A413" s="36">
        <v>1.8151424220741026</v>
      </c>
      <c r="B413" s="48">
        <v>-115.9535750760293</v>
      </c>
      <c r="C413" s="48">
        <v>183.94351661511089</v>
      </c>
      <c r="D413" s="47">
        <f t="shared" si="44"/>
        <v>2.1332521802246145</v>
      </c>
    </row>
    <row r="414" spans="1:4" x14ac:dyDescent="0.25">
      <c r="A414" s="36">
        <v>1.8325957145940457</v>
      </c>
      <c r="B414" s="48">
        <v>-124.79731761801025</v>
      </c>
      <c r="C414" s="48">
        <v>181.45566904033885</v>
      </c>
      <c r="D414" s="47">
        <f t="shared" si="44"/>
        <v>2.1732578337761037</v>
      </c>
    </row>
    <row r="415" spans="1:4" x14ac:dyDescent="0.25">
      <c r="A415" s="36">
        <v>1.8500490071139897</v>
      </c>
      <c r="B415" s="48">
        <v>-132.9293035064708</v>
      </c>
      <c r="C415" s="48">
        <v>179.03297210200674</v>
      </c>
      <c r="D415" s="47">
        <f t="shared" si="44"/>
        <v>2.2094704870593445</v>
      </c>
    </row>
    <row r="416" spans="1:4" x14ac:dyDescent="0.25">
      <c r="A416" s="36">
        <v>1.8675022996339328</v>
      </c>
      <c r="B416" s="48">
        <v>-140.39861150881885</v>
      </c>
      <c r="C416" s="48">
        <v>176.68425033856579</v>
      </c>
      <c r="D416" s="47">
        <f t="shared" si="44"/>
        <v>2.2422543103803561</v>
      </c>
    </row>
    <row r="417" spans="1:4" x14ac:dyDescent="0.25">
      <c r="A417" s="36">
        <v>1.8849555921538759</v>
      </c>
      <c r="B417" s="48">
        <v>-147.30264339372482</v>
      </c>
      <c r="C417" s="48">
        <v>174.40051199695782</v>
      </c>
      <c r="D417" s="47">
        <f t="shared" si="44"/>
        <v>2.2721603361126483</v>
      </c>
    </row>
    <row r="418" spans="1:4" x14ac:dyDescent="0.25">
      <c r="A418" s="36">
        <v>1.902408884673819</v>
      </c>
      <c r="B418" s="48">
        <v>-153.7351473324938</v>
      </c>
      <c r="C418" s="48">
        <v>172.06469630256771</v>
      </c>
      <c r="D418" s="47">
        <f t="shared" si="44"/>
        <v>2.2999935832656919</v>
      </c>
    </row>
    <row r="419" spans="1:4" x14ac:dyDescent="0.25">
      <c r="A419" s="36">
        <v>1.919862177193763</v>
      </c>
      <c r="B419" s="48">
        <v>-159.74953112323564</v>
      </c>
      <c r="C419" s="48">
        <v>169.68832859489723</v>
      </c>
      <c r="D419" s="47">
        <f t="shared" si="44"/>
        <v>2.326034678545799</v>
      </c>
    </row>
    <row r="420" spans="1:4" x14ac:dyDescent="0.25">
      <c r="A420" s="36">
        <v>1.9373154697137061</v>
      </c>
      <c r="B420" s="48">
        <v>-165.3842109935899</v>
      </c>
      <c r="C420" s="48">
        <v>167.36688191894382</v>
      </c>
      <c r="D420" s="47">
        <f t="shared" si="44"/>
        <v>2.3502361402285321</v>
      </c>
    </row>
    <row r="421" spans="1:4" x14ac:dyDescent="0.25">
      <c r="A421" s="36">
        <v>1.9547687622336491</v>
      </c>
      <c r="B421" s="48">
        <v>-170.68550053360283</v>
      </c>
      <c r="C421" s="48">
        <v>165.09420197518884</v>
      </c>
      <c r="D421" s="47">
        <f t="shared" si="44"/>
        <v>2.3728446385484352</v>
      </c>
    </row>
    <row r="422" spans="1:4" x14ac:dyDescent="0.25">
      <c r="A422" s="36">
        <v>1.9722220547535922</v>
      </c>
      <c r="B422" s="48">
        <v>-175.69244111666254</v>
      </c>
      <c r="C422" s="48">
        <v>162.86472109032565</v>
      </c>
      <c r="D422" s="47">
        <f t="shared" si="44"/>
        <v>2.3940657516131001</v>
      </c>
    </row>
    <row r="423" spans="1:4" x14ac:dyDescent="0.25">
      <c r="A423" s="36">
        <v>1.9896753472735353</v>
      </c>
      <c r="B423" s="48">
        <v>-180.43820905875648</v>
      </c>
      <c r="C423" s="48">
        <v>160.67336616272132</v>
      </c>
      <c r="D423" s="47">
        <f t="shared" si="44"/>
        <v>2.4140722338912806</v>
      </c>
    </row>
    <row r="424" spans="1:4" x14ac:dyDescent="0.25">
      <c r="A424" s="36">
        <v>2.0071286397934793</v>
      </c>
      <c r="B424" s="48">
        <v>-184.95120573287628</v>
      </c>
      <c r="C424" s="48">
        <v>158.51548131024893</v>
      </c>
      <c r="D424" s="47">
        <f t="shared" si="44"/>
        <v>2.4330104046913288</v>
      </c>
    </row>
    <row r="425" spans="1:4" x14ac:dyDescent="0.25">
      <c r="A425" s="36">
        <v>2.0245819323134224</v>
      </c>
      <c r="B425" s="48">
        <v>-189.2559119991441</v>
      </c>
      <c r="C425" s="48">
        <v>156.38676348956963</v>
      </c>
      <c r="D425" s="47">
        <f t="shared" si="44"/>
        <v>2.4510051261922539</v>
      </c>
    </row>
    <row r="426" spans="1:4" x14ac:dyDescent="0.25">
      <c r="A426" s="36">
        <v>2.0420352248333655</v>
      </c>
      <c r="B426" s="48">
        <v>-193.3735646164323</v>
      </c>
      <c r="C426" s="48">
        <v>154.28320813638629</v>
      </c>
      <c r="D426" s="47">
        <f t="shared" si="44"/>
        <v>2.4681637162470231</v>
      </c>
    </row>
    <row r="427" spans="1:4" x14ac:dyDescent="0.25">
      <c r="A427" s="36">
        <v>2.0594885173533086</v>
      </c>
      <c r="B427" s="48">
        <v>-197.32269677525616</v>
      </c>
      <c r="C427" s="48">
        <v>152.2010628204622</v>
      </c>
      <c r="D427" s="47">
        <f t="shared" si="44"/>
        <v>2.4845790496863001</v>
      </c>
    </row>
    <row r="428" spans="1:4" x14ac:dyDescent="0.25">
      <c r="A428" s="36">
        <v>2.0769418098732526</v>
      </c>
      <c r="B428" s="48">
        <v>-201.11957363993855</v>
      </c>
      <c r="C428" s="48">
        <v>150.13678715939105</v>
      </c>
      <c r="D428" s="47">
        <f t="shared" si="44"/>
        <v>2.500332036464203</v>
      </c>
    </row>
    <row r="429" spans="1:4" x14ac:dyDescent="0.25">
      <c r="A429" s="36">
        <v>2.0943951023931957</v>
      </c>
      <c r="B429" s="48">
        <v>-204.66188134394167</v>
      </c>
      <c r="C429" s="48">
        <v>148.05743263475998</v>
      </c>
      <c r="D429" s="47">
        <f t="shared" si="44"/>
        <v>2.5153178830677727</v>
      </c>
    </row>
    <row r="430" spans="1:4" x14ac:dyDescent="0.25">
      <c r="A430" s="36">
        <v>2.1118483949131388</v>
      </c>
      <c r="B430" s="48">
        <v>-208.0347203146865</v>
      </c>
      <c r="C430" s="48">
        <v>145.98072911235957</v>
      </c>
      <c r="D430" s="47">
        <f t="shared" si="44"/>
        <v>2.5297177519262117</v>
      </c>
    </row>
    <row r="431" spans="1:4" x14ac:dyDescent="0.25">
      <c r="A431" s="36">
        <v>2.1293016874330819</v>
      </c>
      <c r="B431" s="48">
        <v>-211.29059495848563</v>
      </c>
      <c r="C431" s="48">
        <v>143.9143567135188</v>
      </c>
      <c r="D431" s="47">
        <f t="shared" si="44"/>
        <v>2.5436501850812978</v>
      </c>
    </row>
    <row r="432" spans="1:4" x14ac:dyDescent="0.25">
      <c r="A432" s="36">
        <v>2.146754979953025</v>
      </c>
      <c r="B432" s="48">
        <v>-214.43988299918428</v>
      </c>
      <c r="C432" s="48">
        <v>141.85532291474854</v>
      </c>
      <c r="D432" s="47">
        <f t="shared" si="44"/>
        <v>2.5571646723152179</v>
      </c>
    </row>
    <row r="433" spans="1:4" x14ac:dyDescent="0.25">
      <c r="A433" s="36">
        <v>2.164208272472969</v>
      </c>
      <c r="B433" s="48">
        <v>-217.49190794910427</v>
      </c>
      <c r="C433" s="48">
        <v>139.80070931539117</v>
      </c>
      <c r="D433" s="47">
        <f t="shared" si="44"/>
        <v>2.5703056586333175</v>
      </c>
    </row>
    <row r="434" spans="1:4" x14ac:dyDescent="0.25">
      <c r="A434" s="36">
        <v>2.1816615649929121</v>
      </c>
      <c r="B434" s="48">
        <v>-220.45508181140949</v>
      </c>
      <c r="C434" s="48">
        <v>137.74765115919672</v>
      </c>
      <c r="D434" s="47">
        <f t="shared" si="44"/>
        <v>2.5831133033058014</v>
      </c>
    </row>
    <row r="435" spans="1:4" x14ac:dyDescent="0.25">
      <c r="A435" s="36">
        <v>2.1991148575128552</v>
      </c>
      <c r="B435" s="48">
        <v>-222.14994147921672</v>
      </c>
      <c r="C435" s="48">
        <v>136.49262453757646</v>
      </c>
      <c r="D435" s="47">
        <f t="shared" si="44"/>
        <v>2.5906400553533011</v>
      </c>
    </row>
    <row r="436" spans="1:4" x14ac:dyDescent="0.25">
      <c r="A436" s="36">
        <v>2.2165681500327983</v>
      </c>
      <c r="B436" s="48">
        <v>-224.99202346835267</v>
      </c>
      <c r="C436" s="48">
        <v>134.40891513365483</v>
      </c>
      <c r="D436" s="47">
        <f t="shared" si="44"/>
        <v>2.6030914338727729</v>
      </c>
    </row>
    <row r="437" spans="1:4" x14ac:dyDescent="0.25">
      <c r="A437" s="36">
        <v>2.2340214425527423</v>
      </c>
      <c r="B437" s="48">
        <v>-227.76516595602888</v>
      </c>
      <c r="C437" s="48">
        <v>132.31807058565641</v>
      </c>
      <c r="D437" s="47">
        <f t="shared" si="44"/>
        <v>2.6153051900626076</v>
      </c>
    </row>
    <row r="438" spans="1:4" x14ac:dyDescent="0.25">
      <c r="A438" s="36">
        <v>2.2514747350726854</v>
      </c>
      <c r="B438" s="48">
        <v>-230.47525707769785</v>
      </c>
      <c r="C438" s="48">
        <v>130.21721853940971</v>
      </c>
      <c r="D438" s="47">
        <f t="shared" si="44"/>
        <v>2.6273103935836684</v>
      </c>
    </row>
    <row r="439" spans="1:4" x14ac:dyDescent="0.25">
      <c r="A439" s="36">
        <v>2.2689280275926285</v>
      </c>
      <c r="B439" s="48">
        <v>-233.1277175054274</v>
      </c>
      <c r="C439" s="48">
        <v>128.10344829380591</v>
      </c>
      <c r="D439" s="47">
        <f t="shared" si="44"/>
        <v>2.6391341667981525</v>
      </c>
    </row>
    <row r="440" spans="1:4" x14ac:dyDescent="0.25">
      <c r="A440" s="36">
        <v>2.2863813201125716</v>
      </c>
      <c r="B440" s="48">
        <v>-235.7275577070842</v>
      </c>
      <c r="C440" s="48">
        <v>125.97379265899312</v>
      </c>
      <c r="D440" s="47">
        <f t="shared" si="44"/>
        <v>2.6508019923309676</v>
      </c>
    </row>
    <row r="441" spans="1:4" x14ac:dyDescent="0.25">
      <c r="A441" s="36">
        <v>2.3038346126325147</v>
      </c>
      <c r="B441" s="48">
        <v>-238.27942746379253</v>
      </c>
      <c r="C441" s="48">
        <v>123.8252090778267</v>
      </c>
      <c r="D441" s="47">
        <f t="shared" si="44"/>
        <v>2.6623379850776736</v>
      </c>
    </row>
    <row r="442" spans="1:4" x14ac:dyDescent="0.25">
      <c r="A442" s="36">
        <v>2.3212879051524586</v>
      </c>
      <c r="B442" s="48">
        <v>-240.78766099846075</v>
      </c>
      <c r="C442" s="48">
        <v>121.65456064344907</v>
      </c>
      <c r="D442" s="47">
        <f t="shared" si="44"/>
        <v>2.6737651362716024</v>
      </c>
    </row>
    <row r="443" spans="1:4" x14ac:dyDescent="0.25">
      <c r="A443" s="36">
        <v>2.3387411976724017</v>
      </c>
      <c r="B443" s="48">
        <v>-242.46939401266678</v>
      </c>
      <c r="C443" s="48">
        <v>120.2886379132175</v>
      </c>
      <c r="D443" s="47">
        <f t="shared" si="44"/>
        <v>2.6810713272735454</v>
      </c>
    </row>
    <row r="444" spans="1:4" x14ac:dyDescent="0.25">
      <c r="A444" s="36">
        <v>2.3561944901923448</v>
      </c>
      <c r="B444" s="48">
        <v>-244.87367246139638</v>
      </c>
      <c r="C444" s="48">
        <v>118.09216181177972</v>
      </c>
      <c r="D444" s="47">
        <f t="shared" si="44"/>
        <v>2.6922395366295815</v>
      </c>
    </row>
    <row r="445" spans="1:4" x14ac:dyDescent="0.25">
      <c r="A445" s="36">
        <v>2.3736477827122879</v>
      </c>
      <c r="B445" s="48">
        <v>-247.24624918330548</v>
      </c>
      <c r="C445" s="48">
        <v>115.86398369618813</v>
      </c>
      <c r="D445" s="47">
        <f t="shared" si="44"/>
        <v>2.7033645162027584</v>
      </c>
    </row>
    <row r="446" spans="1:4" x14ac:dyDescent="0.25">
      <c r="A446" s="36">
        <v>2.3911010752322319</v>
      </c>
      <c r="B446" s="48">
        <v>-249.59049051750617</v>
      </c>
      <c r="C446" s="48">
        <v>113.60041550117485</v>
      </c>
      <c r="D446" s="47">
        <f t="shared" si="44"/>
        <v>2.7144665580641383</v>
      </c>
    </row>
    <row r="447" spans="1:4" x14ac:dyDescent="0.25">
      <c r="A447" s="36">
        <v>2.408554367752175</v>
      </c>
      <c r="B447" s="48">
        <v>-251.90960377369677</v>
      </c>
      <c r="C447" s="48">
        <v>111.2975564800778</v>
      </c>
      <c r="D447" s="47">
        <f t="shared" si="44"/>
        <v>2.7255658053810983</v>
      </c>
    </row>
    <row r="448" spans="1:4" x14ac:dyDescent="0.25">
      <c r="A448" s="36">
        <v>2.4260076602721181</v>
      </c>
      <c r="B448" s="48">
        <v>-254.20666095757065</v>
      </c>
      <c r="C448" s="48">
        <v>108.95126236350318</v>
      </c>
      <c r="D448" s="47">
        <f t="shared" si="44"/>
        <v>2.7366824208990823</v>
      </c>
    </row>
    <row r="449" spans="1:4" x14ac:dyDescent="0.25">
      <c r="A449" s="36">
        <v>2.4434609527920612</v>
      </c>
      <c r="B449" s="48">
        <v>-256.48461676512972</v>
      </c>
      <c r="C449" s="48">
        <v>106.55710981828332</v>
      </c>
      <c r="D449" s="47">
        <f t="shared" si="44"/>
        <v>2.7478367534345058</v>
      </c>
    </row>
    <row r="450" spans="1:4" x14ac:dyDescent="0.25">
      <c r="A450" s="36">
        <v>2.4609142453120043</v>
      </c>
      <c r="B450" s="48">
        <v>-258.74633009155195</v>
      </c>
      <c r="C450" s="48">
        <v>104.11035795825269</v>
      </c>
      <c r="D450" s="47">
        <f t="shared" ref="D450:D490" si="45">ATAN2(B450,C450)</f>
        <v>2.7590495105676256</v>
      </c>
    </row>
    <row r="451" spans="1:4" x14ac:dyDescent="0.25">
      <c r="A451" s="36">
        <v>2.4783675378319483</v>
      </c>
      <c r="B451" s="48">
        <v>-260.99458107179669</v>
      </c>
      <c r="C451" s="48">
        <v>101.60590383566571</v>
      </c>
      <c r="D451" s="47">
        <f t="shared" si="45"/>
        <v>2.770341936088867</v>
      </c>
    </row>
    <row r="452" spans="1:4" x14ac:dyDescent="0.25">
      <c r="A452" s="36">
        <v>2.4958208303518914</v>
      </c>
      <c r="B452" s="48">
        <v>-263.23208831620258</v>
      </c>
      <c r="C452" s="48">
        <v>99.038232171078391</v>
      </c>
      <c r="D452" s="47">
        <f t="shared" si="45"/>
        <v>2.7817359981132261</v>
      </c>
    </row>
    <row r="453" spans="1:4" x14ac:dyDescent="0.25">
      <c r="A453" s="36">
        <v>2.5132741228718345</v>
      </c>
      <c r="B453" s="48">
        <v>-265.46152537112431</v>
      </c>
      <c r="C453" s="48">
        <v>96.401357840516624</v>
      </c>
      <c r="D453" s="47">
        <f t="shared" si="45"/>
        <v>2.7932545909416104</v>
      </c>
    </row>
    <row r="454" spans="1:4" x14ac:dyDescent="0.25">
      <c r="A454" s="36">
        <v>2.5307274153917776</v>
      </c>
      <c r="B454" s="48">
        <v>-267.68553734677965</v>
      </c>
      <c r="C454" s="48">
        <v>93.688759843467679</v>
      </c>
      <c r="D454" s="47">
        <f t="shared" si="45"/>
        <v>2.8049217553998989</v>
      </c>
    </row>
    <row r="455" spans="1:4" x14ac:dyDescent="0.25">
      <c r="A455" s="36">
        <v>2.5481807079117216</v>
      </c>
      <c r="B455" s="48">
        <v>-269.82244665973838</v>
      </c>
      <c r="C455" s="48">
        <v>90.915770445905963</v>
      </c>
      <c r="D455" s="47">
        <f t="shared" si="45"/>
        <v>2.8165936437790813</v>
      </c>
    </row>
    <row r="456" spans="1:4" x14ac:dyDescent="0.25">
      <c r="A456" s="36">
        <v>2.5656340004316647</v>
      </c>
      <c r="B456" s="48">
        <v>-271.70284879347889</v>
      </c>
      <c r="C456" s="48">
        <v>88.123361694556166</v>
      </c>
      <c r="D456" s="47">
        <f t="shared" si="45"/>
        <v>2.8279602829676347</v>
      </c>
    </row>
    <row r="457" spans="1:4" x14ac:dyDescent="0.25">
      <c r="A457" s="36">
        <v>2.5830872929516078</v>
      </c>
      <c r="B457" s="48">
        <v>-273.58138183572254</v>
      </c>
      <c r="C457" s="48">
        <v>85.237788940340437</v>
      </c>
      <c r="D457" s="47">
        <f t="shared" si="45"/>
        <v>2.8395618068190358</v>
      </c>
    </row>
    <row r="458" spans="1:4" x14ac:dyDescent="0.25">
      <c r="A458" s="36">
        <v>2.6005405854715509</v>
      </c>
      <c r="B458" s="48">
        <v>-275.46059532995497</v>
      </c>
      <c r="C458" s="48">
        <v>82.249907573850038</v>
      </c>
      <c r="D458" s="47">
        <f t="shared" si="45"/>
        <v>2.8514295105496532</v>
      </c>
    </row>
    <row r="459" spans="1:4" x14ac:dyDescent="0.25">
      <c r="A459" s="36">
        <v>2.617993877991494</v>
      </c>
      <c r="B459" s="48">
        <v>-277.34307899917604</v>
      </c>
      <c r="C459" s="48">
        <v>79.149555612848303</v>
      </c>
      <c r="D459" s="47">
        <f t="shared" si="45"/>
        <v>2.8635974516435168</v>
      </c>
    </row>
    <row r="460" spans="1:4" x14ac:dyDescent="0.25">
      <c r="A460" s="36">
        <v>2.635447170511438</v>
      </c>
      <c r="B460" s="48">
        <v>-279.19280383077466</v>
      </c>
      <c r="C460" s="48">
        <v>75.992847300627929</v>
      </c>
      <c r="D460" s="47">
        <f t="shared" si="45"/>
        <v>2.875842890321517</v>
      </c>
    </row>
    <row r="461" spans="1:4" x14ac:dyDescent="0.25">
      <c r="A461" s="36">
        <v>2.6529004630313811</v>
      </c>
      <c r="B461" s="48">
        <v>-280.94662678160387</v>
      </c>
      <c r="C461" s="48">
        <v>72.890536229062775</v>
      </c>
      <c r="D461" s="47">
        <f t="shared" si="45"/>
        <v>2.8877433935412538</v>
      </c>
    </row>
    <row r="462" spans="1:4" x14ac:dyDescent="0.25">
      <c r="A462" s="36">
        <v>2.6703537555513241</v>
      </c>
      <c r="B462" s="48">
        <v>-282.60885518153515</v>
      </c>
      <c r="C462" s="48">
        <v>69.841326325630305</v>
      </c>
      <c r="D462" s="47">
        <f t="shared" si="45"/>
        <v>2.8993163188980593</v>
      </c>
    </row>
    <row r="463" spans="1:4" x14ac:dyDescent="0.25">
      <c r="A463" s="36">
        <v>2.6878070480712672</v>
      </c>
      <c r="B463" s="48">
        <v>-284.18460306522365</v>
      </c>
      <c r="C463" s="48">
        <v>66.841971869992491</v>
      </c>
      <c r="D463" s="47">
        <f t="shared" si="45"/>
        <v>2.9105853226611096</v>
      </c>
    </row>
    <row r="464" spans="1:4" x14ac:dyDescent="0.25">
      <c r="A464" s="36">
        <v>2.7052603405912112</v>
      </c>
      <c r="B464" s="48">
        <v>-285.67857632623446</v>
      </c>
      <c r="C464" s="48">
        <v>63.889395514686946</v>
      </c>
      <c r="D464" s="47">
        <f t="shared" si="45"/>
        <v>2.9215722594557412</v>
      </c>
    </row>
    <row r="465" spans="1:4" x14ac:dyDescent="0.25">
      <c r="A465" s="36">
        <v>2.7227136331111543</v>
      </c>
      <c r="B465" s="48">
        <v>-287.0951083253687</v>
      </c>
      <c r="C465" s="48">
        <v>60.980674311662803</v>
      </c>
      <c r="D465" s="47">
        <f t="shared" si="45"/>
        <v>2.932297365258504</v>
      </c>
    </row>
    <row r="466" spans="1:4" x14ac:dyDescent="0.25">
      <c r="A466" s="36">
        <v>2.7401669256310974</v>
      </c>
      <c r="B466" s="48">
        <v>-288.43819174634262</v>
      </c>
      <c r="C466" s="48">
        <v>58.113026910731129</v>
      </c>
      <c r="D466" s="47">
        <f t="shared" si="45"/>
        <v>2.9427794201199271</v>
      </c>
    </row>
    <row r="467" spans="1:4" x14ac:dyDescent="0.25">
      <c r="A467" s="36">
        <v>2.7576202181510405</v>
      </c>
      <c r="B467" s="48">
        <v>-289.71150713733101</v>
      </c>
      <c r="C467" s="48">
        <v>55.283801804885591</v>
      </c>
      <c r="D467" s="47">
        <f t="shared" si="45"/>
        <v>2.9530358931688698</v>
      </c>
    </row>
    <row r="468" spans="1:4" x14ac:dyDescent="0.25">
      <c r="A468" s="36">
        <v>2.7750735106709836</v>
      </c>
      <c r="B468" s="48">
        <v>-290.91844851879375</v>
      </c>
      <c r="C468" s="48">
        <v>52.490466511499299</v>
      </c>
      <c r="D468" s="47">
        <f t="shared" si="45"/>
        <v>2.9630830721110653</v>
      </c>
    </row>
    <row r="469" spans="1:4" x14ac:dyDescent="0.25">
      <c r="A469" s="36">
        <v>2.7925268031909276</v>
      </c>
      <c r="B469" s="48">
        <v>-292.06214638338292</v>
      </c>
      <c r="C469" s="48">
        <v>49.730597590578242</v>
      </c>
      <c r="D469" s="47">
        <f t="shared" si="45"/>
        <v>2.9729361791385602</v>
      </c>
    </row>
    <row r="470" spans="1:4" x14ac:dyDescent="0.25">
      <c r="A470" s="36">
        <v>2.8099800957108707</v>
      </c>
      <c r="B470" s="48">
        <v>-293.14548837008192</v>
      </c>
      <c r="C470" s="48">
        <v>47.001871411889994</v>
      </c>
      <c r="D470" s="47">
        <f t="shared" si="45"/>
        <v>2.9826094749155674</v>
      </c>
    </row>
    <row r="471" spans="1:4" x14ac:dyDescent="0.25">
      <c r="A471" s="36">
        <v>2.8274333882308138</v>
      </c>
      <c r="B471" s="48">
        <v>-294.17117008350675</v>
      </c>
      <c r="C471" s="48">
        <v>44.302055920497736</v>
      </c>
      <c r="D471" s="47">
        <f t="shared" si="45"/>
        <v>2.9921163671312572</v>
      </c>
    </row>
    <row r="472" spans="1:4" x14ac:dyDescent="0.25">
      <c r="A472" s="36">
        <v>2.8448866807507569</v>
      </c>
      <c r="B472" s="48">
        <v>-294.65574366264849</v>
      </c>
      <c r="C472" s="48">
        <v>43.068628101862892</v>
      </c>
      <c r="D472" s="47">
        <f t="shared" si="45"/>
        <v>2.9964545092876556</v>
      </c>
    </row>
    <row r="473" spans="1:4" x14ac:dyDescent="0.25">
      <c r="A473" s="36">
        <v>2.8623399732707009</v>
      </c>
      <c r="B473" s="48">
        <v>-295.5725138457546</v>
      </c>
      <c r="C473" s="48">
        <v>40.419859757055391</v>
      </c>
      <c r="D473" s="47">
        <f t="shared" si="45"/>
        <v>3.0056845911454819</v>
      </c>
    </row>
    <row r="474" spans="1:4" x14ac:dyDescent="0.25">
      <c r="A474" s="36">
        <v>2.879793265790644</v>
      </c>
      <c r="B474" s="48">
        <v>-296.43840071446982</v>
      </c>
      <c r="C474" s="48">
        <v>37.79376616411264</v>
      </c>
      <c r="D474" s="47">
        <f t="shared" si="45"/>
        <v>3.0147839528422589</v>
      </c>
    </row>
    <row r="475" spans="1:4" x14ac:dyDescent="0.25">
      <c r="A475" s="36">
        <v>2.8972465583105871</v>
      </c>
      <c r="B475" s="48">
        <v>-297.25532119708282</v>
      </c>
      <c r="C475" s="48">
        <v>35.188405001122725</v>
      </c>
      <c r="D475" s="47">
        <f t="shared" si="45"/>
        <v>3.0237632911997774</v>
      </c>
    </row>
    <row r="476" spans="1:4" x14ac:dyDescent="0.25">
      <c r="A476" s="36">
        <v>2.9146998508305302</v>
      </c>
      <c r="B476" s="48">
        <v>-298.02503817251801</v>
      </c>
      <c r="C476" s="48">
        <v>32.601890172535299</v>
      </c>
      <c r="D476" s="47">
        <f t="shared" si="45"/>
        <v>3.0326327861690938</v>
      </c>
    </row>
    <row r="477" spans="1:4" x14ac:dyDescent="0.25">
      <c r="A477" s="36">
        <v>2.9321531433504733</v>
      </c>
      <c r="B477" s="48">
        <v>-298.74916758640711</v>
      </c>
      <c r="C477" s="48">
        <v>30.032385970237986</v>
      </c>
      <c r="D477" s="47">
        <f t="shared" si="45"/>
        <v>3.0414021520791166</v>
      </c>
    </row>
    <row r="478" spans="1:4" x14ac:dyDescent="0.25">
      <c r="A478" s="36">
        <v>2.9496064358704173</v>
      </c>
      <c r="B478" s="48">
        <v>-299.42918918081193</v>
      </c>
      <c r="C478" s="48">
        <v>27.47810157426348</v>
      </c>
      <c r="D478" s="47">
        <f t="shared" si="45"/>
        <v>3.0500806863734731</v>
      </c>
    </row>
    <row r="479" spans="1:4" x14ac:dyDescent="0.25">
      <c r="A479" s="36">
        <v>2.9670597283903604</v>
      </c>
      <c r="B479" s="48">
        <v>-300.06645396661588</v>
      </c>
      <c r="C479" s="48">
        <v>24.937285789162292</v>
      </c>
      <c r="D479" s="47">
        <f t="shared" si="45"/>
        <v>3.0586773137047563</v>
      </c>
    </row>
    <row r="480" spans="1:4" x14ac:dyDescent="0.25">
      <c r="A480" s="36">
        <v>2.9845130209103035</v>
      </c>
      <c r="B480" s="48">
        <v>-300.66219142140005</v>
      </c>
      <c r="C480" s="48">
        <v>22.408222009887997</v>
      </c>
      <c r="D480" s="47">
        <f t="shared" si="45"/>
        <v>3.0672006269504135</v>
      </c>
    </row>
    <row r="481" spans="1:10" x14ac:dyDescent="0.25">
      <c r="A481" s="36">
        <v>3.0019663134302466</v>
      </c>
      <c r="B481" s="48">
        <v>-301.21751591924988</v>
      </c>
      <c r="C481" s="48">
        <v>19.889223379767383</v>
      </c>
      <c r="D481" s="47">
        <f t="shared" si="45"/>
        <v>3.075658925342009</v>
      </c>
    </row>
    <row r="482" spans="1:10" x14ac:dyDescent="0.25">
      <c r="A482" s="36">
        <v>3.0194196059501905</v>
      </c>
      <c r="B482" s="48">
        <v>-301.73343246078895</v>
      </c>
      <c r="C482" s="48">
        <v>17.378628110519223</v>
      </c>
      <c r="D482" s="47">
        <f t="shared" si="45"/>
        <v>3.0840602500790579</v>
      </c>
    </row>
    <row r="483" spans="1:10" x14ac:dyDescent="0.25">
      <c r="A483" s="36">
        <v>3.0368728984701336</v>
      </c>
      <c r="B483" s="48">
        <v>-302.21084176424904</v>
      </c>
      <c r="C483" s="48">
        <v>14.874794935808863</v>
      </c>
      <c r="D483" s="47">
        <f t="shared" si="45"/>
        <v>3.0924124177611372</v>
      </c>
    </row>
    <row r="484" spans="1:10" x14ac:dyDescent="0.25">
      <c r="A484" s="36">
        <v>3.0543261909900767</v>
      </c>
      <c r="B484" s="48">
        <v>-302.65054467975023</v>
      </c>
      <c r="C484" s="48">
        <v>12.376098670342218</v>
      </c>
      <c r="D484" s="47">
        <f t="shared" si="45"/>
        <v>3.1007230519296303</v>
      </c>
    </row>
    <row r="485" spans="1:10" x14ac:dyDescent="0.25">
      <c r="A485" s="36">
        <v>3.0717794835100198</v>
      </c>
      <c r="B485" s="48">
        <v>-303.05324619571485</v>
      </c>
      <c r="C485" s="48">
        <v>9.8809258498795458</v>
      </c>
      <c r="D485" s="47">
        <f t="shared" si="45"/>
        <v>3.1089996130284834</v>
      </c>
    </row>
    <row r="486" spans="1:10" x14ac:dyDescent="0.25">
      <c r="A486" s="36">
        <v>3.0892327760299629</v>
      </c>
      <c r="B486" s="48">
        <v>-303.41955858134855</v>
      </c>
      <c r="C486" s="48">
        <v>7.3876704227121941</v>
      </c>
      <c r="D486" s="47">
        <f t="shared" si="45"/>
        <v>3.1172494269815614</v>
      </c>
    </row>
    <row r="487" spans="1:10" x14ac:dyDescent="0.25">
      <c r="A487" s="36">
        <v>3.1066860685499069</v>
      </c>
      <c r="B487" s="48">
        <v>-303.75000503496034</v>
      </c>
      <c r="C487" s="48">
        <v>4.8947294768441916</v>
      </c>
      <c r="D487" s="47">
        <f t="shared" si="45"/>
        <v>3.1254797127262632</v>
      </c>
    </row>
    <row r="488" spans="1:10" x14ac:dyDescent="0.25">
      <c r="A488" s="36">
        <v>3.12413936106985</v>
      </c>
      <c r="B488" s="48">
        <v>-304.04316241020854</v>
      </c>
      <c r="C488" s="48">
        <v>2.401386889028148</v>
      </c>
      <c r="D488" s="47">
        <f t="shared" si="45"/>
        <v>3.1336946402351913</v>
      </c>
    </row>
    <row r="489" spans="1:10" x14ac:dyDescent="0.25">
      <c r="A489" s="36">
        <v>3.1415926535897931</v>
      </c>
      <c r="B489" s="48">
        <v>-304.10279228703155</v>
      </c>
      <c r="C489" s="48">
        <v>3.3408333458351464E-14</v>
      </c>
      <c r="D489" s="47">
        <f t="shared" si="45"/>
        <v>3.1415926535897931</v>
      </c>
    </row>
    <row r="490" spans="1:10" x14ac:dyDescent="0.25">
      <c r="A490" s="37"/>
      <c r="B490" s="48">
        <f>B129</f>
        <v>-304.10279228703126</v>
      </c>
      <c r="C490" s="48">
        <f>C129</f>
        <v>-3.2638578827944657E-14</v>
      </c>
      <c r="D490" s="47">
        <f t="shared" si="45"/>
        <v>-3.1415926535897931</v>
      </c>
    </row>
    <row r="492" spans="1:10" x14ac:dyDescent="0.25">
      <c r="B492" s="7">
        <f>SUM(B129:B490)</f>
        <v>-608.20558457405832</v>
      </c>
      <c r="C492" s="7">
        <f>SUM(C129:C490)</f>
        <v>-6.3916279676353335E-13</v>
      </c>
    </row>
    <row r="493" spans="1:10" x14ac:dyDescent="0.25">
      <c r="B493">
        <f>COUNT(B129:B490)</f>
        <v>362</v>
      </c>
      <c r="C493">
        <f>COUNT(C129:C490)</f>
        <v>362</v>
      </c>
    </row>
    <row r="494" spans="1:10" x14ac:dyDescent="0.25">
      <c r="B494">
        <f>B492/B493</f>
        <v>-1.6801259242377302</v>
      </c>
      <c r="C494">
        <f>C492/C493</f>
        <v>-1.7656430849821363E-15</v>
      </c>
      <c r="E494">
        <f>SQRT((B494*B494)+(C494*C494))</f>
        <v>1.6801259242377302</v>
      </c>
      <c r="F494">
        <f>B494/E494</f>
        <v>-1</v>
      </c>
      <c r="G494">
        <f>C494/E494</f>
        <v>-1.050899256722799E-15</v>
      </c>
      <c r="I494" s="82">
        <f>T112-F494</f>
        <v>7.2940337886409967E-2</v>
      </c>
      <c r="J494" s="82">
        <f>U112-G494</f>
        <v>0.37491383394299699</v>
      </c>
    </row>
    <row r="495" spans="1:10" x14ac:dyDescent="0.25">
      <c r="I495" s="82">
        <f ca="1">N112-F494</f>
        <v>0</v>
      </c>
      <c r="J495" s="82">
        <f ca="1">O112-G494</f>
        <v>1.1607579436723701E-15</v>
      </c>
    </row>
    <row r="496" spans="1:10" x14ac:dyDescent="0.25">
      <c r="B496" s="6"/>
      <c r="C496" s="6"/>
    </row>
    <row r="498" spans="2:3" x14ac:dyDescent="0.25">
      <c r="B498" s="6"/>
      <c r="C498" s="6"/>
    </row>
  </sheetData>
  <dataValidations count="1">
    <dataValidation type="list" allowBlank="1" showInputMessage="1" showErrorMessage="1" sqref="S5" xr:uid="{B4F356A9-89A3-48E9-9DEB-FAC7826A98CE}">
      <formula1>"0,3,4"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l_in_bar_table">
                <anchor moveWithCells="1" sizeWithCells="1">
                  <from>
                    <xdr:col>18</xdr:col>
                    <xdr:colOff>180975</xdr:colOff>
                    <xdr:row>20</xdr:row>
                    <xdr:rowOff>104775</xdr:rowOff>
                  </from>
                  <to>
                    <xdr:col>19</xdr:col>
                    <xdr:colOff>828675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bisection_method_for_na_3dvector">
                <anchor moveWithCells="1" sizeWithCells="1">
                  <from>
                    <xdr:col>14</xdr:col>
                    <xdr:colOff>447675</xdr:colOff>
                    <xdr:row>122</xdr:row>
                    <xdr:rowOff>66675</xdr:rowOff>
                  </from>
                  <to>
                    <xdr:col>18</xdr:col>
                    <xdr:colOff>266700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mx_my_surface">
                <anchor moveWithCells="1" sizeWithCells="1">
                  <from>
                    <xdr:col>19</xdr:col>
                    <xdr:colOff>38100</xdr:colOff>
                    <xdr:row>122</xdr:row>
                    <xdr:rowOff>76200</xdr:rowOff>
                  </from>
                  <to>
                    <xdr:col>21</xdr:col>
                    <xdr:colOff>266700</xdr:colOff>
                    <xdr:row>125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 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F45B-A07A-45A2-96E6-A66E79875037}">
  <sheetPr codeName="Sheet3"/>
  <dimension ref="A1:AK1866"/>
  <sheetViews>
    <sheetView topLeftCell="F1" workbookViewId="0">
      <selection activeCell="I6" sqref="I6"/>
    </sheetView>
  </sheetViews>
  <sheetFormatPr defaultColWidth="8.85546875" defaultRowHeight="15" x14ac:dyDescent="0.25"/>
  <sheetData>
    <row r="1" spans="1:27" x14ac:dyDescent="0.25">
      <c r="A1" t="s">
        <v>140</v>
      </c>
      <c r="I1" t="s">
        <v>141</v>
      </c>
      <c r="J1" t="s">
        <v>142</v>
      </c>
      <c r="K1" t="s">
        <v>143</v>
      </c>
      <c r="L1" t="s">
        <v>144</v>
      </c>
      <c r="M1" t="s">
        <v>145</v>
      </c>
      <c r="N1" t="s">
        <v>145</v>
      </c>
    </row>
    <row r="2" spans="1:27" x14ac:dyDescent="0.25">
      <c r="A2" t="s">
        <v>0</v>
      </c>
      <c r="B2" t="s">
        <v>1</v>
      </c>
      <c r="C2" t="s">
        <v>146</v>
      </c>
      <c r="E2" t="s">
        <v>37</v>
      </c>
      <c r="F2" t="s">
        <v>38</v>
      </c>
      <c r="I2" s="1">
        <f>COS(J6)*COS(K6)</f>
        <v>-1</v>
      </c>
      <c r="J2" s="1">
        <f>(COS(K6)*-1*SIN(J6)*-1*SIN(I6))+(SIN(K6)*COS(I6))</f>
        <v>8.6631078042610633E-17</v>
      </c>
      <c r="K2" s="1">
        <f>-1*SIN(K6)*COS(J6)</f>
        <v>0</v>
      </c>
      <c r="L2" s="1">
        <f>(-1*SIN(K6)*-1*SIN(J6)*-1*SIN(I6))+(COS(K6)*COS(I6))</f>
        <v>0.70710678118654757</v>
      </c>
      <c r="M2" s="1">
        <f>SIN(J6)</f>
        <v>1.22514845490862E-16</v>
      </c>
      <c r="N2" s="1">
        <f>COS(J6)*-1*SIN(I6)</f>
        <v>0.70710678118654746</v>
      </c>
      <c r="R2">
        <f>MAX(A19:C1866)</f>
        <v>1576.3696</v>
      </c>
      <c r="S2" cm="1">
        <f t="array" ref="S2">MAX(ABS(R2:R3))</f>
        <v>1576.3696</v>
      </c>
      <c r="T2">
        <f>ROUNDUP(S2,0)+30</f>
        <v>1607</v>
      </c>
      <c r="U2">
        <f>T2</f>
        <v>1607</v>
      </c>
      <c r="AA2" s="78" t="s">
        <v>147</v>
      </c>
    </row>
    <row r="3" spans="1:27" x14ac:dyDescent="0.25">
      <c r="A3">
        <f>MIN(A19:A1866)-100</f>
        <v>-673.84902497255882</v>
      </c>
      <c r="B3">
        <v>0</v>
      </c>
      <c r="C3">
        <v>0</v>
      </c>
      <c r="E3">
        <f>($I$2*A3)+($K$2*B3)+($M$2*C3)</f>
        <v>673.84902497255882</v>
      </c>
      <c r="F3">
        <f>($J$2*A3)+($L$2*B3)+($N$2*C3)</f>
        <v>-5.837626747133482E-14</v>
      </c>
      <c r="R3">
        <f>MIN(A19:C1866)</f>
        <v>-573.84902497255882</v>
      </c>
      <c r="T3">
        <f>T2*-1</f>
        <v>-1607</v>
      </c>
      <c r="U3">
        <f>U2*-1</f>
        <v>-1607</v>
      </c>
    </row>
    <row r="4" spans="1:27" x14ac:dyDescent="0.25">
      <c r="A4">
        <f>MAX(A19:A1866)+100</f>
        <v>673.84902497255905</v>
      </c>
      <c r="B4">
        <v>0</v>
      </c>
      <c r="C4">
        <v>0</v>
      </c>
      <c r="E4">
        <f>($I$2*A4)+($K$2*B4)+($M$2*C4)</f>
        <v>-673.84902497255905</v>
      </c>
      <c r="F4">
        <f>($J$2*A4)+($L$2*B4)+($N$2*C4)</f>
        <v>5.8376267471334845E-14</v>
      </c>
      <c r="I4" s="78" t="s">
        <v>147</v>
      </c>
      <c r="J4" s="78" t="s">
        <v>148</v>
      </c>
      <c r="K4" s="78" t="s">
        <v>149</v>
      </c>
      <c r="AA4" s="78" t="s">
        <v>148</v>
      </c>
    </row>
    <row r="5" spans="1:27" x14ac:dyDescent="0.25">
      <c r="I5" s="54">
        <v>45</v>
      </c>
      <c r="J5" s="54">
        <v>180</v>
      </c>
      <c r="K5" s="54">
        <v>0</v>
      </c>
      <c r="L5" t="s">
        <v>150</v>
      </c>
      <c r="M5" s="66" t="s">
        <v>154</v>
      </c>
      <c r="N5" s="66"/>
      <c r="O5" s="66"/>
    </row>
    <row r="6" spans="1:27" x14ac:dyDescent="0.25">
      <c r="A6" t="s">
        <v>151</v>
      </c>
      <c r="I6" s="1">
        <f>RADIANS(I5)</f>
        <v>0.78539816339744828</v>
      </c>
      <c r="J6" s="1">
        <f t="shared" ref="J6:K6" si="0">RADIANS(J5)</f>
        <v>3.1415926535897931</v>
      </c>
      <c r="K6" s="1">
        <f t="shared" si="0"/>
        <v>0</v>
      </c>
      <c r="L6" t="s">
        <v>136</v>
      </c>
      <c r="AA6" s="78" t="s">
        <v>149</v>
      </c>
    </row>
    <row r="7" spans="1:27" x14ac:dyDescent="0.25">
      <c r="A7" t="s">
        <v>0</v>
      </c>
      <c r="B7" t="s">
        <v>1</v>
      </c>
      <c r="C7" t="s">
        <v>146</v>
      </c>
      <c r="E7" t="s">
        <v>37</v>
      </c>
      <c r="F7" t="s">
        <v>38</v>
      </c>
    </row>
    <row r="8" spans="1:27" x14ac:dyDescent="0.25">
      <c r="A8">
        <v>0</v>
      </c>
      <c r="B8">
        <f>MIN(B19:B1866)-100</f>
        <v>-443.8095181690187</v>
      </c>
      <c r="C8">
        <v>0</v>
      </c>
      <c r="E8">
        <f>($I$2*A8)+($K$2*B8)+($M$2*C8)</f>
        <v>0</v>
      </c>
      <c r="F8">
        <f>($J$2*A8)+($L$2*B8)+($N$2*C8)</f>
        <v>-313.82071985244744</v>
      </c>
    </row>
    <row r="9" spans="1:27" x14ac:dyDescent="0.25">
      <c r="A9">
        <v>0</v>
      </c>
      <c r="B9">
        <f>MAX(B19:B1866)+100</f>
        <v>443.8095181690187</v>
      </c>
      <c r="C9">
        <v>0</v>
      </c>
      <c r="E9">
        <f>($I$2*A9)+($K$2*B9)+($M$2*C9)</f>
        <v>0</v>
      </c>
      <c r="F9">
        <f>($J$2*A9)+($L$2*B9)+($N$2*C9)</f>
        <v>313.82071985244744</v>
      </c>
    </row>
    <row r="11" spans="1:27" x14ac:dyDescent="0.25">
      <c r="A11" t="s">
        <v>152</v>
      </c>
    </row>
    <row r="12" spans="1:27" x14ac:dyDescent="0.25">
      <c r="A12" t="s">
        <v>0</v>
      </c>
      <c r="B12" t="s">
        <v>1</v>
      </c>
      <c r="C12" t="s">
        <v>146</v>
      </c>
      <c r="E12" t="s">
        <v>37</v>
      </c>
      <c r="F12" t="s">
        <v>38</v>
      </c>
    </row>
    <row r="13" spans="1:27" x14ac:dyDescent="0.25">
      <c r="A13">
        <v>0</v>
      </c>
      <c r="B13">
        <v>0</v>
      </c>
      <c r="C13">
        <f>MIN(C19:C1866)-100</f>
        <v>-525.6</v>
      </c>
      <c r="E13">
        <f>($I$2*A13)+($K$2*B13)+($M$2*C13)</f>
        <v>-6.4393802789997068E-14</v>
      </c>
      <c r="F13">
        <f>($J$2*A13)+($L$2*B13)+($N$2*C13)</f>
        <v>-371.65532419164936</v>
      </c>
    </row>
    <row r="14" spans="1:27" x14ac:dyDescent="0.25">
      <c r="A14">
        <v>0</v>
      </c>
      <c r="B14">
        <v>0</v>
      </c>
      <c r="C14">
        <f>MAX(C19:C1866)+100</f>
        <v>1676.3696</v>
      </c>
      <c r="E14">
        <f>($I$2*A14)+($K$2*B14)+($M$2*C14)</f>
        <v>2.0538016252957814E-13</v>
      </c>
      <c r="F14">
        <f>($J$2*A14)+($L$2*B14)+($N$2*C14)</f>
        <v>1185.3723119349802</v>
      </c>
    </row>
    <row r="17" spans="1:37" x14ac:dyDescent="0.25">
      <c r="A17" t="s">
        <v>153</v>
      </c>
      <c r="Y17" t="s">
        <v>158</v>
      </c>
      <c r="AF17" t="s">
        <v>173</v>
      </c>
    </row>
    <row r="18" spans="1:37" x14ac:dyDescent="0.25">
      <c r="A18" t="s">
        <v>0</v>
      </c>
      <c r="B18" t="s">
        <v>1</v>
      </c>
      <c r="C18" t="s">
        <v>146</v>
      </c>
      <c r="E18" t="s">
        <v>37</v>
      </c>
      <c r="F18" t="s">
        <v>38</v>
      </c>
      <c r="H18">
        <v>0</v>
      </c>
      <c r="I18">
        <v>0</v>
      </c>
      <c r="J18">
        <v>0</v>
      </c>
      <c r="L18">
        <f>($I$2*H18)+($K$2*I18)+($M$2*J18)</f>
        <v>0</v>
      </c>
      <c r="M18">
        <f>($J$2*H18)+($L$2*I18)+($N$2*J18)</f>
        <v>0</v>
      </c>
      <c r="Y18" t="s">
        <v>0</v>
      </c>
      <c r="Z18" t="s">
        <v>1</v>
      </c>
      <c r="AA18" t="s">
        <v>146</v>
      </c>
      <c r="AC18" t="s">
        <v>37</v>
      </c>
      <c r="AD18" t="s">
        <v>38</v>
      </c>
      <c r="AF18" t="s">
        <v>0</v>
      </c>
      <c r="AG18" t="s">
        <v>1</v>
      </c>
      <c r="AH18" t="s">
        <v>146</v>
      </c>
      <c r="AJ18" t="s">
        <v>37</v>
      </c>
      <c r="AK18" t="s">
        <v>38</v>
      </c>
    </row>
    <row r="19" spans="1:37" x14ac:dyDescent="0.25">
      <c r="A19">
        <v>-0.99949988499448228</v>
      </c>
      <c r="B19">
        <v>-3.8724908140194938E-14</v>
      </c>
      <c r="C19">
        <v>-425.6</v>
      </c>
      <c r="E19">
        <f>($I$2*A19)+($K$2*B19)+($M$2*C19)</f>
        <v>0.9994998849944301</v>
      </c>
      <c r="F19">
        <f>($J$2*A19)+($L$2*B19)+($N$2*C19)</f>
        <v>-300.9446460729946</v>
      </c>
      <c r="H19">
        <f>'Cross Section Analysis'!B119</f>
        <v>-136</v>
      </c>
      <c r="I19">
        <f>'Cross Section Analysis'!B120</f>
        <v>55</v>
      </c>
      <c r="J19">
        <f>'Cross Section Analysis'!B118</f>
        <v>1576.3696</v>
      </c>
      <c r="L19">
        <f>($I$2*H19)+($K$2*I19)+($M$2*J19)</f>
        <v>136.0000000000002</v>
      </c>
      <c r="M19">
        <f>($J$2*H19)+($L$2*I19)+($N$2*J19)</f>
        <v>1153.5525067815854</v>
      </c>
      <c r="Y19" t="e">
        <v>#N/A</v>
      </c>
      <c r="Z19" t="e">
        <v>#N/A</v>
      </c>
      <c r="AA19" t="e">
        <v>#N/A</v>
      </c>
      <c r="AC19" t="e">
        <f>($I$2*Y19)+($K$2*Z19)+($M$2*AA19)</f>
        <v>#N/A</v>
      </c>
      <c r="AD19" t="e">
        <f>($J$2*Y19)+($L$2*Z19)+($N$2*AA19)</f>
        <v>#N/A</v>
      </c>
      <c r="AF19">
        <f>'Cross Section Analysis'!B129</f>
        <v>-304.10279228703126</v>
      </c>
      <c r="AG19">
        <f>'Cross Section Analysis'!C129</f>
        <v>-3.2638578827944657E-14</v>
      </c>
      <c r="AH19">
        <f>'Cross Section Analysis'!$B$118</f>
        <v>1576.3696</v>
      </c>
      <c r="AJ19">
        <f>($I$2*AF19)+($K$2*AG19)+($M$2*AH19)</f>
        <v>304.10279228703143</v>
      </c>
      <c r="AK19">
        <f>($J$2*AF19)+($L$2*AG19)+($N$2*AH19)</f>
        <v>1114.6616338163253</v>
      </c>
    </row>
    <row r="20" spans="1:37" x14ac:dyDescent="0.25">
      <c r="A20">
        <v>-0.9953081859631342</v>
      </c>
      <c r="B20">
        <v>-0.61298369641220418</v>
      </c>
      <c r="C20">
        <v>-425.6</v>
      </c>
      <c r="E20">
        <f t="shared" ref="E20:E83" si="1">($I$2*A20)+($K$2*B20)+($M$2*C20)</f>
        <v>0.99530818596308201</v>
      </c>
      <c r="F20">
        <f t="shared" ref="F20:F83" si="2">($J$2*A20)+($L$2*B20)+($N$2*C20)</f>
        <v>-301.37809100148445</v>
      </c>
      <c r="H20" s="6">
        <f ca="1">'Cross Section Analysis'!J114</f>
        <v>-304.10279228703155</v>
      </c>
      <c r="I20" s="6">
        <f ca="1">'Cross Section Analysis'!J115</f>
        <v>3.3408333458351464E-14</v>
      </c>
      <c r="J20">
        <f ca="1">'Cross Section Analysis'!J116</f>
        <v>1576.3696005381112</v>
      </c>
      <c r="L20">
        <f ca="1">($I$2*H20)+($K$2*I20)+($M$2*J20)</f>
        <v>304.10279228703172</v>
      </c>
      <c r="M20">
        <f ca="1">($J$2*H20)+($L$2*I20)+($N$2*J20)</f>
        <v>1114.6616341968274</v>
      </c>
      <c r="Y20" t="e">
        <v>#N/A</v>
      </c>
      <c r="Z20" t="e">
        <v>#N/A</v>
      </c>
      <c r="AA20" t="e">
        <v>#N/A</v>
      </c>
      <c r="AC20" t="e">
        <f t="shared" ref="AC20:AC38" si="3">($I$2*Y20)+($K$2*Z20)+($M$2*AA20)</f>
        <v>#N/A</v>
      </c>
      <c r="AD20" t="e">
        <f t="shared" ref="AD20:AD38" si="4">($J$2*Y20)+($L$2*Z20)+($N$2*AA20)</f>
        <v>#N/A</v>
      </c>
      <c r="AF20">
        <f>'Cross Section Analysis'!B130</f>
        <v>-304.04316241020837</v>
      </c>
      <c r="AG20">
        <f>'Cross Section Analysis'!C130</f>
        <v>-2.401386889028096</v>
      </c>
      <c r="AH20">
        <f>'Cross Section Analysis'!$B$118</f>
        <v>1576.3696</v>
      </c>
      <c r="AJ20">
        <f t="shared" ref="AJ20:AJ83" si="5">($I$2*AF20)+($K$2*AG20)+($M$2*AH20)</f>
        <v>304.04316241020854</v>
      </c>
      <c r="AK20">
        <f t="shared" ref="AK20:AK83" si="6">($J$2*AF20)+($L$2*AG20)+($N$2*AH20)</f>
        <v>1112.9635968628411</v>
      </c>
    </row>
    <row r="21" spans="1:37" x14ac:dyDescent="0.25">
      <c r="A21">
        <v>-0.99333844137204386</v>
      </c>
      <c r="B21">
        <v>-0.62885448300797309</v>
      </c>
      <c r="C21">
        <v>-425.6</v>
      </c>
      <c r="E21">
        <f t="shared" si="1"/>
        <v>0.99333844137199168</v>
      </c>
      <c r="F21">
        <f t="shared" si="2"/>
        <v>-301.38931334230909</v>
      </c>
      <c r="Y21" t="e">
        <v>#N/A</v>
      </c>
      <c r="Z21" t="e">
        <v>#N/A</v>
      </c>
      <c r="AA21" t="e">
        <v>#N/A</v>
      </c>
      <c r="AC21" t="e">
        <f t="shared" si="3"/>
        <v>#N/A</v>
      </c>
      <c r="AD21" t="e">
        <f t="shared" si="4"/>
        <v>#N/A</v>
      </c>
      <c r="AF21">
        <f>'Cross Section Analysis'!B131</f>
        <v>-303.75000503496034</v>
      </c>
      <c r="AG21">
        <f>'Cross Section Analysis'!C131</f>
        <v>-4.8947294768442235</v>
      </c>
      <c r="AH21">
        <f>'Cross Section Analysis'!$B$118</f>
        <v>1576.3696</v>
      </c>
      <c r="AJ21">
        <f t="shared" si="5"/>
        <v>303.75000503496051</v>
      </c>
      <c r="AK21">
        <f t="shared" si="6"/>
        <v>1111.200537411175</v>
      </c>
    </row>
    <row r="22" spans="1:37" x14ac:dyDescent="0.25">
      <c r="A22">
        <v>-0.99177872840715631</v>
      </c>
      <c r="B22">
        <v>-0.63598892721072442</v>
      </c>
      <c r="C22">
        <v>-425.6</v>
      </c>
      <c r="E22">
        <f t="shared" si="1"/>
        <v>0.99177872840710413</v>
      </c>
      <c r="F22">
        <f t="shared" si="2"/>
        <v>-301.39435815618486</v>
      </c>
      <c r="Y22">
        <v>-71.674148926841852</v>
      </c>
      <c r="Z22">
        <v>28.985860035483515</v>
      </c>
      <c r="AA22">
        <v>-346.38500864511644</v>
      </c>
      <c r="AC22">
        <f t="shared" si="3"/>
        <v>71.674148926841809</v>
      </c>
      <c r="AD22">
        <f t="shared" si="4"/>
        <v>-224.4350903247082</v>
      </c>
      <c r="AF22">
        <f>'Cross Section Analysis'!B132</f>
        <v>-303.41955858134827</v>
      </c>
      <c r="AG22">
        <f>'Cross Section Analysis'!C132</f>
        <v>-7.3876704227121763</v>
      </c>
      <c r="AH22">
        <f>'Cross Section Analysis'!$B$118</f>
        <v>1576.3696</v>
      </c>
      <c r="AJ22">
        <f t="shared" si="5"/>
        <v>303.41955858134844</v>
      </c>
      <c r="AK22">
        <f t="shared" si="6"/>
        <v>1109.4377619632542</v>
      </c>
    </row>
    <row r="23" spans="1:37" x14ac:dyDescent="0.25">
      <c r="A23">
        <v>-0.99042517292015009</v>
      </c>
      <c r="B23">
        <v>-0.64034892856300996</v>
      </c>
      <c r="C23">
        <v>-425.6</v>
      </c>
      <c r="E23">
        <f t="shared" si="1"/>
        <v>0.99042517292009791</v>
      </c>
      <c r="F23">
        <f t="shared" si="2"/>
        <v>-301.39744114270707</v>
      </c>
      <c r="Y23">
        <v>-92.082666137352902</v>
      </c>
      <c r="Z23">
        <v>37.239320411951141</v>
      </c>
      <c r="AA23">
        <v>-319.68026039762702</v>
      </c>
      <c r="AC23">
        <f t="shared" si="3"/>
        <v>92.082666137352859</v>
      </c>
      <c r="AD23">
        <f t="shared" si="4"/>
        <v>-199.71590394857409</v>
      </c>
      <c r="AF23">
        <f>'Cross Section Analysis'!B133</f>
        <v>-303.05324619571508</v>
      </c>
      <c r="AG23">
        <f>'Cross Section Analysis'!C133</f>
        <v>-9.88092584987956</v>
      </c>
      <c r="AH23">
        <f>'Cross Section Analysis'!$B$118</f>
        <v>1576.3696</v>
      </c>
      <c r="AJ23">
        <f t="shared" si="5"/>
        <v>303.05324619571525</v>
      </c>
      <c r="AK23">
        <f t="shared" si="6"/>
        <v>1107.674764143474</v>
      </c>
    </row>
    <row r="24" spans="1:37" x14ac:dyDescent="0.25">
      <c r="A24">
        <v>-0.98915640685551287</v>
      </c>
      <c r="B24">
        <v>-0.64341251191573345</v>
      </c>
      <c r="C24">
        <v>-425.6</v>
      </c>
      <c r="E24">
        <f t="shared" si="1"/>
        <v>0.98915640685546069</v>
      </c>
      <c r="F24">
        <f t="shared" si="2"/>
        <v>-301.39960742327048</v>
      </c>
      <c r="Y24">
        <v>-112.76322760750085</v>
      </c>
      <c r="Z24">
        <v>45.602775961750538</v>
      </c>
      <c r="AA24">
        <v>-292.97536000364062</v>
      </c>
      <c r="AC24">
        <f t="shared" si="3"/>
        <v>112.76322760750081</v>
      </c>
      <c r="AD24">
        <f t="shared" si="4"/>
        <v>-174.91883165565957</v>
      </c>
      <c r="AF24">
        <f>'Cross Section Analysis'!B134</f>
        <v>-302.65054467975017</v>
      </c>
      <c r="AG24">
        <f>'Cross Section Analysis'!C134</f>
        <v>-12.376098670342206</v>
      </c>
      <c r="AH24">
        <f>'Cross Section Analysis'!$B$118</f>
        <v>1576.3696</v>
      </c>
      <c r="AJ24">
        <f t="shared" si="5"/>
        <v>302.65054467975034</v>
      </c>
      <c r="AK24">
        <f t="shared" si="6"/>
        <v>1105.9104105218926</v>
      </c>
    </row>
    <row r="25" spans="1:37" x14ac:dyDescent="0.25">
      <c r="A25">
        <v>-0.98793428574098319</v>
      </c>
      <c r="B25">
        <v>-0.64576813295777669</v>
      </c>
      <c r="C25">
        <v>-425.6</v>
      </c>
      <c r="E25">
        <f t="shared" si="1"/>
        <v>0.98793428574093101</v>
      </c>
      <c r="F25">
        <f t="shared" si="2"/>
        <v>-301.40127309888322</v>
      </c>
      <c r="Y25">
        <v>-132.67871987135871</v>
      </c>
      <c r="Z25">
        <v>53.656835612529925</v>
      </c>
      <c r="AA25">
        <v>-266.2704320000214</v>
      </c>
      <c r="AC25">
        <f t="shared" si="3"/>
        <v>132.67871987135868</v>
      </c>
      <c r="AD25">
        <f t="shared" si="4"/>
        <v>-150.34051577805485</v>
      </c>
      <c r="AF25">
        <f>'Cross Section Analysis'!B135</f>
        <v>-302.21084176424904</v>
      </c>
      <c r="AG25">
        <f>'Cross Section Analysis'!C135</f>
        <v>-14.874794935808801</v>
      </c>
      <c r="AH25">
        <f>'Cross Section Analysis'!$B$118</f>
        <v>1576.3696</v>
      </c>
      <c r="AJ25">
        <f t="shared" si="5"/>
        <v>302.21084176424921</v>
      </c>
      <c r="AK25">
        <f t="shared" si="6"/>
        <v>1104.1435654484555</v>
      </c>
    </row>
    <row r="26" spans="1:37" x14ac:dyDescent="0.25">
      <c r="A26">
        <v>-0.98671228902014052</v>
      </c>
      <c r="B26">
        <v>-0.64768984862813206</v>
      </c>
      <c r="C26">
        <v>-425.6</v>
      </c>
      <c r="E26">
        <f t="shared" si="1"/>
        <v>0.98671228902008834</v>
      </c>
      <c r="F26">
        <f t="shared" si="2"/>
        <v>-301.40263195706524</v>
      </c>
      <c r="Y26">
        <v>-152.6526220380855</v>
      </c>
      <c r="Z26">
        <v>61.734514122279101</v>
      </c>
      <c r="AA26">
        <v>-239.56550399998181</v>
      </c>
      <c r="AC26">
        <f t="shared" si="3"/>
        <v>152.65262203808547</v>
      </c>
      <c r="AD26">
        <f t="shared" si="4"/>
        <v>-125.74549884763987</v>
      </c>
      <c r="AF26">
        <f>'Cross Section Analysis'!B136</f>
        <v>-301.73343246078866</v>
      </c>
      <c r="AG26">
        <f>'Cross Section Analysis'!C136</f>
        <v>-17.378628110519294</v>
      </c>
      <c r="AH26">
        <f>'Cross Section Analysis'!$B$118</f>
        <v>1576.3696</v>
      </c>
      <c r="AJ26">
        <f t="shared" si="5"/>
        <v>301.73343246078883</v>
      </c>
      <c r="AK26">
        <f t="shared" si="6"/>
        <v>1102.373088031658</v>
      </c>
    </row>
    <row r="27" spans="1:37" x14ac:dyDescent="0.25">
      <c r="A27">
        <v>-0.98545400116591109</v>
      </c>
      <c r="B27">
        <v>-0.64933142025033108</v>
      </c>
      <c r="C27">
        <v>-425.6</v>
      </c>
      <c r="E27">
        <f t="shared" si="1"/>
        <v>0.98545400116585891</v>
      </c>
      <c r="F27">
        <f t="shared" si="2"/>
        <v>-301.40379272349111</v>
      </c>
      <c r="Y27">
        <v>-170.41733260304323</v>
      </c>
      <c r="Z27">
        <v>68.918774299822928</v>
      </c>
      <c r="AA27">
        <v>-212.86057638356124</v>
      </c>
      <c r="AC27">
        <f t="shared" si="3"/>
        <v>170.41733260304321</v>
      </c>
      <c r="AD27">
        <f t="shared" si="4"/>
        <v>-101.78222434962328</v>
      </c>
      <c r="AF27">
        <f>'Cross Section Analysis'!B137</f>
        <v>-301.2175159192501</v>
      </c>
      <c r="AG27">
        <f>'Cross Section Analysis'!C137</f>
        <v>-19.889223379767387</v>
      </c>
      <c r="AH27">
        <f>'Cross Section Analysis'!$B$118</f>
        <v>1576.3696</v>
      </c>
      <c r="AJ27">
        <f t="shared" si="5"/>
        <v>301.21751591925027</v>
      </c>
      <c r="AK27">
        <f t="shared" si="6"/>
        <v>1100.5978290919577</v>
      </c>
    </row>
    <row r="28" spans="1:37" x14ac:dyDescent="0.25">
      <c r="A28">
        <v>-0.98412050161474107</v>
      </c>
      <c r="B28">
        <v>-0.65078716819978522</v>
      </c>
      <c r="C28">
        <v>-425.6</v>
      </c>
      <c r="E28">
        <f t="shared" si="1"/>
        <v>0.98412050161468889</v>
      </c>
      <c r="F28">
        <f t="shared" si="2"/>
        <v>-301.40482209273785</v>
      </c>
      <c r="Y28">
        <v>-187.18957540215834</v>
      </c>
      <c r="Z28">
        <v>75.701549557169059</v>
      </c>
      <c r="AA28">
        <v>-186.1556475811054</v>
      </c>
      <c r="AC28">
        <f t="shared" si="3"/>
        <v>187.18957540215831</v>
      </c>
      <c r="AD28">
        <f t="shared" si="4"/>
        <v>-78.102841722569025</v>
      </c>
      <c r="AF28">
        <f>'Cross Section Analysis'!B138</f>
        <v>-300.66219142140005</v>
      </c>
      <c r="AG28">
        <f>'Cross Section Analysis'!C138</f>
        <v>-22.408222009888004</v>
      </c>
      <c r="AH28">
        <f>'Cross Section Analysis'!$B$118</f>
        <v>1576.3696</v>
      </c>
      <c r="AJ28">
        <f t="shared" si="5"/>
        <v>300.66219142140022</v>
      </c>
      <c r="AK28">
        <f t="shared" si="6"/>
        <v>1098.8166280787998</v>
      </c>
    </row>
    <row r="29" spans="1:37" x14ac:dyDescent="0.25">
      <c r="A29">
        <v>-0.98266475368853079</v>
      </c>
      <c r="B29">
        <v>-0.65212066785142442</v>
      </c>
      <c r="C29">
        <v>-425.6</v>
      </c>
      <c r="E29">
        <f t="shared" si="1"/>
        <v>0.98266475368847861</v>
      </c>
      <c r="F29">
        <f t="shared" si="2"/>
        <v>-301.40576501938426</v>
      </c>
      <c r="Y29">
        <v>-203.33963128423991</v>
      </c>
      <c r="Z29">
        <v>82.232938132662454</v>
      </c>
      <c r="AA29">
        <v>-159.45072000002088</v>
      </c>
      <c r="AC29">
        <f t="shared" si="3"/>
        <v>203.33963128423989</v>
      </c>
      <c r="AD29">
        <f t="shared" si="4"/>
        <v>-54.601217186592777</v>
      </c>
      <c r="AF29">
        <f>'Cross Section Analysis'!B139</f>
        <v>-300.06645396661571</v>
      </c>
      <c r="AG29">
        <f>'Cross Section Analysis'!C139</f>
        <v>-24.937285789162299</v>
      </c>
      <c r="AH29">
        <f>'Cross Section Analysis'!$B$118</f>
        <v>1576.3696</v>
      </c>
      <c r="AJ29">
        <f t="shared" si="5"/>
        <v>300.06645396661588</v>
      </c>
      <c r="AK29">
        <f t="shared" si="6"/>
        <v>1097.0283099304218</v>
      </c>
    </row>
    <row r="30" spans="1:37" x14ac:dyDescent="0.25">
      <c r="A30">
        <v>-0.98102318206199735</v>
      </c>
      <c r="B30">
        <v>-0.65337895568919635</v>
      </c>
      <c r="C30">
        <v>-425.6</v>
      </c>
      <c r="E30">
        <f t="shared" si="1"/>
        <v>0.98102318206194516</v>
      </c>
      <c r="F30">
        <f t="shared" si="2"/>
        <v>-301.40665476324699</v>
      </c>
      <c r="Y30">
        <v>-220.36210127268859</v>
      </c>
      <c r="Z30">
        <v>89.117026076917497</v>
      </c>
      <c r="AA30">
        <v>-132.74579199995551</v>
      </c>
      <c r="AC30">
        <f t="shared" si="3"/>
        <v>220.36210127268856</v>
      </c>
      <c r="AD30">
        <f t="shared" si="4"/>
        <v>-30.85019623898075</v>
      </c>
      <c r="AF30">
        <f>'Cross Section Analysis'!B140</f>
        <v>-299.42918918081222</v>
      </c>
      <c r="AG30">
        <f>'Cross Section Analysis'!C140</f>
        <v>-27.478101574263572</v>
      </c>
      <c r="AH30">
        <f>'Cross Section Analysis'!$B$118</f>
        <v>1576.3696</v>
      </c>
      <c r="AJ30">
        <f t="shared" si="5"/>
        <v>299.42918918081239</v>
      </c>
      <c r="AK30">
        <f t="shared" si="6"/>
        <v>1095.2316818590307</v>
      </c>
    </row>
    <row r="31" spans="1:37" x14ac:dyDescent="0.25">
      <c r="A31">
        <v>-0.97910140485099795</v>
      </c>
      <c r="B31">
        <v>-0.65460085716204885</v>
      </c>
      <c r="C31">
        <v>-425.6</v>
      </c>
      <c r="E31">
        <f t="shared" si="1"/>
        <v>0.97910140485094577</v>
      </c>
      <c r="F31">
        <f t="shared" si="2"/>
        <v>-301.4075187780644</v>
      </c>
      <c r="Y31">
        <v>-237.40498858667087</v>
      </c>
      <c r="Z31">
        <v>96.009370070257219</v>
      </c>
      <c r="AA31">
        <v>-106.04086400271862</v>
      </c>
      <c r="AC31">
        <f t="shared" si="3"/>
        <v>237.40498858667087</v>
      </c>
      <c r="AD31">
        <f t="shared" si="4"/>
        <v>-7.0933373850751735</v>
      </c>
      <c r="AF31">
        <f>'Cross Section Analysis'!B141</f>
        <v>-298.74916758640734</v>
      </c>
      <c r="AG31">
        <f>'Cross Section Analysis'!C141</f>
        <v>-30.032385970237943</v>
      </c>
      <c r="AH31">
        <f>'Cross Section Analysis'!$B$118</f>
        <v>1576.3696</v>
      </c>
      <c r="AJ31">
        <f t="shared" si="5"/>
        <v>298.74916758640751</v>
      </c>
      <c r="AK31">
        <f t="shared" si="6"/>
        <v>1093.4255300415582</v>
      </c>
    </row>
    <row r="32" spans="1:37" x14ac:dyDescent="0.25">
      <c r="A32">
        <v>-0.97674584852043733</v>
      </c>
      <c r="B32">
        <v>-0.6558230779130706</v>
      </c>
      <c r="C32">
        <v>-425.6</v>
      </c>
      <c r="E32">
        <f t="shared" si="1"/>
        <v>0.97674584852038515</v>
      </c>
      <c r="F32">
        <f t="shared" si="2"/>
        <v>-301.40838301864557</v>
      </c>
      <c r="Y32">
        <v>-254.40725696994477</v>
      </c>
      <c r="Z32">
        <v>102.88528728038071</v>
      </c>
      <c r="AA32">
        <v>-79.335935999885535</v>
      </c>
      <c r="AC32">
        <f t="shared" si="3"/>
        <v>254.40725696994477</v>
      </c>
      <c r="AD32">
        <f t="shared" si="4"/>
        <v>16.651905982982228</v>
      </c>
      <c r="AF32">
        <f>'Cross Section Analysis'!B142</f>
        <v>-298.02503817251818</v>
      </c>
      <c r="AG32">
        <f>'Cross Section Analysis'!C142</f>
        <v>-32.601890172535335</v>
      </c>
      <c r="AH32">
        <f>'Cross Section Analysis'!$B$118</f>
        <v>1576.3696</v>
      </c>
      <c r="AJ32">
        <f t="shared" si="5"/>
        <v>298.02503817251835</v>
      </c>
      <c r="AK32">
        <f t="shared" si="6"/>
        <v>1091.6086161958265</v>
      </c>
    </row>
    <row r="33" spans="1:37" x14ac:dyDescent="0.25">
      <c r="A33">
        <v>-0.97367933510406124</v>
      </c>
      <c r="B33">
        <v>-0.65708686171606412</v>
      </c>
      <c r="C33">
        <v>-425.6</v>
      </c>
      <c r="E33">
        <f t="shared" si="1"/>
        <v>0.97367933510400906</v>
      </c>
      <c r="F33">
        <f t="shared" si="2"/>
        <v>-301.4092766487426</v>
      </c>
      <c r="Y33">
        <v>-270.20108264782334</v>
      </c>
      <c r="Z33">
        <v>109.27249138414345</v>
      </c>
      <c r="AA33">
        <v>-52.631007210735156</v>
      </c>
      <c r="AC33">
        <f t="shared" si="3"/>
        <v>270.20108264782334</v>
      </c>
      <c r="AD33">
        <f t="shared" si="4"/>
        <v>40.051577555487498</v>
      </c>
      <c r="AF33">
        <f>'Cross Section Analysis'!B143</f>
        <v>-297.25532119708282</v>
      </c>
      <c r="AG33">
        <f>'Cross Section Analysis'!C143</f>
        <v>-35.188405001122703</v>
      </c>
      <c r="AH33">
        <f>'Cross Section Analysis'!$B$118</f>
        <v>1576.3696</v>
      </c>
      <c r="AJ33">
        <f t="shared" si="5"/>
        <v>297.25532119708299</v>
      </c>
      <c r="AK33">
        <f t="shared" si="6"/>
        <v>1089.7796740208928</v>
      </c>
    </row>
    <row r="34" spans="1:37" x14ac:dyDescent="0.25">
      <c r="A34">
        <v>-0.96932323231147177</v>
      </c>
      <c r="B34">
        <v>-0.6584468799465546</v>
      </c>
      <c r="C34">
        <v>-425.6</v>
      </c>
      <c r="E34">
        <f t="shared" si="1"/>
        <v>0.96932323231141959</v>
      </c>
      <c r="F34">
        <f t="shared" si="2"/>
        <v>-301.41023832685596</v>
      </c>
      <c r="Y34">
        <v>-284.74569622285918</v>
      </c>
      <c r="Z34">
        <v>115.15461566319937</v>
      </c>
      <c r="AA34">
        <v>-25.926080000032666</v>
      </c>
      <c r="AC34">
        <f t="shared" si="3"/>
        <v>284.74569622285918</v>
      </c>
      <c r="AD34">
        <f t="shared" si="4"/>
        <v>63.094102642770849</v>
      </c>
      <c r="AF34">
        <f>'Cross Section Analysis'!B144</f>
        <v>-296.43840071446971</v>
      </c>
      <c r="AG34">
        <f>'Cross Section Analysis'!C144</f>
        <v>-37.793766164112668</v>
      </c>
      <c r="AH34">
        <f>'Cross Section Analysis'!$B$118</f>
        <v>1576.3696</v>
      </c>
      <c r="AJ34">
        <f t="shared" si="5"/>
        <v>296.43840071446988</v>
      </c>
      <c r="AK34">
        <f t="shared" si="6"/>
        <v>1087.9374054751024</v>
      </c>
    </row>
    <row r="35" spans="1:37" x14ac:dyDescent="0.25">
      <c r="A35">
        <v>-0.96218394105829896</v>
      </c>
      <c r="B35">
        <v>-0.65999872651235081</v>
      </c>
      <c r="C35">
        <v>-425.6</v>
      </c>
      <c r="E35">
        <f t="shared" si="1"/>
        <v>0.96218394105824678</v>
      </c>
      <c r="F35">
        <f t="shared" si="2"/>
        <v>-301.41133564808598</v>
      </c>
      <c r="Y35">
        <v>-298.25308106771763</v>
      </c>
      <c r="Z35">
        <v>120.6168846287394</v>
      </c>
      <c r="AA35">
        <v>0.77884799650207415</v>
      </c>
      <c r="AC35">
        <f t="shared" si="3"/>
        <v>298.25308106771763</v>
      </c>
      <c r="AD35">
        <f t="shared" si="4"/>
        <v>85.839745746417236</v>
      </c>
      <c r="AF35">
        <f>'Cross Section Analysis'!B145</f>
        <v>-295.57251384575534</v>
      </c>
      <c r="AG35">
        <f>'Cross Section Analysis'!C145</f>
        <v>-40.419859757055342</v>
      </c>
      <c r="AH35">
        <f>'Cross Section Analysis'!$B$118</f>
        <v>1576.3696</v>
      </c>
      <c r="AJ35">
        <f t="shared" si="5"/>
        <v>295.57251384575551</v>
      </c>
      <c r="AK35">
        <f t="shared" si="6"/>
        <v>1086.0804768875023</v>
      </c>
    </row>
    <row r="36" spans="1:37" x14ac:dyDescent="0.25">
      <c r="A36">
        <v>-0.94631333765079562</v>
      </c>
      <c r="B36">
        <v>-0.66196926326004302</v>
      </c>
      <c r="C36">
        <v>-425.6</v>
      </c>
      <c r="E36">
        <f t="shared" si="1"/>
        <v>0.94631333765074344</v>
      </c>
      <c r="F36">
        <f t="shared" si="2"/>
        <v>-301.41272902798283</v>
      </c>
      <c r="Y36">
        <v>-307.32960248248884</v>
      </c>
      <c r="Z36">
        <v>124.28792244203714</v>
      </c>
      <c r="AA36">
        <v>27.483775701599892</v>
      </c>
      <c r="AC36">
        <f t="shared" si="3"/>
        <v>307.32960248248884</v>
      </c>
      <c r="AD36">
        <f t="shared" si="4"/>
        <v>107.31879694956346</v>
      </c>
      <c r="AF36">
        <f>'Cross Section Analysis'!B146</f>
        <v>-294.65574366264872</v>
      </c>
      <c r="AG36">
        <f>'Cross Section Analysis'!C146</f>
        <v>-43.068628101862892</v>
      </c>
      <c r="AH36">
        <f>'Cross Section Analysis'!$B$118</f>
        <v>1576.3696</v>
      </c>
      <c r="AJ36">
        <f t="shared" si="5"/>
        <v>294.65574366264889</v>
      </c>
      <c r="AK36">
        <f t="shared" si="6"/>
        <v>1084.2075148290965</v>
      </c>
    </row>
    <row r="37" spans="1:37" x14ac:dyDescent="0.25">
      <c r="A37">
        <v>8.2860698916825308E-15</v>
      </c>
      <c r="B37">
        <v>-0.66642859941625532</v>
      </c>
      <c r="C37">
        <v>-425.6</v>
      </c>
      <c r="E37">
        <f t="shared" si="1"/>
        <v>-6.0428388132593395E-14</v>
      </c>
      <c r="F37">
        <f t="shared" si="2"/>
        <v>-301.41588225481848</v>
      </c>
      <c r="Y37">
        <v>-312.07262659502351</v>
      </c>
      <c r="Z37">
        <v>126.20551344168416</v>
      </c>
      <c r="AA37">
        <v>54.188703938063583</v>
      </c>
      <c r="AC37">
        <f t="shared" si="3"/>
        <v>312.07262659502351</v>
      </c>
      <c r="AD37">
        <f t="shared" si="4"/>
        <v>127.55797439605976</v>
      </c>
      <c r="AF37">
        <f>'Cross Section Analysis'!B147</f>
        <v>-294.17117008350675</v>
      </c>
      <c r="AG37">
        <f>'Cross Section Analysis'!C147</f>
        <v>-44.30205592049775</v>
      </c>
      <c r="AH37">
        <f>'Cross Section Analysis'!$B$118</f>
        <v>1576.3696</v>
      </c>
      <c r="AJ37">
        <f t="shared" si="5"/>
        <v>294.17117008350692</v>
      </c>
      <c r="AK37">
        <f t="shared" si="6"/>
        <v>1083.3353496544357</v>
      </c>
    </row>
    <row r="38" spans="1:37" x14ac:dyDescent="0.25">
      <c r="A38">
        <v>0.9463133376507592</v>
      </c>
      <c r="B38">
        <v>-0.66196926326004124</v>
      </c>
      <c r="C38">
        <v>-425.6</v>
      </c>
      <c r="E38">
        <f t="shared" si="1"/>
        <v>-0.94631333765081138</v>
      </c>
      <c r="F38">
        <f t="shared" si="2"/>
        <v>-301.41272902798283</v>
      </c>
      <c r="Y38">
        <v>-316.90157322568706</v>
      </c>
      <c r="Z38">
        <v>128.15872429948931</v>
      </c>
      <c r="AA38">
        <v>80.893631999938449</v>
      </c>
      <c r="AC38">
        <f t="shared" si="3"/>
        <v>316.90157322568706</v>
      </c>
      <c r="AD38">
        <f t="shared" si="4"/>
        <v>147.82233876235159</v>
      </c>
      <c r="AF38">
        <f>'Cross Section Analysis'!B148</f>
        <v>-293.14548837008181</v>
      </c>
      <c r="AG38">
        <f>'Cross Section Analysis'!C148</f>
        <v>-47.00187141189005</v>
      </c>
      <c r="AH38">
        <f>'Cross Section Analysis'!$B$118</f>
        <v>1576.3696</v>
      </c>
      <c r="AJ38">
        <f t="shared" si="5"/>
        <v>293.14548837008198</v>
      </c>
      <c r="AK38">
        <f t="shared" si="6"/>
        <v>1081.4262918125196</v>
      </c>
    </row>
    <row r="39" spans="1:37" x14ac:dyDescent="0.25">
      <c r="A39">
        <v>0.96218394105830596</v>
      </c>
      <c r="B39">
        <v>-0.65999872651238045</v>
      </c>
      <c r="C39">
        <v>-425.6</v>
      </c>
      <c r="E39">
        <f t="shared" si="1"/>
        <v>-0.96218394105835814</v>
      </c>
      <c r="F39">
        <f t="shared" si="2"/>
        <v>-301.41133564808598</v>
      </c>
      <c r="Y39">
        <v>-321.80798103167729</v>
      </c>
      <c r="Z39">
        <v>130.14293325595719</v>
      </c>
      <c r="AA39">
        <v>107.5985600000019</v>
      </c>
      <c r="AC39">
        <f>($I$2*Y39)+($K$2*Z39)+($M$2*AA39)</f>
        <v>321.80798103167729</v>
      </c>
      <c r="AD39">
        <f>($J$2*Y39)+($L$2*Z39)+($N$2*AA39)</f>
        <v>168.1086220507045</v>
      </c>
      <c r="AF39">
        <f>'Cross Section Analysis'!B149</f>
        <v>-292.06214638338292</v>
      </c>
      <c r="AG39">
        <f>'Cross Section Analysis'!C149</f>
        <v>-49.730597590578419</v>
      </c>
      <c r="AH39">
        <f>'Cross Section Analysis'!$B$118</f>
        <v>1576.3696</v>
      </c>
      <c r="AJ39">
        <f t="shared" si="5"/>
        <v>292.06214638338309</v>
      </c>
      <c r="AK39">
        <f t="shared" si="6"/>
        <v>1079.496791027568</v>
      </c>
    </row>
    <row r="40" spans="1:37" x14ac:dyDescent="0.25">
      <c r="A40">
        <v>0.96932323231149042</v>
      </c>
      <c r="B40">
        <v>-0.65844687994658224</v>
      </c>
      <c r="C40">
        <v>-425.6</v>
      </c>
      <c r="E40">
        <f t="shared" si="1"/>
        <v>-0.9693232323115426</v>
      </c>
      <c r="F40">
        <f t="shared" si="2"/>
        <v>-301.41023832685596</v>
      </c>
      <c r="Y40">
        <v>-326.67134628001924</v>
      </c>
      <c r="Z40">
        <v>132.10974070989329</v>
      </c>
      <c r="AA40">
        <v>134.303487999976</v>
      </c>
      <c r="AC40">
        <f t="shared" ref="AC40:AC43" si="7">($I$2*Y40)+($K$2*Z40)+($M$2*AA40)</f>
        <v>326.67134628001924</v>
      </c>
      <c r="AD40">
        <f t="shared" ref="AD40:AD43" si="8">($J$2*Y40)+($L$2*Z40)+($N$2*AA40)</f>
        <v>188.38260061855115</v>
      </c>
      <c r="AF40">
        <f>'Cross Section Analysis'!B150</f>
        <v>-290.91844851879364</v>
      </c>
      <c r="AG40">
        <f>'Cross Section Analysis'!C150</f>
        <v>-52.4904665114992</v>
      </c>
      <c r="AH40">
        <f>'Cross Section Analysis'!$B$118</f>
        <v>1576.3696</v>
      </c>
      <c r="AJ40">
        <f t="shared" si="5"/>
        <v>290.91844851879381</v>
      </c>
      <c r="AK40">
        <f t="shared" si="6"/>
        <v>1077.5452689983988</v>
      </c>
    </row>
    <row r="41" spans="1:37" x14ac:dyDescent="0.25">
      <c r="A41">
        <v>0.97367933510401261</v>
      </c>
      <c r="B41">
        <v>-0.65708686171602315</v>
      </c>
      <c r="C41">
        <v>-425.6</v>
      </c>
      <c r="E41">
        <f t="shared" si="1"/>
        <v>-0.97367933510406479</v>
      </c>
      <c r="F41">
        <f t="shared" si="2"/>
        <v>-301.4092766487426</v>
      </c>
      <c r="Y41">
        <v>-331.11593074511302</v>
      </c>
      <c r="Z41">
        <v>133.90717699887449</v>
      </c>
      <c r="AA41">
        <v>161.00841599996312</v>
      </c>
      <c r="AC41">
        <f t="shared" si="7"/>
        <v>331.11593074511302</v>
      </c>
      <c r="AD41">
        <f t="shared" si="8"/>
        <v>208.53681568712994</v>
      </c>
      <c r="AF41">
        <f>'Cross Section Analysis'!B151</f>
        <v>-289.71150713733113</v>
      </c>
      <c r="AG41">
        <f>'Cross Section Analysis'!C151</f>
        <v>-55.283801804885591</v>
      </c>
      <c r="AH41">
        <f>'Cross Section Analysis'!$B$118</f>
        <v>1576.3696</v>
      </c>
      <c r="AJ41">
        <f t="shared" si="5"/>
        <v>289.7115071373313</v>
      </c>
      <c r="AK41">
        <f t="shared" si="6"/>
        <v>1075.5700826703176</v>
      </c>
    </row>
    <row r="42" spans="1:37" x14ac:dyDescent="0.25">
      <c r="A42">
        <v>0.97674584852042334</v>
      </c>
      <c r="B42">
        <v>-0.65582307791306615</v>
      </c>
      <c r="C42">
        <v>-425.6</v>
      </c>
      <c r="E42">
        <f t="shared" si="1"/>
        <v>-0.97674584852047552</v>
      </c>
      <c r="F42">
        <f t="shared" si="2"/>
        <v>-301.40838301864557</v>
      </c>
      <c r="Y42">
        <v>-335.50950431058709</v>
      </c>
      <c r="Z42">
        <v>135.68409067999335</v>
      </c>
      <c r="AA42">
        <v>187.7133439999966</v>
      </c>
      <c r="AC42">
        <f t="shared" si="7"/>
        <v>335.50950431058709</v>
      </c>
      <c r="AD42">
        <f t="shared" si="8"/>
        <v>228.67651908055439</v>
      </c>
      <c r="AF42">
        <f>'Cross Section Analysis'!B152</f>
        <v>-288.43819174634314</v>
      </c>
      <c r="AG42">
        <f>'Cross Section Analysis'!C152</f>
        <v>-58.113026910731207</v>
      </c>
      <c r="AH42">
        <f>'Cross Section Analysis'!$B$118</f>
        <v>1576.3696</v>
      </c>
      <c r="AJ42">
        <f t="shared" si="5"/>
        <v>288.43819174634331</v>
      </c>
      <c r="AK42">
        <f t="shared" si="6"/>
        <v>1073.5695184124709</v>
      </c>
    </row>
    <row r="43" spans="1:37" x14ac:dyDescent="0.25">
      <c r="A43">
        <v>0.97910140485097796</v>
      </c>
      <c r="B43">
        <v>-0.65460085716205274</v>
      </c>
      <c r="C43">
        <v>-425.6</v>
      </c>
      <c r="E43">
        <f t="shared" si="1"/>
        <v>-0.97910140485103014</v>
      </c>
      <c r="F43">
        <f t="shared" si="2"/>
        <v>-301.4075187780644</v>
      </c>
      <c r="Y43">
        <v>-337.77873931403713</v>
      </c>
      <c r="Z43">
        <v>136.601690854759</v>
      </c>
      <c r="AA43">
        <v>214.41827200024139</v>
      </c>
      <c r="AC43">
        <f t="shared" si="7"/>
        <v>337.77873931403713</v>
      </c>
      <c r="AD43">
        <f t="shared" si="8"/>
        <v>248.20859606662077</v>
      </c>
      <c r="AF43">
        <f>'Cross Section Analysis'!B153</f>
        <v>-287.09510832536841</v>
      </c>
      <c r="AG43">
        <f>'Cross Section Analysis'!C153</f>
        <v>-60.980674311662824</v>
      </c>
      <c r="AH43">
        <f>'Cross Section Analysis'!$B$118</f>
        <v>1576.3696</v>
      </c>
      <c r="AJ43">
        <f t="shared" si="5"/>
        <v>287.09510832536859</v>
      </c>
      <c r="AK43">
        <f t="shared" si="6"/>
        <v>1071.5417854892203</v>
      </c>
    </row>
    <row r="44" spans="1:37" x14ac:dyDescent="0.25">
      <c r="A44">
        <v>0.98102318206197769</v>
      </c>
      <c r="B44">
        <v>-0.65337895568923454</v>
      </c>
      <c r="C44">
        <v>-425.6</v>
      </c>
      <c r="E44">
        <f t="shared" si="1"/>
        <v>-0.98102318206202987</v>
      </c>
      <c r="F44">
        <f t="shared" si="2"/>
        <v>-301.40665476324705</v>
      </c>
      <c r="Y44">
        <v>-340.18752082996838</v>
      </c>
      <c r="Z44">
        <v>137.575835072334</v>
      </c>
      <c r="AA44">
        <v>241.12320000003774</v>
      </c>
      <c r="AC44">
        <f t="shared" ref="AC44:AC75" si="9">($I$2*Y44)+($K$2*Z44)+($M$2*AA44)</f>
        <v>340.18752082996843</v>
      </c>
      <c r="AD44">
        <f t="shared" ref="AD44:AD75" si="10">($J$2*Y44)+($L$2*Z44)+($N$2*AA44)</f>
        <v>267.78065572847623</v>
      </c>
      <c r="AF44">
        <f>'Cross Section Analysis'!B154</f>
        <v>-285.67857632623418</v>
      </c>
      <c r="AG44">
        <f>'Cross Section Analysis'!C154</f>
        <v>-63.889395514687038</v>
      </c>
      <c r="AH44">
        <f>'Cross Section Analysis'!$B$118</f>
        <v>1576.3696</v>
      </c>
      <c r="AJ44">
        <f t="shared" si="5"/>
        <v>285.67857632623435</v>
      </c>
      <c r="AK44">
        <f t="shared" si="6"/>
        <v>1069.4850090019806</v>
      </c>
    </row>
    <row r="45" spans="1:37" x14ac:dyDescent="0.25">
      <c r="A45">
        <v>0.982664753688545</v>
      </c>
      <c r="B45">
        <v>-0.65212066785142364</v>
      </c>
      <c r="C45">
        <v>-425.6</v>
      </c>
      <c r="E45">
        <f t="shared" si="1"/>
        <v>-0.98266475368859718</v>
      </c>
      <c r="F45">
        <f t="shared" si="2"/>
        <v>-301.40576501938426</v>
      </c>
      <c r="Y45">
        <v>-342.10032190572667</v>
      </c>
      <c r="Z45">
        <v>138.34939703702003</v>
      </c>
      <c r="AA45">
        <v>267.8281280000208</v>
      </c>
      <c r="AC45">
        <f t="shared" si="9"/>
        <v>342.10032190572673</v>
      </c>
      <c r="AD45">
        <f t="shared" si="10"/>
        <v>287.21088231926024</v>
      </c>
      <c r="AF45">
        <f>'Cross Section Analysis'!B155</f>
        <v>-284.18460306522365</v>
      </c>
      <c r="AG45">
        <f>'Cross Section Analysis'!C155</f>
        <v>-66.841971869992477</v>
      </c>
      <c r="AH45">
        <f>'Cross Section Analysis'!$B$118</f>
        <v>1576.3696</v>
      </c>
      <c r="AJ45">
        <f t="shared" si="5"/>
        <v>284.18460306522383</v>
      </c>
      <c r="AK45">
        <f t="shared" si="6"/>
        <v>1067.3972222391731</v>
      </c>
    </row>
    <row r="46" spans="1:37" x14ac:dyDescent="0.25">
      <c r="A46">
        <v>0.9841205016147565</v>
      </c>
      <c r="B46">
        <v>-0.65078716819979943</v>
      </c>
      <c r="C46">
        <v>-425.6</v>
      </c>
      <c r="E46">
        <f t="shared" si="1"/>
        <v>-0.98412050161480868</v>
      </c>
      <c r="F46">
        <f t="shared" si="2"/>
        <v>-301.40482209273785</v>
      </c>
      <c r="Y46">
        <v>-343.27662829181725</v>
      </c>
      <c r="Z46">
        <v>138.82509933856224</v>
      </c>
      <c r="AA46">
        <v>294.53305600005507</v>
      </c>
      <c r="AC46">
        <f t="shared" si="9"/>
        <v>343.2766282918173</v>
      </c>
      <c r="AD46">
        <f t="shared" si="10"/>
        <v>306.43049032242948</v>
      </c>
      <c r="AF46">
        <f>'Cross Section Analysis'!B156</f>
        <v>-282.6088551815352</v>
      </c>
      <c r="AG46">
        <f>'Cross Section Analysis'!C156</f>
        <v>-69.841326325630405</v>
      </c>
      <c r="AH46">
        <f>'Cross Section Analysis'!$B$118</f>
        <v>1576.3696</v>
      </c>
      <c r="AJ46">
        <f t="shared" si="5"/>
        <v>282.60885518153538</v>
      </c>
      <c r="AK46">
        <f t="shared" si="6"/>
        <v>1065.2763583644096</v>
      </c>
    </row>
    <row r="47" spans="1:37" x14ac:dyDescent="0.25">
      <c r="A47">
        <v>0.98545400116589144</v>
      </c>
      <c r="B47">
        <v>-0.6493314202503413</v>
      </c>
      <c r="C47">
        <v>-425.6</v>
      </c>
      <c r="E47">
        <f t="shared" si="1"/>
        <v>-0.98545400116594362</v>
      </c>
      <c r="F47">
        <f t="shared" si="2"/>
        <v>-301.40379272349111</v>
      </c>
      <c r="Y47">
        <v>-344.45944688841854</v>
      </c>
      <c r="Z47">
        <v>139.30343178460092</v>
      </c>
      <c r="AA47">
        <v>321.23798400001607</v>
      </c>
      <c r="AC47">
        <f t="shared" si="9"/>
        <v>344.4594468884186</v>
      </c>
      <c r="AD47">
        <f t="shared" si="10"/>
        <v>325.65195811855591</v>
      </c>
      <c r="AF47">
        <f>'Cross Section Analysis'!B157</f>
        <v>-280.94662678160387</v>
      </c>
      <c r="AG47">
        <f>'Cross Section Analysis'!C157</f>
        <v>-72.890536229062732</v>
      </c>
      <c r="AH47">
        <f>'Cross Section Analysis'!$B$118</f>
        <v>1576.3696</v>
      </c>
      <c r="AJ47">
        <f t="shared" si="5"/>
        <v>280.94662678160404</v>
      </c>
      <c r="AK47">
        <f t="shared" si="6"/>
        <v>1063.1202413644314</v>
      </c>
    </row>
    <row r="48" spans="1:37" x14ac:dyDescent="0.25">
      <c r="A48">
        <v>0.98671228902014918</v>
      </c>
      <c r="B48">
        <v>-0.64768984862815204</v>
      </c>
      <c r="C48">
        <v>-425.6</v>
      </c>
      <c r="E48">
        <f t="shared" si="1"/>
        <v>-0.98671228902020136</v>
      </c>
      <c r="F48">
        <f t="shared" si="2"/>
        <v>-301.40263195706524</v>
      </c>
      <c r="Y48">
        <v>-343.75358850478625</v>
      </c>
      <c r="Z48">
        <v>139.01800127753921</v>
      </c>
      <c r="AA48">
        <v>347.94291220413351</v>
      </c>
      <c r="AC48">
        <f t="shared" si="9"/>
        <v>343.75358850478631</v>
      </c>
      <c r="AD48">
        <f t="shared" si="10"/>
        <v>344.33336409568642</v>
      </c>
      <c r="AF48">
        <f>'Cross Section Analysis'!B158</f>
        <v>-279.19280383077484</v>
      </c>
      <c r="AG48">
        <f>'Cross Section Analysis'!C158</f>
        <v>-75.992847300628156</v>
      </c>
      <c r="AH48">
        <f>'Cross Section Analysis'!$B$118</f>
        <v>1576.3696</v>
      </c>
      <c r="AJ48">
        <f t="shared" si="5"/>
        <v>279.19280383077501</v>
      </c>
      <c r="AK48">
        <f t="shared" si="6"/>
        <v>1060.9265761683773</v>
      </c>
    </row>
    <row r="49" spans="1:37" x14ac:dyDescent="0.25">
      <c r="A49">
        <v>0.98793428574096309</v>
      </c>
      <c r="B49">
        <v>-0.64576813295778668</v>
      </c>
      <c r="C49">
        <v>-425.6</v>
      </c>
      <c r="E49">
        <f t="shared" si="1"/>
        <v>-0.98793428574101527</v>
      </c>
      <c r="F49">
        <f t="shared" si="2"/>
        <v>-301.40127309888322</v>
      </c>
      <c r="Y49">
        <v>-344.90074734186618</v>
      </c>
      <c r="Z49">
        <v>139.4820036776959</v>
      </c>
      <c r="AA49">
        <v>374.64784017611549</v>
      </c>
      <c r="AC49">
        <f t="shared" si="9"/>
        <v>344.90074734186624</v>
      </c>
      <c r="AD49">
        <f t="shared" si="10"/>
        <v>363.5446989994108</v>
      </c>
      <c r="AF49">
        <f>'Cross Section Analysis'!B159</f>
        <v>-277.34307899917587</v>
      </c>
      <c r="AG49">
        <f>'Cross Section Analysis'!C159</f>
        <v>-79.149555612848232</v>
      </c>
      <c r="AH49">
        <f>'Cross Section Analysis'!$B$118</f>
        <v>1576.3696</v>
      </c>
      <c r="AJ49">
        <f t="shared" si="5"/>
        <v>277.34307899917604</v>
      </c>
      <c r="AK49">
        <f t="shared" si="6"/>
        <v>1058.6944463145785</v>
      </c>
    </row>
    <row r="50" spans="1:37" x14ac:dyDescent="0.25">
      <c r="A50">
        <v>0.9891564068554477</v>
      </c>
      <c r="B50">
        <v>-0.64341251191571858</v>
      </c>
      <c r="C50">
        <v>-425.6</v>
      </c>
      <c r="E50">
        <f t="shared" si="1"/>
        <v>-0.98915640685549988</v>
      </c>
      <c r="F50">
        <f t="shared" si="2"/>
        <v>-301.39960742327048</v>
      </c>
      <c r="Y50">
        <v>-346.50245228966395</v>
      </c>
      <c r="Z50">
        <v>140.12968133331668</v>
      </c>
      <c r="AA50">
        <v>401.35276800084239</v>
      </c>
      <c r="AC50">
        <f t="shared" si="9"/>
        <v>346.50245228966401</v>
      </c>
      <c r="AD50">
        <f t="shared" si="10"/>
        <v>382.88591181768493</v>
      </c>
      <c r="AF50">
        <f>'Cross Section Analysis'!B160</f>
        <v>-275.46059532995514</v>
      </c>
      <c r="AG50">
        <f>'Cross Section Analysis'!C160</f>
        <v>-82.249907573850024</v>
      </c>
      <c r="AH50">
        <f>'Cross Section Analysis'!$B$118</f>
        <v>1576.3696</v>
      </c>
      <c r="AJ50">
        <f t="shared" si="5"/>
        <v>275.46059532995531</v>
      </c>
      <c r="AK50">
        <f t="shared" si="6"/>
        <v>1056.5021664188891</v>
      </c>
    </row>
    <row r="51" spans="1:37" x14ac:dyDescent="0.25">
      <c r="A51">
        <v>0.99042517292013454</v>
      </c>
      <c r="B51">
        <v>-0.64034892856301284</v>
      </c>
      <c r="C51">
        <v>-425.6</v>
      </c>
      <c r="E51">
        <f t="shared" si="1"/>
        <v>-0.99042517292018672</v>
      </c>
      <c r="F51">
        <f t="shared" si="2"/>
        <v>-301.39744114270707</v>
      </c>
      <c r="Y51">
        <v>-350.69160406846652</v>
      </c>
      <c r="Z51">
        <v>141.82391392887172</v>
      </c>
      <c r="AA51">
        <v>428.05769600289165</v>
      </c>
      <c r="AC51">
        <f t="shared" si="9"/>
        <v>350.69160406846657</v>
      </c>
      <c r="AD51">
        <f t="shared" si="10"/>
        <v>402.96715085625681</v>
      </c>
      <c r="AF51">
        <f>'Cross Section Analysis'!B161</f>
        <v>-273.58138183572254</v>
      </c>
      <c r="AG51">
        <f>'Cross Section Analysis'!C161</f>
        <v>-85.237788940340437</v>
      </c>
      <c r="AH51">
        <f>'Cross Section Analysis'!$B$118</f>
        <v>1576.3696</v>
      </c>
      <c r="AJ51">
        <f t="shared" si="5"/>
        <v>273.58138183572271</v>
      </c>
      <c r="AK51">
        <f t="shared" si="6"/>
        <v>1054.3894152432629</v>
      </c>
    </row>
    <row r="52" spans="1:37" x14ac:dyDescent="0.25">
      <c r="A52">
        <v>0.99177872840712522</v>
      </c>
      <c r="B52">
        <v>-0.63598892721071831</v>
      </c>
      <c r="C52">
        <v>-425.6</v>
      </c>
      <c r="E52">
        <f t="shared" si="1"/>
        <v>-0.9917787284071774</v>
      </c>
      <c r="F52">
        <f t="shared" si="2"/>
        <v>-301.39435815618486</v>
      </c>
      <c r="Y52">
        <v>-354.81963112171798</v>
      </c>
      <c r="Z52">
        <v>143.49323318539319</v>
      </c>
      <c r="AA52">
        <v>454.76262412449745</v>
      </c>
      <c r="AC52">
        <f t="shared" si="9"/>
        <v>354.81963112171803</v>
      </c>
      <c r="AD52">
        <f t="shared" si="10"/>
        <v>423.03077358839522</v>
      </c>
      <c r="AF52">
        <f>'Cross Section Analysis'!B162</f>
        <v>-271.70284879347849</v>
      </c>
      <c r="AG52">
        <f>'Cross Section Analysis'!C162</f>
        <v>-88.12336169455638</v>
      </c>
      <c r="AH52">
        <f>'Cross Section Analysis'!$B$118</f>
        <v>1576.3696</v>
      </c>
      <c r="AJ52">
        <f t="shared" si="5"/>
        <v>271.70284879347867</v>
      </c>
      <c r="AK52">
        <f t="shared" si="6"/>
        <v>1052.3490071811495</v>
      </c>
    </row>
    <row r="53" spans="1:37" x14ac:dyDescent="0.25">
      <c r="A53">
        <v>0.9933384413719939</v>
      </c>
      <c r="B53">
        <v>-0.62885448300797708</v>
      </c>
      <c r="C53">
        <v>-425.6</v>
      </c>
      <c r="E53">
        <f t="shared" si="1"/>
        <v>-0.99333844137204608</v>
      </c>
      <c r="F53">
        <f t="shared" si="2"/>
        <v>-301.38931334230909</v>
      </c>
      <c r="Y53">
        <v>-358.86416568267219</v>
      </c>
      <c r="Z53">
        <v>145.12889111072721</v>
      </c>
      <c r="AA53">
        <v>481.46755246783221</v>
      </c>
      <c r="AC53">
        <f t="shared" si="9"/>
        <v>358.86416568267225</v>
      </c>
      <c r="AD53">
        <f t="shared" si="10"/>
        <v>443.07059432177323</v>
      </c>
      <c r="AF53">
        <f>'Cross Section Analysis'!B163</f>
        <v>-269.82244665973843</v>
      </c>
      <c r="AG53">
        <f>'Cross Section Analysis'!C163</f>
        <v>-90.915770445906006</v>
      </c>
      <c r="AH53">
        <f>'Cross Section Analysis'!$B$118</f>
        <v>1576.3696</v>
      </c>
      <c r="AJ53">
        <f t="shared" si="5"/>
        <v>269.8224466597386</v>
      </c>
      <c r="AK53">
        <f t="shared" si="6"/>
        <v>1050.3744760172256</v>
      </c>
    </row>
    <row r="54" spans="1:37" x14ac:dyDescent="0.25">
      <c r="A54">
        <v>0.99530818596311421</v>
      </c>
      <c r="B54">
        <v>-0.61298369641219774</v>
      </c>
      <c r="C54">
        <v>-425.6</v>
      </c>
      <c r="E54">
        <f t="shared" si="1"/>
        <v>-0.99530818596316639</v>
      </c>
      <c r="F54">
        <f t="shared" si="2"/>
        <v>-301.37809100148445</v>
      </c>
      <c r="Y54">
        <v>-362.80367400881511</v>
      </c>
      <c r="Z54">
        <v>146.72207602475331</v>
      </c>
      <c r="AA54">
        <v>508.17248094897263</v>
      </c>
      <c r="AC54">
        <f t="shared" si="9"/>
        <v>362.80367400881516</v>
      </c>
      <c r="AD54">
        <f t="shared" si="10"/>
        <v>463.08038219828137</v>
      </c>
      <c r="AF54">
        <f>'Cross Section Analysis'!B164</f>
        <v>-267.68553734677971</v>
      </c>
      <c r="AG54">
        <f>'Cross Section Analysis'!C164</f>
        <v>-93.688759843467622</v>
      </c>
      <c r="AH54">
        <f>'Cross Section Analysis'!$B$118</f>
        <v>1576.3696</v>
      </c>
      <c r="AJ54">
        <f t="shared" si="5"/>
        <v>267.68553734677988</v>
      </c>
      <c r="AK54">
        <f t="shared" si="6"/>
        <v>1048.4136764100515</v>
      </c>
    </row>
    <row r="55" spans="1:37" x14ac:dyDescent="0.25">
      <c r="A55">
        <v>0.99949988499462894</v>
      </c>
      <c r="B55">
        <v>0</v>
      </c>
      <c r="C55">
        <v>-425.6</v>
      </c>
      <c r="E55">
        <f t="shared" si="1"/>
        <v>-0.99949988499468112</v>
      </c>
      <c r="F55">
        <f t="shared" si="2"/>
        <v>-300.9446460729946</v>
      </c>
      <c r="Y55">
        <v>-366.61715918580239</v>
      </c>
      <c r="Z55">
        <v>148.26430040812747</v>
      </c>
      <c r="AA55">
        <v>534.8774079999971</v>
      </c>
      <c r="AC55">
        <f t="shared" si="9"/>
        <v>366.61715918580245</v>
      </c>
      <c r="AD55">
        <f t="shared" si="10"/>
        <v>483.05413452674793</v>
      </c>
      <c r="AF55">
        <f>'Cross Section Analysis'!B165</f>
        <v>-265.46152537112414</v>
      </c>
      <c r="AG55">
        <f>'Cross Section Analysis'!C165</f>
        <v>-96.401357840516553</v>
      </c>
      <c r="AH55">
        <f>'Cross Section Analysis'!$B$118</f>
        <v>1576.3696</v>
      </c>
      <c r="AJ55">
        <f t="shared" si="5"/>
        <v>265.46152537112431</v>
      </c>
      <c r="AK55">
        <f t="shared" si="6"/>
        <v>1046.4955799717052</v>
      </c>
    </row>
    <row r="56" spans="1:37" x14ac:dyDescent="0.25">
      <c r="A56">
        <v>0.9953081859631312</v>
      </c>
      <c r="B56">
        <v>0.61298369641220163</v>
      </c>
      <c r="C56">
        <v>-425.6</v>
      </c>
      <c r="E56">
        <f t="shared" si="1"/>
        <v>-0.99530818596318338</v>
      </c>
      <c r="F56">
        <f t="shared" si="2"/>
        <v>-300.51120114450475</v>
      </c>
      <c r="Y56">
        <v>-370.28438206232784</v>
      </c>
      <c r="Z56">
        <v>149.74738716923741</v>
      </c>
      <c r="AA56">
        <v>561.58233599998982</v>
      </c>
      <c r="AC56">
        <f t="shared" si="9"/>
        <v>370.28438206232789</v>
      </c>
      <c r="AD56">
        <f t="shared" si="10"/>
        <v>502.98607091251012</v>
      </c>
      <c r="AF56">
        <f>'Cross Section Analysis'!B166</f>
        <v>-263.23208831620252</v>
      </c>
      <c r="AG56">
        <f>'Cross Section Analysis'!C166</f>
        <v>-99.038232171078363</v>
      </c>
      <c r="AH56">
        <f>'Cross Section Analysis'!$B$118</f>
        <v>1576.3696</v>
      </c>
      <c r="AJ56">
        <f t="shared" si="5"/>
        <v>263.23208831620269</v>
      </c>
      <c r="AK56">
        <f t="shared" si="6"/>
        <v>1044.631028251428</v>
      </c>
    </row>
    <row r="57" spans="1:37" x14ac:dyDescent="0.25">
      <c r="A57">
        <v>0.99333844137202354</v>
      </c>
      <c r="B57">
        <v>0.6288544830079823</v>
      </c>
      <c r="C57">
        <v>-425.6</v>
      </c>
      <c r="E57">
        <f t="shared" si="1"/>
        <v>-0.99333844137207572</v>
      </c>
      <c r="F57">
        <f t="shared" si="2"/>
        <v>-300.49997880368011</v>
      </c>
      <c r="Y57">
        <v>-373.78596160079667</v>
      </c>
      <c r="Z57">
        <v>151.16351598854067</v>
      </c>
      <c r="AA57">
        <v>588.28726399951279</v>
      </c>
      <c r="AC57">
        <f t="shared" si="9"/>
        <v>373.78596160079672</v>
      </c>
      <c r="AD57">
        <f t="shared" si="10"/>
        <v>522.87066088323434</v>
      </c>
      <c r="AF57">
        <f>'Cross Section Analysis'!B167</f>
        <v>-260.99458107179697</v>
      </c>
      <c r="AG57">
        <f>'Cross Section Analysis'!C167</f>
        <v>-101.60590383566569</v>
      </c>
      <c r="AH57">
        <f>'Cross Section Analysis'!$B$118</f>
        <v>1576.3696</v>
      </c>
      <c r="AJ57">
        <f t="shared" si="5"/>
        <v>260.99458107179714</v>
      </c>
      <c r="AK57">
        <f t="shared" si="6"/>
        <v>1042.8154102055378</v>
      </c>
    </row>
    <row r="58" spans="1:37" x14ac:dyDescent="0.25">
      <c r="A58">
        <v>0.99177872840712555</v>
      </c>
      <c r="B58">
        <v>0.63598892721071654</v>
      </c>
      <c r="C58">
        <v>-425.6</v>
      </c>
      <c r="E58">
        <f t="shared" si="1"/>
        <v>-0.99177872840717773</v>
      </c>
      <c r="F58">
        <f t="shared" si="2"/>
        <v>-300.49493398980434</v>
      </c>
      <c r="Y58">
        <v>-377.10345274910497</v>
      </c>
      <c r="Z58">
        <v>152.5052615004156</v>
      </c>
      <c r="AA58">
        <v>614.99219199942581</v>
      </c>
      <c r="AC58">
        <f t="shared" si="9"/>
        <v>377.10345274910503</v>
      </c>
      <c r="AD58">
        <f t="shared" si="10"/>
        <v>542.70265391314479</v>
      </c>
      <c r="AF58">
        <f>'Cross Section Analysis'!B168</f>
        <v>-258.74633009155167</v>
      </c>
      <c r="AG58">
        <f>'Cross Section Analysis'!C168</f>
        <v>-104.11035795825251</v>
      </c>
      <c r="AH58">
        <f>'Cross Section Analysis'!$B$118</f>
        <v>1576.3696</v>
      </c>
      <c r="AJ58">
        <f t="shared" si="5"/>
        <v>258.74633009155184</v>
      </c>
      <c r="AK58">
        <f t="shared" si="6"/>
        <v>1041.0444937122861</v>
      </c>
    </row>
    <row r="59" spans="1:37" x14ac:dyDescent="0.25">
      <c r="A59">
        <v>0.99042517292012355</v>
      </c>
      <c r="B59">
        <v>0.64034892856301784</v>
      </c>
      <c r="C59">
        <v>-425.6</v>
      </c>
      <c r="E59">
        <f t="shared" si="1"/>
        <v>-0.99042517292017573</v>
      </c>
      <c r="F59">
        <f t="shared" si="2"/>
        <v>-300.49185100328214</v>
      </c>
      <c r="Y59">
        <v>-380.21974998115513</v>
      </c>
      <c r="Z59">
        <v>153.76533767959629</v>
      </c>
      <c r="AA59">
        <v>641.69711999961191</v>
      </c>
      <c r="AC59">
        <f t="shared" si="9"/>
        <v>380.21974998115519</v>
      </c>
      <c r="AD59">
        <f t="shared" si="10"/>
        <v>562.4768980042852</v>
      </c>
      <c r="AF59">
        <f>'Cross Section Analysis'!B169</f>
        <v>-256.48461676512972</v>
      </c>
      <c r="AG59">
        <f>'Cross Section Analysis'!C169</f>
        <v>-106.55710981828332</v>
      </c>
      <c r="AH59">
        <f>'Cross Section Analysis'!$B$118</f>
        <v>1576.3696</v>
      </c>
      <c r="AJ59">
        <f t="shared" si="5"/>
        <v>256.48461676512989</v>
      </c>
      <c r="AK59">
        <f t="shared" si="6"/>
        <v>1039.3143788801774</v>
      </c>
    </row>
    <row r="60" spans="1:37" x14ac:dyDescent="0.25">
      <c r="A60">
        <v>0.98915640685544848</v>
      </c>
      <c r="B60">
        <v>0.64341251191573035</v>
      </c>
      <c r="C60">
        <v>-425.6</v>
      </c>
      <c r="E60">
        <f t="shared" si="1"/>
        <v>-0.98915640685550066</v>
      </c>
      <c r="F60">
        <f t="shared" si="2"/>
        <v>-300.48968472271872</v>
      </c>
      <c r="Y60">
        <v>-382.90470484284367</v>
      </c>
      <c r="Z60">
        <v>154.85116716466848</v>
      </c>
      <c r="AA60">
        <v>668.40204799987725</v>
      </c>
      <c r="AC60">
        <f t="shared" si="9"/>
        <v>382.90470484284373</v>
      </c>
      <c r="AD60">
        <f t="shared" si="10"/>
        <v>582.12793107647815</v>
      </c>
      <c r="AF60">
        <f>'Cross Section Analysis'!B170</f>
        <v>-254.20666095757062</v>
      </c>
      <c r="AG60">
        <f>'Cross Section Analysis'!C170</f>
        <v>-108.9512623635032</v>
      </c>
      <c r="AH60">
        <f>'Cross Section Analysis'!$B$118</f>
        <v>1576.3696</v>
      </c>
      <c r="AJ60">
        <f t="shared" si="5"/>
        <v>254.20666095757082</v>
      </c>
      <c r="AK60">
        <f t="shared" si="6"/>
        <v>1037.6214573802574</v>
      </c>
    </row>
    <row r="61" spans="1:37" x14ac:dyDescent="0.25">
      <c r="A61">
        <v>0.98793428574093423</v>
      </c>
      <c r="B61">
        <v>0.64576813295776625</v>
      </c>
      <c r="C61">
        <v>-425.6</v>
      </c>
      <c r="E61">
        <f t="shared" si="1"/>
        <v>-0.98793428574098641</v>
      </c>
      <c r="F61">
        <f t="shared" si="2"/>
        <v>-300.48801904710598</v>
      </c>
      <c r="Y61">
        <v>-385.52755366402312</v>
      </c>
      <c r="Z61">
        <v>155.91186892495782</v>
      </c>
      <c r="AA61">
        <v>695.10697599994171</v>
      </c>
      <c r="AC61">
        <f t="shared" si="9"/>
        <v>385.52755366402317</v>
      </c>
      <c r="AD61">
        <f t="shared" si="10"/>
        <v>601.7611961639393</v>
      </c>
      <c r="AF61">
        <f>'Cross Section Analysis'!B171</f>
        <v>-251.90960377369649</v>
      </c>
      <c r="AG61">
        <f>'Cross Section Analysis'!C171</f>
        <v>-111.29755648007786</v>
      </c>
      <c r="AH61">
        <f>'Cross Section Analysis'!$B$118</f>
        <v>1576.3696</v>
      </c>
      <c r="AJ61">
        <f t="shared" si="5"/>
        <v>251.90960377369669</v>
      </c>
      <c r="AK61">
        <f t="shared" si="6"/>
        <v>1035.9623768997694</v>
      </c>
    </row>
    <row r="62" spans="1:37" x14ac:dyDescent="0.25">
      <c r="A62">
        <v>0.98671228902007224</v>
      </c>
      <c r="B62">
        <v>0.6476898486280962</v>
      </c>
      <c r="C62">
        <v>-425.6</v>
      </c>
      <c r="E62">
        <f t="shared" si="1"/>
        <v>-0.98671228902012442</v>
      </c>
      <c r="F62">
        <f t="shared" si="2"/>
        <v>-300.48666018892396</v>
      </c>
      <c r="Y62">
        <v>-387.89668605459121</v>
      </c>
      <c r="Z62">
        <v>156.86997848848011</v>
      </c>
      <c r="AA62">
        <v>721.81190399996308</v>
      </c>
      <c r="AC62">
        <f t="shared" si="9"/>
        <v>387.89668605459133</v>
      </c>
      <c r="AD62">
        <f t="shared" si="10"/>
        <v>621.32191761333922</v>
      </c>
      <c r="AF62">
        <f>'Cross Section Analysis'!B172</f>
        <v>-249.590490517506</v>
      </c>
      <c r="AG62">
        <f>'Cross Section Analysis'!C172</f>
        <v>-113.60041550117488</v>
      </c>
      <c r="AH62">
        <f>'Cross Section Analysis'!$B$118</f>
        <v>1576.3696</v>
      </c>
      <c r="AJ62">
        <f t="shared" si="5"/>
        <v>249.5904905175062</v>
      </c>
      <c r="AK62">
        <f t="shared" si="6"/>
        <v>1034.334009669835</v>
      </c>
    </row>
    <row r="63" spans="1:37" x14ac:dyDescent="0.25">
      <c r="A63">
        <v>0.98545400116588511</v>
      </c>
      <c r="B63">
        <v>0.64933142025031632</v>
      </c>
      <c r="C63">
        <v>-425.6</v>
      </c>
      <c r="E63">
        <f t="shared" si="1"/>
        <v>-0.98545400116593729</v>
      </c>
      <c r="F63">
        <f t="shared" si="2"/>
        <v>-300.48549942249809</v>
      </c>
      <c r="Y63">
        <v>-389.99680036920398</v>
      </c>
      <c r="Z63">
        <v>157.71926232588851</v>
      </c>
      <c r="AA63">
        <v>748.51683199997785</v>
      </c>
      <c r="AC63">
        <f t="shared" si="9"/>
        <v>389.9968003692041</v>
      </c>
      <c r="AD63">
        <f t="shared" si="10"/>
        <v>640.8056876538318</v>
      </c>
      <c r="AF63">
        <f>'Cross Section Analysis'!B173</f>
        <v>-247.24624918330522</v>
      </c>
      <c r="AG63">
        <f>'Cross Section Analysis'!C173</f>
        <v>-115.86398369618811</v>
      </c>
      <c r="AH63">
        <f>'Cross Section Analysis'!$B$118</f>
        <v>1576.3696</v>
      </c>
      <c r="AJ63">
        <f t="shared" si="5"/>
        <v>247.24624918330542</v>
      </c>
      <c r="AK63">
        <f t="shared" si="6"/>
        <v>1032.7334252494632</v>
      </c>
    </row>
    <row r="64" spans="1:37" x14ac:dyDescent="0.25">
      <c r="A64">
        <v>0.98412050161475373</v>
      </c>
      <c r="B64">
        <v>0.65078716819976012</v>
      </c>
      <c r="C64">
        <v>-425.6</v>
      </c>
      <c r="E64">
        <f t="shared" si="1"/>
        <v>-0.98412050161480591</v>
      </c>
      <c r="F64">
        <f t="shared" si="2"/>
        <v>-300.48447005325136</v>
      </c>
      <c r="Y64">
        <v>-391.81356459098686</v>
      </c>
      <c r="Z64">
        <v>158.45391621900325</v>
      </c>
      <c r="AA64">
        <v>775.22176000004038</v>
      </c>
      <c r="AC64">
        <f t="shared" si="9"/>
        <v>391.81356459098697</v>
      </c>
      <c r="AD64">
        <f t="shared" si="10"/>
        <v>660.20840208342099</v>
      </c>
      <c r="AF64">
        <f>'Cross Section Analysis'!B174</f>
        <v>-244.87367246139635</v>
      </c>
      <c r="AG64">
        <f>'Cross Section Analysis'!C174</f>
        <v>-118.09216181177968</v>
      </c>
      <c r="AH64">
        <f>'Cross Section Analysis'!$B$118</f>
        <v>1576.3696</v>
      </c>
      <c r="AJ64">
        <f t="shared" si="5"/>
        <v>244.87367246139655</v>
      </c>
      <c r="AK64">
        <f t="shared" si="6"/>
        <v>1031.1578653942368</v>
      </c>
    </row>
    <row r="65" spans="1:37" x14ac:dyDescent="0.25">
      <c r="A65">
        <v>0.98266475368853456</v>
      </c>
      <c r="B65">
        <v>0.65212066785141698</v>
      </c>
      <c r="C65">
        <v>-425.6</v>
      </c>
      <c r="E65">
        <f t="shared" si="1"/>
        <v>-0.98266475368858675</v>
      </c>
      <c r="F65">
        <f t="shared" si="2"/>
        <v>-300.48352712660494</v>
      </c>
      <c r="Y65">
        <v>-392.95386339207812</v>
      </c>
      <c r="Z65">
        <v>158.91508646931351</v>
      </c>
      <c r="AA65">
        <v>801.9266879999949</v>
      </c>
      <c r="AC65">
        <f t="shared" si="9"/>
        <v>392.95386339207823</v>
      </c>
      <c r="AD65">
        <f t="shared" si="10"/>
        <v>679.41773437456322</v>
      </c>
      <c r="AF65">
        <f>'Cross Section Analysis'!B175</f>
        <v>-242.46939401266678</v>
      </c>
      <c r="AG65">
        <f>'Cross Section Analysis'!C175</f>
        <v>-120.28863791321747</v>
      </c>
      <c r="AH65">
        <f>'Cross Section Analysis'!$B$118</f>
        <v>1576.3696</v>
      </c>
      <c r="AJ65">
        <f t="shared" si="5"/>
        <v>242.46939401266698</v>
      </c>
      <c r="AK65">
        <f t="shared" si="6"/>
        <v>1029.6047222481959</v>
      </c>
    </row>
    <row r="66" spans="1:37" x14ac:dyDescent="0.25">
      <c r="A66">
        <v>0.98102318206198968</v>
      </c>
      <c r="B66">
        <v>0.65337895568922078</v>
      </c>
      <c r="C66">
        <v>-425.6</v>
      </c>
      <c r="E66">
        <f t="shared" si="1"/>
        <v>-0.98102318206204187</v>
      </c>
      <c r="F66">
        <f t="shared" si="2"/>
        <v>-300.48263738274215</v>
      </c>
      <c r="Y66">
        <v>-394.12626288639279</v>
      </c>
      <c r="Z66">
        <v>159.38929626542131</v>
      </c>
      <c r="AA66">
        <v>828.63161599999717</v>
      </c>
      <c r="AC66">
        <f t="shared" si="9"/>
        <v>394.12626288639291</v>
      </c>
      <c r="AD66">
        <f t="shared" si="10"/>
        <v>698.63628701699622</v>
      </c>
      <c r="AF66">
        <f>'Cross Section Analysis'!B176</f>
        <v>-240.78766099846061</v>
      </c>
      <c r="AG66">
        <f>'Cross Section Analysis'!C176</f>
        <v>-121.65456064344905</v>
      </c>
      <c r="AH66">
        <f>'Cross Section Analysis'!$B$118</f>
        <v>1576.3696</v>
      </c>
      <c r="AJ66">
        <f t="shared" si="5"/>
        <v>240.78766099846081</v>
      </c>
      <c r="AK66">
        <f t="shared" si="6"/>
        <v>1028.6388690230724</v>
      </c>
    </row>
    <row r="67" spans="1:37" x14ac:dyDescent="0.25">
      <c r="A67">
        <v>0.97910140485099073</v>
      </c>
      <c r="B67">
        <v>0.65460085716205885</v>
      </c>
      <c r="C67">
        <v>-425.6</v>
      </c>
      <c r="E67">
        <f t="shared" si="1"/>
        <v>-0.97910140485104291</v>
      </c>
      <c r="F67">
        <f t="shared" si="2"/>
        <v>-300.4817733679248</v>
      </c>
      <c r="Y67">
        <v>-394.97609883699607</v>
      </c>
      <c r="Z67">
        <v>159.73297920429067</v>
      </c>
      <c r="AA67">
        <v>855.33654399999352</v>
      </c>
      <c r="AC67">
        <f t="shared" si="9"/>
        <v>394.97609883699619</v>
      </c>
      <c r="AD67">
        <f t="shared" si="10"/>
        <v>717.76254323354487</v>
      </c>
      <c r="AF67">
        <f>'Cross Section Analysis'!B177</f>
        <v>-238.27942746379264</v>
      </c>
      <c r="AG67">
        <f>'Cross Section Analysis'!C177</f>
        <v>-123.82520907782671</v>
      </c>
      <c r="AH67">
        <f>'Cross Section Analysis'!$B$118</f>
        <v>1576.3696</v>
      </c>
      <c r="AJ67">
        <f t="shared" si="5"/>
        <v>238.27942746379284</v>
      </c>
      <c r="AK67">
        <f t="shared" si="6"/>
        <v>1027.1039887955519</v>
      </c>
    </row>
    <row r="68" spans="1:37" x14ac:dyDescent="0.25">
      <c r="A68">
        <v>0.97674584852040758</v>
      </c>
      <c r="B68">
        <v>0.65582307791304895</v>
      </c>
      <c r="C68">
        <v>-425.6</v>
      </c>
      <c r="E68">
        <f t="shared" si="1"/>
        <v>-0.97674584852045976</v>
      </c>
      <c r="F68">
        <f t="shared" si="2"/>
        <v>-300.48090912734364</v>
      </c>
      <c r="Y68">
        <v>-395.49252216975344</v>
      </c>
      <c r="Z68">
        <v>159.94182607329745</v>
      </c>
      <c r="AA68">
        <v>882.04147199998988</v>
      </c>
      <c r="AC68">
        <f t="shared" si="9"/>
        <v>395.49252216975356</v>
      </c>
      <c r="AD68">
        <f t="shared" si="10"/>
        <v>736.79345595074506</v>
      </c>
      <c r="AF68">
        <f>'Cross Section Analysis'!B178</f>
        <v>-235.7275577070842</v>
      </c>
      <c r="AG68">
        <f>'Cross Section Analysis'!C178</f>
        <v>-125.97379265899306</v>
      </c>
      <c r="AH68">
        <f>'Cross Section Analysis'!$B$118</f>
        <v>1576.3696</v>
      </c>
      <c r="AJ68">
        <f t="shared" si="5"/>
        <v>235.7275577070844</v>
      </c>
      <c r="AK68">
        <f t="shared" si="6"/>
        <v>1025.5847107753632</v>
      </c>
    </row>
    <row r="69" spans="1:37" x14ac:dyDescent="0.25">
      <c r="A69">
        <v>0.97367933510400206</v>
      </c>
      <c r="B69">
        <v>0.65708686171604591</v>
      </c>
      <c r="C69">
        <v>-425.6</v>
      </c>
      <c r="E69">
        <f t="shared" si="1"/>
        <v>-0.97367933510405424</v>
      </c>
      <c r="F69">
        <f t="shared" si="2"/>
        <v>-300.4800154972466</v>
      </c>
      <c r="Y69">
        <v>-395.66540343913147</v>
      </c>
      <c r="Z69">
        <v>160.01173684733521</v>
      </c>
      <c r="AA69">
        <v>908.74639999998692</v>
      </c>
      <c r="AC69">
        <f t="shared" si="9"/>
        <v>395.66540343913158</v>
      </c>
      <c r="AD69">
        <f t="shared" si="10"/>
        <v>755.72612601304161</v>
      </c>
      <c r="AF69">
        <f>'Cross Section Analysis'!B179</f>
        <v>-233.12771750542737</v>
      </c>
      <c r="AG69">
        <f>'Cross Section Analysis'!C179</f>
        <v>-128.10344829380585</v>
      </c>
      <c r="AH69">
        <f>'Cross Section Analysis'!$B$118</f>
        <v>1576.3696</v>
      </c>
      <c r="AJ69">
        <f t="shared" si="5"/>
        <v>233.12771750542757</v>
      </c>
      <c r="AK69">
        <f t="shared" si="6"/>
        <v>1024.078816834395</v>
      </c>
    </row>
    <row r="70" spans="1:37" x14ac:dyDescent="0.25">
      <c r="A70">
        <v>0.96932323231151041</v>
      </c>
      <c r="B70">
        <v>0.65844687994659135</v>
      </c>
      <c r="C70">
        <v>-425.6</v>
      </c>
      <c r="E70">
        <f t="shared" si="1"/>
        <v>-0.96932323231156259</v>
      </c>
      <c r="F70">
        <f t="shared" si="2"/>
        <v>-300.47905381913324</v>
      </c>
      <c r="Y70">
        <v>-395.48519738567211</v>
      </c>
      <c r="Z70">
        <v>159.93884604607882</v>
      </c>
      <c r="AA70">
        <v>935.45132799998657</v>
      </c>
      <c r="AC70">
        <f t="shared" si="9"/>
        <v>395.48519738567222</v>
      </c>
      <c r="AD70">
        <f t="shared" si="10"/>
        <v>774.55782011308531</v>
      </c>
      <c r="AF70">
        <f>'Cross Section Analysis'!B180</f>
        <v>-230.47525707769776</v>
      </c>
      <c r="AG70">
        <f>'Cross Section Analysis'!C180</f>
        <v>-130.2172185394098</v>
      </c>
      <c r="AH70">
        <f>'Cross Section Analysis'!$B$118</f>
        <v>1576.3696</v>
      </c>
      <c r="AJ70">
        <f t="shared" si="5"/>
        <v>230.47525707769796</v>
      </c>
      <c r="AK70">
        <f t="shared" si="6"/>
        <v>1022.584155559858</v>
      </c>
    </row>
    <row r="71" spans="1:37" x14ac:dyDescent="0.25">
      <c r="A71">
        <v>0.96218394105830118</v>
      </c>
      <c r="B71">
        <v>0.65999872651237301</v>
      </c>
      <c r="C71">
        <v>-425.6</v>
      </c>
      <c r="E71">
        <f t="shared" si="1"/>
        <v>-0.96218394105835336</v>
      </c>
      <c r="F71">
        <f t="shared" si="2"/>
        <v>-300.47795649790322</v>
      </c>
      <c r="Y71">
        <v>-394.94285259772073</v>
      </c>
      <c r="Z71">
        <v>159.71951233159365</v>
      </c>
      <c r="AA71">
        <v>962.1562559999885</v>
      </c>
      <c r="AC71">
        <f t="shared" si="9"/>
        <v>394.94285259772084</v>
      </c>
      <c r="AD71">
        <f t="shared" si="10"/>
        <v>793.2859634361298</v>
      </c>
      <c r="AF71">
        <f>'Cross Section Analysis'!B181</f>
        <v>-227.76516595602939</v>
      </c>
      <c r="AG71">
        <f>'Cross Section Analysis'!C181</f>
        <v>-132.31807058565656</v>
      </c>
      <c r="AH71">
        <f>'Cross Section Analysis'!$B$118</f>
        <v>1576.3696</v>
      </c>
      <c r="AJ71">
        <f t="shared" si="5"/>
        <v>227.76516595602959</v>
      </c>
      <c r="AK71">
        <f t="shared" si="6"/>
        <v>1021.0986288316873</v>
      </c>
    </row>
    <row r="72" spans="1:37" x14ac:dyDescent="0.25">
      <c r="A72">
        <v>0.94631333765075898</v>
      </c>
      <c r="B72">
        <v>0.66196926326003913</v>
      </c>
      <c r="C72">
        <v>-425.6</v>
      </c>
      <c r="E72">
        <f t="shared" si="1"/>
        <v>-0.94631333765081116</v>
      </c>
      <c r="F72">
        <f t="shared" si="2"/>
        <v>-300.47656311800637</v>
      </c>
      <c r="Y72">
        <v>-394.02978521699652</v>
      </c>
      <c r="Z72">
        <v>159.35025609024368</v>
      </c>
      <c r="AA72">
        <v>988.86118399998907</v>
      </c>
      <c r="AC72">
        <f t="shared" si="9"/>
        <v>394.02978521699663</v>
      </c>
      <c r="AD72">
        <f t="shared" si="10"/>
        <v>811.9080955237747</v>
      </c>
      <c r="AF72">
        <f>'Cross Section Analysis'!B182</f>
        <v>-224.99202346835261</v>
      </c>
      <c r="AG72">
        <f>'Cross Section Analysis'!C182</f>
        <v>-134.40891513365489</v>
      </c>
      <c r="AH72">
        <f>'Cross Section Analysis'!$B$118</f>
        <v>1576.3696</v>
      </c>
      <c r="AJ72">
        <f t="shared" si="5"/>
        <v>224.99202346835281</v>
      </c>
      <c r="AK72">
        <f t="shared" si="6"/>
        <v>1019.6201784733908</v>
      </c>
    </row>
    <row r="73" spans="1:37" x14ac:dyDescent="0.25">
      <c r="A73">
        <v>8.2727472153870253E-15</v>
      </c>
      <c r="B73">
        <v>0.66642859941625532</v>
      </c>
      <c r="C73">
        <v>-425.6</v>
      </c>
      <c r="E73">
        <f t="shared" si="1"/>
        <v>-6.0415065456297893E-14</v>
      </c>
      <c r="F73">
        <f t="shared" si="2"/>
        <v>-300.47340989117072</v>
      </c>
      <c r="Y73">
        <v>-392.73778570628929</v>
      </c>
      <c r="Z73">
        <v>158.82775719279476</v>
      </c>
      <c r="AA73">
        <v>1015.5661119999666</v>
      </c>
      <c r="AC73">
        <f t="shared" si="9"/>
        <v>392.7377857062894</v>
      </c>
      <c r="AD73">
        <f t="shared" si="10"/>
        <v>830.42186869010868</v>
      </c>
      <c r="AF73">
        <f>'Cross Section Analysis'!B183</f>
        <v>-222.14994147921664</v>
      </c>
      <c r="AG73">
        <f>'Cross Section Analysis'!C183</f>
        <v>-136.49262453757657</v>
      </c>
      <c r="AH73">
        <f>'Cross Section Analysis'!$B$118</f>
        <v>1576.3696</v>
      </c>
      <c r="AJ73">
        <f t="shared" si="5"/>
        <v>222.14994147921684</v>
      </c>
      <c r="AK73">
        <f t="shared" si="6"/>
        <v>1018.1467734238555</v>
      </c>
    </row>
    <row r="74" spans="1:37" x14ac:dyDescent="0.25">
      <c r="A74">
        <v>-0.94631333765079295</v>
      </c>
      <c r="B74">
        <v>0.66196926326004024</v>
      </c>
      <c r="C74">
        <v>-425.6</v>
      </c>
      <c r="E74">
        <f t="shared" si="1"/>
        <v>0.94631333765074077</v>
      </c>
      <c r="F74">
        <f t="shared" si="2"/>
        <v>-300.47656311800637</v>
      </c>
      <c r="Y74">
        <v>-391.05895356303108</v>
      </c>
      <c r="Z74">
        <v>158.14883258956493</v>
      </c>
      <c r="AA74">
        <v>1042.2710399999175</v>
      </c>
      <c r="AC74">
        <f t="shared" si="9"/>
        <v>391.0589535630312</v>
      </c>
      <c r="AD74">
        <f t="shared" si="10"/>
        <v>848.82503217911437</v>
      </c>
      <c r="AF74">
        <f>'Cross Section Analysis'!B184</f>
        <v>-220.45508181140951</v>
      </c>
      <c r="AG74">
        <f>'Cross Section Analysis'!C184</f>
        <v>-137.74765115919681</v>
      </c>
      <c r="AH74">
        <f>'Cross Section Analysis'!$B$118</f>
        <v>1576.3696</v>
      </c>
      <c r="AJ74">
        <f t="shared" si="5"/>
        <v>220.45508181140971</v>
      </c>
      <c r="AK74">
        <f t="shared" si="6"/>
        <v>1017.2593355891382</v>
      </c>
    </row>
    <row r="75" spans="1:37" x14ac:dyDescent="0.25">
      <c r="A75">
        <v>-0.96218394105831939</v>
      </c>
      <c r="B75">
        <v>0.65999872651236913</v>
      </c>
      <c r="C75">
        <v>-425.6</v>
      </c>
      <c r="E75">
        <f t="shared" si="1"/>
        <v>0.96218394105826721</v>
      </c>
      <c r="F75">
        <f t="shared" si="2"/>
        <v>-300.47795649790322</v>
      </c>
      <c r="Y75">
        <v>-388.98567545536457</v>
      </c>
      <c r="Z75">
        <v>157.3103798913516</v>
      </c>
      <c r="AA75">
        <v>1068.9759679997683</v>
      </c>
      <c r="AC75">
        <f t="shared" si="9"/>
        <v>388.98567545536469</v>
      </c>
      <c r="AD75">
        <f t="shared" si="10"/>
        <v>867.11539227029652</v>
      </c>
      <c r="AF75">
        <f>'Cross Section Analysis'!B185</f>
        <v>-217.4919079491041</v>
      </c>
      <c r="AG75">
        <f>'Cross Section Analysis'!C185</f>
        <v>-139.80070931539126</v>
      </c>
      <c r="AH75">
        <f>'Cross Section Analysis'!$B$118</f>
        <v>1576.3696</v>
      </c>
      <c r="AJ75">
        <f t="shared" si="5"/>
        <v>217.4919079491043</v>
      </c>
      <c r="AK75">
        <f t="shared" si="6"/>
        <v>1015.8076042447228</v>
      </c>
    </row>
    <row r="76" spans="1:37" x14ac:dyDescent="0.25">
      <c r="A76">
        <v>-0.96932323231149353</v>
      </c>
      <c r="B76">
        <v>0.65844687994654583</v>
      </c>
      <c r="C76">
        <v>-425.6</v>
      </c>
      <c r="E76">
        <f t="shared" si="1"/>
        <v>0.96932323231144135</v>
      </c>
      <c r="F76">
        <f t="shared" si="2"/>
        <v>-300.4790538191333</v>
      </c>
      <c r="Y76">
        <v>-386.51051827671711</v>
      </c>
      <c r="Z76">
        <v>156.30939811565543</v>
      </c>
      <c r="AA76">
        <v>1095.680895999564</v>
      </c>
      <c r="AC76">
        <f t="shared" ref="AC76:AC107" si="11">($I$2*Y76)+($K$2*Z76)+($M$2*AA76)</f>
        <v>386.51051827671722</v>
      </c>
      <c r="AD76">
        <f t="shared" ref="AD76:AD107" si="12">($J$2*Y76)+($L$2*Z76)+($N$2*AA76)</f>
        <v>885.29082694861165</v>
      </c>
      <c r="AF76">
        <f>'Cross Section Analysis'!B186</f>
        <v>-214.43988299918428</v>
      </c>
      <c r="AG76">
        <f>'Cross Section Analysis'!C186</f>
        <v>-141.85532291474863</v>
      </c>
      <c r="AH76">
        <f>'Cross Section Analysis'!$B$118</f>
        <v>1576.3696</v>
      </c>
      <c r="AJ76">
        <f t="shared" si="5"/>
        <v>214.43988299918448</v>
      </c>
      <c r="AK76">
        <f t="shared" si="6"/>
        <v>1014.3547730358991</v>
      </c>
    </row>
    <row r="77" spans="1:37" x14ac:dyDescent="0.25">
      <c r="A77">
        <v>-0.97367933510403826</v>
      </c>
      <c r="B77">
        <v>0.65708686171601149</v>
      </c>
      <c r="C77">
        <v>-425.6</v>
      </c>
      <c r="E77">
        <f t="shared" si="1"/>
        <v>0.97367933510398608</v>
      </c>
      <c r="F77">
        <f t="shared" si="2"/>
        <v>-300.4800154972466</v>
      </c>
      <c r="Y77">
        <v>-383.62619852075636</v>
      </c>
      <c r="Z77">
        <v>155.14294620450593</v>
      </c>
      <c r="AA77">
        <v>1122.3858239999877</v>
      </c>
      <c r="AC77">
        <f t="shared" si="11"/>
        <v>383.62619852075647</v>
      </c>
      <c r="AD77">
        <f t="shared" si="12"/>
        <v>903.3492565725079</v>
      </c>
      <c r="AF77">
        <f>'Cross Section Analysis'!B187</f>
        <v>-211.29059495848568</v>
      </c>
      <c r="AG77">
        <f>'Cross Section Analysis'!C187</f>
        <v>-143.91435671351888</v>
      </c>
      <c r="AH77">
        <f>'Cross Section Analysis'!$B$118</f>
        <v>1576.3696</v>
      </c>
      <c r="AJ77">
        <f t="shared" si="5"/>
        <v>211.29059495848588</v>
      </c>
      <c r="AK77">
        <f t="shared" si="6"/>
        <v>1012.8988162740964</v>
      </c>
    </row>
    <row r="78" spans="1:37" x14ac:dyDescent="0.25">
      <c r="A78">
        <v>-0.97674584852043311</v>
      </c>
      <c r="B78">
        <v>0.65582307791304317</v>
      </c>
      <c r="C78">
        <v>-425.6</v>
      </c>
      <c r="E78">
        <f t="shared" si="1"/>
        <v>0.97674584852038093</v>
      </c>
      <c r="F78">
        <f t="shared" si="2"/>
        <v>-300.48090912734364</v>
      </c>
      <c r="Y78">
        <v>-380.32553447964182</v>
      </c>
      <c r="Z78">
        <v>153.80811958549296</v>
      </c>
      <c r="AA78">
        <v>1149.0907519999921</v>
      </c>
      <c r="AC78">
        <f t="shared" si="11"/>
        <v>380.32553447964193</v>
      </c>
      <c r="AD78">
        <f t="shared" si="12"/>
        <v>921.28862729839716</v>
      </c>
      <c r="AF78">
        <f>'Cross Section Analysis'!B188</f>
        <v>-208.03472031468635</v>
      </c>
      <c r="AG78">
        <f>'Cross Section Analysis'!C188</f>
        <v>-145.98072911235951</v>
      </c>
      <c r="AH78">
        <f>'Cross Section Analysis'!$B$118</f>
        <v>1576.3696</v>
      </c>
      <c r="AJ78">
        <f t="shared" si="5"/>
        <v>208.03472031468655</v>
      </c>
      <c r="AK78">
        <f t="shared" si="6"/>
        <v>1011.4376703384195</v>
      </c>
    </row>
    <row r="79" spans="1:37" x14ac:dyDescent="0.25">
      <c r="A79">
        <v>-0.97910140485099617</v>
      </c>
      <c r="B79">
        <v>0.65460085716204786</v>
      </c>
      <c r="C79">
        <v>-425.6</v>
      </c>
      <c r="E79">
        <f t="shared" si="1"/>
        <v>0.97910140485094399</v>
      </c>
      <c r="F79">
        <f t="shared" si="2"/>
        <v>-300.4817733679248</v>
      </c>
      <c r="Y79">
        <v>-376.58169057169778</v>
      </c>
      <c r="Z79">
        <v>152.2936279243678</v>
      </c>
      <c r="AA79">
        <v>1175.7956799994599</v>
      </c>
      <c r="AC79">
        <f t="shared" si="11"/>
        <v>376.58169057169795</v>
      </c>
      <c r="AD79">
        <f t="shared" si="12"/>
        <v>939.1009556542873</v>
      </c>
      <c r="AF79">
        <f>'Cross Section Analysis'!B189</f>
        <v>-204.6618813439417</v>
      </c>
      <c r="AG79">
        <f>'Cross Section Analysis'!C189</f>
        <v>-148.05743263475998</v>
      </c>
      <c r="AH79">
        <f>'Cross Section Analysis'!$B$118</f>
        <v>1576.3696</v>
      </c>
      <c r="AJ79">
        <f t="shared" si="5"/>
        <v>204.6618813439419</v>
      </c>
      <c r="AK79">
        <f t="shared" si="6"/>
        <v>1009.9692191952161</v>
      </c>
    </row>
    <row r="80" spans="1:37" x14ac:dyDescent="0.25">
      <c r="A80">
        <v>-0.98102318206200212</v>
      </c>
      <c r="B80">
        <v>0.65337895568922011</v>
      </c>
      <c r="C80">
        <v>-425.6</v>
      </c>
      <c r="E80">
        <f t="shared" si="1"/>
        <v>0.98102318206194994</v>
      </c>
      <c r="F80">
        <f t="shared" si="2"/>
        <v>-300.48263738274215</v>
      </c>
      <c r="Y80">
        <v>-372.36263859810953</v>
      </c>
      <c r="Z80">
        <v>150.58778667722802</v>
      </c>
      <c r="AA80">
        <v>1202.5006079998857</v>
      </c>
      <c r="AC80">
        <f t="shared" si="11"/>
        <v>372.3626385981097</v>
      </c>
      <c r="AD80">
        <f t="shared" si="12"/>
        <v>956.77797942100665</v>
      </c>
      <c r="AF80">
        <f>'Cross Section Analysis'!B190</f>
        <v>-201.11957363993855</v>
      </c>
      <c r="AG80">
        <f>'Cross Section Analysis'!C190</f>
        <v>-150.13678715939119</v>
      </c>
      <c r="AH80">
        <f>'Cross Section Analysis'!$B$118</f>
        <v>1576.3696</v>
      </c>
      <c r="AJ80">
        <f t="shared" si="5"/>
        <v>201.11957363993875</v>
      </c>
      <c r="AK80">
        <f t="shared" si="6"/>
        <v>1008.4988935103584</v>
      </c>
    </row>
    <row r="81" spans="1:37" x14ac:dyDescent="0.25">
      <c r="A81">
        <v>-0.98266475368852457</v>
      </c>
      <c r="B81">
        <v>0.65212066785139344</v>
      </c>
      <c r="C81">
        <v>-425.6</v>
      </c>
      <c r="E81">
        <f t="shared" si="1"/>
        <v>0.98266475368847239</v>
      </c>
      <c r="F81">
        <f t="shared" si="2"/>
        <v>-300.483527126605</v>
      </c>
      <c r="Y81">
        <v>-367.70447580721486</v>
      </c>
      <c r="Z81">
        <v>148.70400907491924</v>
      </c>
      <c r="AA81">
        <v>1229.2055360001932</v>
      </c>
      <c r="AC81">
        <f t="shared" si="11"/>
        <v>367.70447580721503</v>
      </c>
      <c r="AD81">
        <f t="shared" si="12"/>
        <v>974.32918318428267</v>
      </c>
      <c r="AF81">
        <f>'Cross Section Analysis'!B191</f>
        <v>-197.32269677525611</v>
      </c>
      <c r="AG81">
        <f>'Cross Section Analysis'!C191</f>
        <v>-152.20106282046217</v>
      </c>
      <c r="AH81">
        <f>'Cross Section Analysis'!$B$118</f>
        <v>1576.3696</v>
      </c>
      <c r="AJ81">
        <f t="shared" si="5"/>
        <v>197.3226967752563</v>
      </c>
      <c r="AK81">
        <f t="shared" si="6"/>
        <v>1007.0392301921768</v>
      </c>
    </row>
    <row r="82" spans="1:37" x14ac:dyDescent="0.25">
      <c r="A82">
        <v>-0.98412050161472786</v>
      </c>
      <c r="B82">
        <v>0.65078716819975924</v>
      </c>
      <c r="C82">
        <v>-425.6</v>
      </c>
      <c r="E82">
        <f t="shared" si="1"/>
        <v>0.98412050161467568</v>
      </c>
      <c r="F82">
        <f t="shared" si="2"/>
        <v>-300.48447005325136</v>
      </c>
      <c r="Y82">
        <v>-362.59965634809504</v>
      </c>
      <c r="Z82">
        <v>146.6395557785184</v>
      </c>
      <c r="AA82">
        <v>1255.9104640176342</v>
      </c>
      <c r="AC82">
        <f t="shared" si="11"/>
        <v>362.59965634809521</v>
      </c>
      <c r="AD82">
        <f t="shared" si="12"/>
        <v>991.7526299511859</v>
      </c>
      <c r="AF82">
        <f>'Cross Section Analysis'!B192</f>
        <v>-193.37356461643236</v>
      </c>
      <c r="AG82">
        <f>'Cross Section Analysis'!C192</f>
        <v>-154.28320813638632</v>
      </c>
      <c r="AH82">
        <f>'Cross Section Analysis'!$B$118</f>
        <v>1576.3696</v>
      </c>
      <c r="AJ82">
        <f t="shared" si="5"/>
        <v>193.37356461643256</v>
      </c>
      <c r="AK82">
        <f t="shared" si="6"/>
        <v>1005.566931119871</v>
      </c>
    </row>
    <row r="83" spans="1:37" x14ac:dyDescent="0.25">
      <c r="A83">
        <v>-0.9854540011658991</v>
      </c>
      <c r="B83">
        <v>0.64933142025030732</v>
      </c>
      <c r="C83">
        <v>-425.6</v>
      </c>
      <c r="E83">
        <f t="shared" si="1"/>
        <v>0.98545400116584692</v>
      </c>
      <c r="F83">
        <f t="shared" si="2"/>
        <v>-300.48549942249809</v>
      </c>
      <c r="Y83">
        <v>-356.96453566064008</v>
      </c>
      <c r="Z83">
        <v>144.36065738239427</v>
      </c>
      <c r="AA83">
        <v>1282.6153921634416</v>
      </c>
      <c r="AC83">
        <f t="shared" si="11"/>
        <v>356.96453566064025</v>
      </c>
      <c r="AD83">
        <f t="shared" si="12"/>
        <v>1009.0244412246512</v>
      </c>
      <c r="AF83">
        <f>'Cross Section Analysis'!B193</f>
        <v>-189.25591199914408</v>
      </c>
      <c r="AG83">
        <f>'Cross Section Analysis'!C193</f>
        <v>-156.38676348956963</v>
      </c>
      <c r="AH83">
        <f>'Cross Section Analysis'!$B$118</f>
        <v>1576.3696</v>
      </c>
      <c r="AJ83">
        <f t="shared" si="5"/>
        <v>189.25591199914427</v>
      </c>
      <c r="AK83">
        <f t="shared" si="6"/>
        <v>1004.0794928650338</v>
      </c>
    </row>
    <row r="84" spans="1:37" x14ac:dyDescent="0.25">
      <c r="A84">
        <v>-0.98671228902014996</v>
      </c>
      <c r="B84">
        <v>0.64768984862812595</v>
      </c>
      <c r="C84">
        <v>-425.6</v>
      </c>
      <c r="E84">
        <f t="shared" ref="E84:E147" si="13">($I$2*A84)+($K$2*B84)+($M$2*C84)</f>
        <v>0.98671228902009778</v>
      </c>
      <c r="F84">
        <f t="shared" ref="F84:F147" si="14">($J$2*A84)+($L$2*B84)+($N$2*C84)</f>
        <v>-300.48666018892396</v>
      </c>
      <c r="Y84">
        <v>-350.68369568972429</v>
      </c>
      <c r="Z84">
        <v>141.82060779538665</v>
      </c>
      <c r="AA84">
        <v>1309.3203199748987</v>
      </c>
      <c r="AC84">
        <f t="shared" si="11"/>
        <v>350.68369568972446</v>
      </c>
      <c r="AD84">
        <f t="shared" si="12"/>
        <v>1026.1115904837066</v>
      </c>
      <c r="AF84">
        <f>'Cross Section Analysis'!B194</f>
        <v>-184.95120573287616</v>
      </c>
      <c r="AG84">
        <f>'Cross Section Analysis'!C194</f>
        <v>-158.51548131024916</v>
      </c>
      <c r="AH84">
        <f>'Cross Section Analysis'!$B$118</f>
        <v>1576.3696</v>
      </c>
      <c r="AJ84">
        <f t="shared" ref="AJ84:AJ147" si="15">($I$2*AF84)+($K$2*AG84)+($M$2*AH84)</f>
        <v>184.95120573287636</v>
      </c>
      <c r="AK84">
        <f t="shared" ref="AK84:AK147" si="16">($J$2*AF84)+($L$2*AG84)+($N$2*AH84)</f>
        <v>1002.5742620587987</v>
      </c>
    </row>
    <row r="85" spans="1:37" x14ac:dyDescent="0.25">
      <c r="A85">
        <v>-0.98793428574102404</v>
      </c>
      <c r="B85">
        <v>0.64576813295778912</v>
      </c>
      <c r="C85">
        <v>-425.6</v>
      </c>
      <c r="E85">
        <f t="shared" si="13"/>
        <v>0.98793428574097186</v>
      </c>
      <c r="F85">
        <f t="shared" si="14"/>
        <v>-300.48801904710598</v>
      </c>
      <c r="Y85">
        <v>-343.92346089569702</v>
      </c>
      <c r="Z85">
        <v>139.0868377755406</v>
      </c>
      <c r="AA85">
        <v>1336.0252479999942</v>
      </c>
      <c r="AC85">
        <f t="shared" si="11"/>
        <v>343.92346089569719</v>
      </c>
      <c r="AD85">
        <f t="shared" si="12"/>
        <v>1043.0617588621128</v>
      </c>
      <c r="AF85">
        <f>'Cross Section Analysis'!B195</f>
        <v>-180.4382090587566</v>
      </c>
      <c r="AG85">
        <f>'Cross Section Analysis'!C195</f>
        <v>-160.67336616272112</v>
      </c>
      <c r="AH85">
        <f>'Cross Section Analysis'!$B$118</f>
        <v>1576.3696</v>
      </c>
      <c r="AJ85">
        <f t="shared" si="15"/>
        <v>180.4382090587568</v>
      </c>
      <c r="AK85">
        <f t="shared" si="16"/>
        <v>1001.048407046596</v>
      </c>
    </row>
    <row r="86" spans="1:37" x14ac:dyDescent="0.25">
      <c r="A86">
        <v>-0.98915640685547268</v>
      </c>
      <c r="B86">
        <v>0.6434125119157198</v>
      </c>
      <c r="C86">
        <v>-425.6</v>
      </c>
      <c r="E86">
        <f t="shared" si="13"/>
        <v>0.9891564068554205</v>
      </c>
      <c r="F86">
        <f t="shared" si="14"/>
        <v>-300.48968472271872</v>
      </c>
      <c r="Y86">
        <v>-336.66614253765272</v>
      </c>
      <c r="Z86">
        <v>136.15178863837636</v>
      </c>
      <c r="AA86">
        <v>1362.7301761392707</v>
      </c>
      <c r="AC86">
        <f t="shared" si="11"/>
        <v>336.66614253765289</v>
      </c>
      <c r="AD86">
        <f t="shared" si="12"/>
        <v>1059.8696014924899</v>
      </c>
      <c r="AF86">
        <f>'Cross Section Analysis'!B196</f>
        <v>-175.69244111666248</v>
      </c>
      <c r="AG86">
        <f>'Cross Section Analysis'!C196</f>
        <v>-162.8647210903257</v>
      </c>
      <c r="AH86">
        <f>'Cross Section Analysis'!$B$118</f>
        <v>1576.3696</v>
      </c>
      <c r="AJ86">
        <f t="shared" si="15"/>
        <v>175.69244111666268</v>
      </c>
      <c r="AK86">
        <f t="shared" si="16"/>
        <v>999.49888511730023</v>
      </c>
    </row>
    <row r="87" spans="1:37" x14ac:dyDescent="0.25">
      <c r="A87">
        <v>-0.99042517292017551</v>
      </c>
      <c r="B87">
        <v>0.64034892856302383</v>
      </c>
      <c r="C87">
        <v>-425.6</v>
      </c>
      <c r="E87">
        <f t="shared" si="13"/>
        <v>0.99042517292012333</v>
      </c>
      <c r="F87">
        <f t="shared" si="14"/>
        <v>-300.49185100328214</v>
      </c>
      <c r="Y87">
        <v>-328.90055601327919</v>
      </c>
      <c r="Z87">
        <v>133.01126876365029</v>
      </c>
      <c r="AA87">
        <v>1389.4351040000108</v>
      </c>
      <c r="AC87">
        <f t="shared" si="11"/>
        <v>328.90055601327936</v>
      </c>
      <c r="AD87">
        <f t="shared" si="12"/>
        <v>1076.532154174047</v>
      </c>
      <c r="AF87">
        <f>'Cross Section Analysis'!B197</f>
        <v>-170.68550053360264</v>
      </c>
      <c r="AG87">
        <f>'Cross Section Analysis'!C197</f>
        <v>-165.09420197518875</v>
      </c>
      <c r="AH87">
        <f>'Cross Section Analysis'!$B$118</f>
        <v>1576.3696</v>
      </c>
      <c r="AJ87">
        <f t="shared" si="15"/>
        <v>170.68550053360283</v>
      </c>
      <c r="AK87">
        <f t="shared" si="16"/>
        <v>997.92240406508779</v>
      </c>
    </row>
    <row r="88" spans="1:37" x14ac:dyDescent="0.25">
      <c r="A88">
        <v>-0.99177872840716019</v>
      </c>
      <c r="B88">
        <v>0.63598892721071887</v>
      </c>
      <c r="C88">
        <v>-425.6</v>
      </c>
      <c r="E88">
        <f t="shared" si="13"/>
        <v>0.99177872840710801</v>
      </c>
      <c r="F88">
        <f t="shared" si="14"/>
        <v>-300.49493398980434</v>
      </c>
      <c r="Y88">
        <v>-320.61532159916089</v>
      </c>
      <c r="Z88">
        <v>129.66061559397082</v>
      </c>
      <c r="AA88">
        <v>1416.1401597754168</v>
      </c>
      <c r="AC88">
        <f t="shared" si="11"/>
        <v>320.61532159916106</v>
      </c>
      <c r="AD88">
        <f t="shared" si="12"/>
        <v>1093.046210627117</v>
      </c>
      <c r="AF88">
        <f>'Cross Section Analysis'!B198</f>
        <v>-165.3842109935899</v>
      </c>
      <c r="AG88">
        <f>'Cross Section Analysis'!C198</f>
        <v>-167.36688191894382</v>
      </c>
      <c r="AH88">
        <f>'Cross Section Analysis'!$B$118</f>
        <v>1576.3696</v>
      </c>
      <c r="AJ88">
        <f t="shared" si="15"/>
        <v>165.3842109935901</v>
      </c>
      <c r="AK88">
        <f t="shared" si="16"/>
        <v>996.31537666539191</v>
      </c>
    </row>
    <row r="89" spans="1:37" x14ac:dyDescent="0.25">
      <c r="A89">
        <v>-0.99333844137204708</v>
      </c>
      <c r="B89">
        <v>0.62885448300798119</v>
      </c>
      <c r="C89">
        <v>-425.6</v>
      </c>
      <c r="E89">
        <f t="shared" si="13"/>
        <v>0.9933384413719949</v>
      </c>
      <c r="F89">
        <f t="shared" si="14"/>
        <v>-300.49997880368011</v>
      </c>
      <c r="Y89">
        <v>-311.71672267589832</v>
      </c>
      <c r="Z89">
        <v>126.0619204379895</v>
      </c>
      <c r="AA89">
        <v>1442.845056624828</v>
      </c>
      <c r="AC89">
        <f t="shared" si="11"/>
        <v>311.7167226758985</v>
      </c>
      <c r="AD89">
        <f t="shared" si="12"/>
        <v>1109.3847625320052</v>
      </c>
      <c r="AF89">
        <f>'Cross Section Analysis'!B199</f>
        <v>-159.7495311232355</v>
      </c>
      <c r="AG89">
        <f>'Cross Section Analysis'!C199</f>
        <v>-169.68832859489763</v>
      </c>
      <c r="AH89">
        <f>'Cross Section Analysis'!$B$118</f>
        <v>1576.3696</v>
      </c>
      <c r="AJ89">
        <f t="shared" si="15"/>
        <v>159.7495311232357</v>
      </c>
      <c r="AK89">
        <f t="shared" si="16"/>
        <v>994.67386597866209</v>
      </c>
    </row>
    <row r="90" spans="1:37" x14ac:dyDescent="0.25">
      <c r="A90">
        <v>-78.281421149402348</v>
      </c>
      <c r="B90">
        <v>-4.369668753340894E-14</v>
      </c>
      <c r="C90">
        <v>-345.52121600000004</v>
      </c>
      <c r="E90">
        <f t="shared" si="13"/>
        <v>78.281421149402306</v>
      </c>
      <c r="F90">
        <f t="shared" si="14"/>
        <v>-244.32039487742185</v>
      </c>
      <c r="Y90">
        <v>-302.20886214523722</v>
      </c>
      <c r="Z90">
        <v>122.21690884663676</v>
      </c>
      <c r="AA90">
        <v>1469.5499191032316</v>
      </c>
      <c r="AC90">
        <f t="shared" si="11"/>
        <v>302.20886214523739</v>
      </c>
      <c r="AD90">
        <f t="shared" si="12"/>
        <v>1125.5491181111522</v>
      </c>
      <c r="AF90">
        <f>'Cross Section Analysis'!B200</f>
        <v>-153.73514733249397</v>
      </c>
      <c r="AG90">
        <f>'Cross Section Analysis'!C200</f>
        <v>-172.06469630256782</v>
      </c>
      <c r="AH90">
        <f>'Cross Section Analysis'!$B$118</f>
        <v>1576.3696</v>
      </c>
      <c r="AJ90">
        <f t="shared" si="15"/>
        <v>153.73514733249417</v>
      </c>
      <c r="AK90">
        <f t="shared" si="16"/>
        <v>992.99352025797566</v>
      </c>
    </row>
    <row r="91" spans="1:37" x14ac:dyDescent="0.25">
      <c r="A91">
        <v>-75.81498708032511</v>
      </c>
      <c r="B91">
        <v>-18.974573639314844</v>
      </c>
      <c r="C91">
        <v>-345.52121600000004</v>
      </c>
      <c r="E91">
        <f t="shared" si="13"/>
        <v>75.814987080325068</v>
      </c>
      <c r="F91">
        <f t="shared" si="14"/>
        <v>-257.73744456790484</v>
      </c>
      <c r="Y91">
        <v>-292.13852062739841</v>
      </c>
      <c r="Z91">
        <v>118.14438016071152</v>
      </c>
      <c r="AA91">
        <v>1496.2548530306888</v>
      </c>
      <c r="AC91">
        <f t="shared" si="11"/>
        <v>292.13852062739858</v>
      </c>
      <c r="AD91">
        <f t="shared" si="12"/>
        <v>1141.5526453320015</v>
      </c>
      <c r="AF91">
        <f>'Cross Section Analysis'!B201</f>
        <v>-147.30264339372485</v>
      </c>
      <c r="AG91">
        <f>'Cross Section Analysis'!C201</f>
        <v>-174.40051199695782</v>
      </c>
      <c r="AH91">
        <f>'Cross Section Analysis'!$B$118</f>
        <v>1576.3696</v>
      </c>
      <c r="AJ91">
        <f t="shared" si="15"/>
        <v>147.30264339372505</v>
      </c>
      <c r="AK91">
        <f t="shared" si="16"/>
        <v>991.34184914087064</v>
      </c>
    </row>
    <row r="92" spans="1:37" x14ac:dyDescent="0.25">
      <c r="A92">
        <v>-71.742589468618092</v>
      </c>
      <c r="B92">
        <v>-30.487901394882702</v>
      </c>
      <c r="C92">
        <v>-345.52121600000004</v>
      </c>
      <c r="E92">
        <f t="shared" si="13"/>
        <v>71.74258946861805</v>
      </c>
      <c r="F92">
        <f t="shared" si="14"/>
        <v>-265.8785966978902</v>
      </c>
      <c r="Y92">
        <v>-281.49179631214815</v>
      </c>
      <c r="Z92">
        <v>113.83872322419651</v>
      </c>
      <c r="AA92">
        <v>1522.9597335486314</v>
      </c>
      <c r="AC92">
        <f t="shared" si="11"/>
        <v>281.49179631214832</v>
      </c>
      <c r="AD92">
        <f t="shared" si="12"/>
        <v>1157.3912882197426</v>
      </c>
      <c r="AF92">
        <f>'Cross Section Analysis'!B202</f>
        <v>-140.39861150881893</v>
      </c>
      <c r="AG92">
        <f>'Cross Section Analysis'!C202</f>
        <v>-176.68425033856593</v>
      </c>
      <c r="AH92">
        <f>'Cross Section Analysis'!$B$118</f>
        <v>1576.3696</v>
      </c>
      <c r="AJ92">
        <f t="shared" si="15"/>
        <v>140.39861150881913</v>
      </c>
      <c r="AK92">
        <f t="shared" si="16"/>
        <v>989.72700227306382</v>
      </c>
    </row>
    <row r="93" spans="1:37" x14ac:dyDescent="0.25">
      <c r="A93">
        <v>-70.043134438213158</v>
      </c>
      <c r="B93">
        <v>-33.880632616728533</v>
      </c>
      <c r="C93">
        <v>-345.52121600000004</v>
      </c>
      <c r="E93">
        <f t="shared" si="13"/>
        <v>70.043134438213116</v>
      </c>
      <c r="F93">
        <f t="shared" si="14"/>
        <v>-268.27761995160068</v>
      </c>
      <c r="Y93">
        <v>-270.32444562624937</v>
      </c>
      <c r="Z93">
        <v>109.32232405427325</v>
      </c>
      <c r="AA93">
        <v>1549.6646255396017</v>
      </c>
      <c r="AC93">
        <f t="shared" si="11"/>
        <v>270.32444562624954</v>
      </c>
      <c r="AD93">
        <f t="shared" si="12"/>
        <v>1173.0809219578139</v>
      </c>
      <c r="AF93">
        <f>'Cross Section Analysis'!B203</f>
        <v>-132.92930350647063</v>
      </c>
      <c r="AG93">
        <f>'Cross Section Analysis'!C203</f>
        <v>-179.03297210200674</v>
      </c>
      <c r="AH93">
        <f>'Cross Section Analysis'!$B$118</f>
        <v>1576.3696</v>
      </c>
      <c r="AJ93">
        <f t="shared" si="15"/>
        <v>132.92930350647083</v>
      </c>
      <c r="AK93">
        <f t="shared" si="16"/>
        <v>988.06620518701436</v>
      </c>
    </row>
    <row r="94" spans="1:37" x14ac:dyDescent="0.25">
      <c r="A94">
        <v>-69.12764912597342</v>
      </c>
      <c r="B94">
        <v>-35.911655613567142</v>
      </c>
      <c r="C94">
        <v>-345.52121600000004</v>
      </c>
      <c r="E94">
        <f t="shared" si="13"/>
        <v>69.127649125973377</v>
      </c>
      <c r="F94">
        <f t="shared" si="14"/>
        <v>-269.71377008541111</v>
      </c>
      <c r="Y94">
        <v>-65.198888244236244</v>
      </c>
      <c r="Z94">
        <v>26.367142817399554</v>
      </c>
      <c r="AA94">
        <v>1576.3696</v>
      </c>
      <c r="AC94">
        <f t="shared" si="11"/>
        <v>65.198888244236443</v>
      </c>
      <c r="AD94">
        <f t="shared" si="12"/>
        <v>1133.3060193030228</v>
      </c>
      <c r="AF94">
        <f>'Cross Section Analysis'!B204</f>
        <v>-124.79731761801025</v>
      </c>
      <c r="AG94">
        <f>'Cross Section Analysis'!C204</f>
        <v>-181.45566904033907</v>
      </c>
      <c r="AH94">
        <f>'Cross Section Analysis'!$B$118</f>
        <v>1576.3696</v>
      </c>
      <c r="AJ94">
        <f t="shared" si="15"/>
        <v>124.79731761801045</v>
      </c>
      <c r="AK94">
        <f t="shared" si="16"/>
        <v>986.35309975315965</v>
      </c>
    </row>
    <row r="95" spans="1:37" x14ac:dyDescent="0.25">
      <c r="A95">
        <v>-68.547067045557128</v>
      </c>
      <c r="B95">
        <v>-37.535701739649987</v>
      </c>
      <c r="C95">
        <v>-345.52121600000004</v>
      </c>
      <c r="E95">
        <f t="shared" si="13"/>
        <v>68.547067045557085</v>
      </c>
      <c r="F95">
        <f t="shared" si="14"/>
        <v>-270.86214411412402</v>
      </c>
      <c r="Y95">
        <v>0</v>
      </c>
      <c r="Z95">
        <v>0</v>
      </c>
      <c r="AA95">
        <v>1576.3696</v>
      </c>
      <c r="AC95">
        <f t="shared" si="11"/>
        <v>1.9312867798049194E-13</v>
      </c>
      <c r="AD95">
        <f t="shared" si="12"/>
        <v>1114.6616338163253</v>
      </c>
      <c r="AF95">
        <f>'Cross Section Analysis'!B205</f>
        <v>-115.95357507602914</v>
      </c>
      <c r="AG95">
        <f>'Cross Section Analysis'!C205</f>
        <v>-183.94351661511089</v>
      </c>
      <c r="AH95">
        <f>'Cross Section Analysis'!$B$118</f>
        <v>1576.3696</v>
      </c>
      <c r="AJ95">
        <f t="shared" si="15"/>
        <v>115.95357507602934</v>
      </c>
      <c r="AK95">
        <f t="shared" si="16"/>
        <v>984.59392586248009</v>
      </c>
    </row>
    <row r="96" spans="1:37" x14ac:dyDescent="0.25">
      <c r="A96">
        <v>-68.007612364599566</v>
      </c>
      <c r="B96">
        <v>-38.336281099973661</v>
      </c>
      <c r="C96">
        <v>-345.52121600000004</v>
      </c>
      <c r="E96">
        <f t="shared" si="13"/>
        <v>68.007612364599524</v>
      </c>
      <c r="F96">
        <f t="shared" si="14"/>
        <v>-271.42823920868688</v>
      </c>
      <c r="AC96">
        <f t="shared" si="11"/>
        <v>0</v>
      </c>
      <c r="AD96">
        <f t="shared" si="12"/>
        <v>0</v>
      </c>
      <c r="AF96">
        <f>'Cross Section Analysis'!B206</f>
        <v>-106.99246321347619</v>
      </c>
      <c r="AG96">
        <f>'Cross Section Analysis'!C206</f>
        <v>-186.32291305685808</v>
      </c>
      <c r="AH96">
        <f>'Cross Section Analysis'!$B$118</f>
        <v>1576.3696</v>
      </c>
      <c r="AJ96">
        <f t="shared" si="15"/>
        <v>106.99246321347638</v>
      </c>
      <c r="AK96">
        <f t="shared" si="16"/>
        <v>982.91143850338949</v>
      </c>
    </row>
    <row r="97" spans="1:37" x14ac:dyDescent="0.25">
      <c r="A97">
        <v>-67.53642338743613</v>
      </c>
      <c r="B97">
        <v>-38.853356150025299</v>
      </c>
      <c r="C97">
        <v>-345.52121600000004</v>
      </c>
      <c r="E97">
        <f t="shared" si="13"/>
        <v>67.536423387436088</v>
      </c>
      <c r="F97">
        <f t="shared" si="14"/>
        <v>-271.79386648296077</v>
      </c>
      <c r="AC97">
        <f t="shared" si="11"/>
        <v>0</v>
      </c>
      <c r="AD97">
        <f t="shared" si="12"/>
        <v>0</v>
      </c>
      <c r="AF97">
        <f>'Cross Section Analysis'!B207</f>
        <v>-98.07063744943359</v>
      </c>
      <c r="AG97">
        <f>'Cross Section Analysis'!C207</f>
        <v>-188.55419778535898</v>
      </c>
      <c r="AH97">
        <f>'Cross Section Analysis'!$B$118</f>
        <v>1576.3696</v>
      </c>
      <c r="AJ97">
        <f t="shared" si="15"/>
        <v>98.070637449433789</v>
      </c>
      <c r="AK97">
        <f t="shared" si="16"/>
        <v>981.33368194110847</v>
      </c>
    </row>
    <row r="98" spans="1:37" x14ac:dyDescent="0.25">
      <c r="A98">
        <v>-67.117259092680129</v>
      </c>
      <c r="B98">
        <v>-39.291254706020773</v>
      </c>
      <c r="C98">
        <v>-345.52121600000004</v>
      </c>
      <c r="E98">
        <f t="shared" si="13"/>
        <v>67.117259092680086</v>
      </c>
      <c r="F98">
        <f t="shared" si="14"/>
        <v>-272.10350752137697</v>
      </c>
      <c r="AC98">
        <f t="shared" si="11"/>
        <v>0</v>
      </c>
      <c r="AD98">
        <f t="shared" si="12"/>
        <v>0</v>
      </c>
      <c r="AF98">
        <f>'Cross Section Analysis'!B208</f>
        <v>-89.30597191637699</v>
      </c>
      <c r="AG98">
        <f>'Cross Section Analysis'!C208</f>
        <v>-190.50553421385104</v>
      </c>
      <c r="AH98">
        <f>'Cross Section Analysis'!$B$118</f>
        <v>1576.3696</v>
      </c>
      <c r="AJ98">
        <f t="shared" si="15"/>
        <v>89.305971916377189</v>
      </c>
      <c r="AK98">
        <f t="shared" si="16"/>
        <v>979.95387872014544</v>
      </c>
    </row>
    <row r="99" spans="1:37" x14ac:dyDescent="0.25">
      <c r="A99">
        <v>-66.719898308350096</v>
      </c>
      <c r="B99">
        <v>-39.693636971261732</v>
      </c>
      <c r="C99">
        <v>-345.52121600000004</v>
      </c>
      <c r="E99">
        <f t="shared" si="13"/>
        <v>66.719898308350054</v>
      </c>
      <c r="F99">
        <f t="shared" si="14"/>
        <v>-272.38803474975805</v>
      </c>
      <c r="AC99">
        <f t="shared" si="11"/>
        <v>0</v>
      </c>
      <c r="AD99">
        <f t="shared" si="12"/>
        <v>0</v>
      </c>
      <c r="AF99">
        <f>'Cross Section Analysis'!B209</f>
        <v>-80.827641848647986</v>
      </c>
      <c r="AG99">
        <f>'Cross Section Analysis'!C209</f>
        <v>-192.03291580506769</v>
      </c>
      <c r="AH99">
        <f>'Cross Section Analysis'!$B$118</f>
        <v>1576.3696</v>
      </c>
      <c r="AJ99">
        <f t="shared" si="15"/>
        <v>80.827641848648184</v>
      </c>
      <c r="AK99">
        <f t="shared" si="16"/>
        <v>978.87385683953664</v>
      </c>
    </row>
    <row r="100" spans="1:37" x14ac:dyDescent="0.25">
      <c r="A100">
        <v>-66.317516062366607</v>
      </c>
      <c r="B100">
        <v>-40.09099777293487</v>
      </c>
      <c r="C100">
        <v>-345.52121600000004</v>
      </c>
      <c r="E100">
        <f t="shared" si="13"/>
        <v>66.317516062366565</v>
      </c>
      <c r="F100">
        <f t="shared" si="14"/>
        <v>-272.66901126719887</v>
      </c>
      <c r="AC100">
        <f t="shared" si="11"/>
        <v>0</v>
      </c>
      <c r="AD100">
        <f t="shared" si="12"/>
        <v>0</v>
      </c>
      <c r="AF100">
        <f>'Cross Section Analysis'!B210</f>
        <v>-72.37738790304239</v>
      </c>
      <c r="AG100">
        <f>'Cross Section Analysis'!C210</f>
        <v>-193.41693436232595</v>
      </c>
      <c r="AH100">
        <f>'Cross Section Analysis'!$B$118</f>
        <v>1576.3696</v>
      </c>
      <c r="AJ100">
        <f t="shared" si="15"/>
        <v>72.377387903042589</v>
      </c>
      <c r="AK100">
        <f t="shared" si="16"/>
        <v>977.89520793241127</v>
      </c>
    </row>
    <row r="101" spans="1:37" x14ac:dyDescent="0.25">
      <c r="A101">
        <v>-65.879617513288508</v>
      </c>
      <c r="B101">
        <v>-40.510162073041869</v>
      </c>
      <c r="C101">
        <v>-345.52121600000004</v>
      </c>
      <c r="E101">
        <f t="shared" si="13"/>
        <v>65.879617513288466</v>
      </c>
      <c r="F101">
        <f t="shared" si="14"/>
        <v>-272.96540518623584</v>
      </c>
      <c r="AC101">
        <f t="shared" si="11"/>
        <v>0</v>
      </c>
      <c r="AD101">
        <f t="shared" si="12"/>
        <v>0</v>
      </c>
      <c r="AF101">
        <f>'Cross Section Analysis'!B211</f>
        <v>-63.948975996415733</v>
      </c>
      <c r="AG101">
        <f>'Cross Section Analysis'!C211</f>
        <v>-194.66097793276577</v>
      </c>
      <c r="AH101">
        <f>'Cross Section Analysis'!$B$118</f>
        <v>1576.3696</v>
      </c>
      <c r="AJ101">
        <f t="shared" si="15"/>
        <v>63.948975996415925</v>
      </c>
      <c r="AK101">
        <f t="shared" si="16"/>
        <v>977.01553628766169</v>
      </c>
    </row>
    <row r="102" spans="1:37" x14ac:dyDescent="0.25">
      <c r="A102">
        <v>-65.362543062379686</v>
      </c>
      <c r="B102">
        <v>-40.981351429081606</v>
      </c>
      <c r="C102">
        <v>-345.52121600000004</v>
      </c>
      <c r="E102">
        <f t="shared" si="13"/>
        <v>65.362543062379643</v>
      </c>
      <c r="F102">
        <f t="shared" si="14"/>
        <v>-273.29858637511444</v>
      </c>
      <c r="AC102">
        <f t="shared" si="11"/>
        <v>0</v>
      </c>
      <c r="AD102">
        <f t="shared" si="12"/>
        <v>0</v>
      </c>
      <c r="AF102">
        <f>'Cross Section Analysis'!B212</f>
        <v>-55.536193390849832</v>
      </c>
      <c r="AG102">
        <f>'Cross Section Analysis'!C212</f>
        <v>-195.76805938930124</v>
      </c>
      <c r="AH102">
        <f>'Cross Section Analysis'!$B$118</f>
        <v>1576.3696</v>
      </c>
      <c r="AJ102">
        <f t="shared" si="15"/>
        <v>55.536193390850023</v>
      </c>
      <c r="AK102">
        <f t="shared" si="16"/>
        <v>976.23271148241963</v>
      </c>
    </row>
    <row r="103" spans="1:37" x14ac:dyDescent="0.25">
      <c r="A103">
        <v>-64.69068733594996</v>
      </c>
      <c r="B103">
        <v>-41.547008494731486</v>
      </c>
      <c r="C103">
        <v>-345.52121600000004</v>
      </c>
      <c r="E103">
        <f t="shared" si="13"/>
        <v>64.690687335949917</v>
      </c>
      <c r="F103">
        <f t="shared" si="14"/>
        <v>-273.69856632206154</v>
      </c>
      <c r="AC103">
        <f t="shared" si="11"/>
        <v>0</v>
      </c>
      <c r="AD103">
        <f t="shared" si="12"/>
        <v>0</v>
      </c>
      <c r="AF103">
        <f>'Cross Section Analysis'!B213</f>
        <v>-47.132827139830347</v>
      </c>
      <c r="AG103">
        <f>'Cross Section Analysis'!C213</f>
        <v>-196.74083297985553</v>
      </c>
      <c r="AH103">
        <f>'Cross Section Analysis'!$B$118</f>
        <v>1576.3696</v>
      </c>
      <c r="AJ103">
        <f t="shared" si="15"/>
        <v>47.132827139830539</v>
      </c>
      <c r="AK103">
        <f t="shared" si="16"/>
        <v>975.54485667997949</v>
      </c>
    </row>
    <row r="104" spans="1:37" x14ac:dyDescent="0.25">
      <c r="A104">
        <v>-63.709154052635213</v>
      </c>
      <c r="B104">
        <v>-42.278683767763738</v>
      </c>
      <c r="C104">
        <v>-345.52121600000004</v>
      </c>
      <c r="E104">
        <f t="shared" si="13"/>
        <v>63.709154052635171</v>
      </c>
      <c r="F104">
        <f t="shared" si="14"/>
        <v>-274.21593886924916</v>
      </c>
      <c r="AC104">
        <f t="shared" si="11"/>
        <v>0</v>
      </c>
      <c r="AD104">
        <f t="shared" si="12"/>
        <v>0</v>
      </c>
      <c r="AF104">
        <f>'Cross Section Analysis'!B214</f>
        <v>-38.732642052473651</v>
      </c>
      <c r="AG104">
        <f>'Cross Section Analysis'!C214</f>
        <v>-197.58160813810264</v>
      </c>
      <c r="AH104">
        <f>'Cross Section Analysis'!$B$118</f>
        <v>1576.3696</v>
      </c>
      <c r="AJ104">
        <f t="shared" si="15"/>
        <v>38.732642052473842</v>
      </c>
      <c r="AK104">
        <f t="shared" si="16"/>
        <v>974.95033886412978</v>
      </c>
    </row>
    <row r="105" spans="1:37" x14ac:dyDescent="0.25">
      <c r="A105">
        <v>-62.035005443114223</v>
      </c>
      <c r="B105">
        <v>-43.320084328688409</v>
      </c>
      <c r="C105">
        <v>-345.52121600000004</v>
      </c>
      <c r="E105">
        <f t="shared" si="13"/>
        <v>62.03500544311418</v>
      </c>
      <c r="F105">
        <f t="shared" si="14"/>
        <v>-274.95232026781048</v>
      </c>
      <c r="AC105">
        <f t="shared" si="11"/>
        <v>0</v>
      </c>
      <c r="AD105">
        <f t="shared" si="12"/>
        <v>0</v>
      </c>
      <c r="AF105">
        <f>'Cross Section Analysis'!B215</f>
        <v>-30.329357989068079</v>
      </c>
      <c r="AG105">
        <f>'Cross Section Analysis'!C215</f>
        <v>-198.29236336033247</v>
      </c>
      <c r="AH105">
        <f>'Cross Section Analysis'!$B$118</f>
        <v>1576.3696</v>
      </c>
      <c r="AJ105">
        <f t="shared" si="15"/>
        <v>30.329357989068271</v>
      </c>
      <c r="AK105">
        <f t="shared" si="16"/>
        <v>974.44775902672734</v>
      </c>
    </row>
    <row r="106" spans="1:37" x14ac:dyDescent="0.25">
      <c r="A106">
        <v>-58.318165325989611</v>
      </c>
      <c r="B106">
        <v>-45.003876222898725</v>
      </c>
      <c r="C106">
        <v>-345.52121600000004</v>
      </c>
      <c r="E106">
        <f t="shared" si="13"/>
        <v>58.318165325989568</v>
      </c>
      <c r="F106">
        <f t="shared" si="14"/>
        <v>-276.14294093431351</v>
      </c>
      <c r="AC106">
        <f t="shared" si="11"/>
        <v>0</v>
      </c>
      <c r="AD106">
        <f t="shared" si="12"/>
        <v>0</v>
      </c>
      <c r="AF106">
        <f>'Cross Section Analysis'!B216</f>
        <v>-21.916626216964104</v>
      </c>
      <c r="AG106">
        <f>'Cross Section Analysis'!C216</f>
        <v>-198.87475566110851</v>
      </c>
      <c r="AH106">
        <f>'Cross Section Analysis'!$B$118</f>
        <v>1576.3696</v>
      </c>
      <c r="AJ106">
        <f t="shared" si="15"/>
        <v>21.916626216964296</v>
      </c>
      <c r="AK106">
        <f t="shared" si="16"/>
        <v>974.03594548153774</v>
      </c>
    </row>
    <row r="107" spans="1:37" x14ac:dyDescent="0.25">
      <c r="A107">
        <v>-45.967314670881031</v>
      </c>
      <c r="B107">
        <v>-48.794161901667664</v>
      </c>
      <c r="C107">
        <v>-345.52121600000004</v>
      </c>
      <c r="E107">
        <f t="shared" si="13"/>
        <v>45.967314670880988</v>
      </c>
      <c r="F107">
        <f t="shared" si="14"/>
        <v>-278.8230776404053</v>
      </c>
      <c r="AC107">
        <f t="shared" si="11"/>
        <v>0</v>
      </c>
      <c r="AD107">
        <f t="shared" si="12"/>
        <v>0</v>
      </c>
      <c r="AF107">
        <f>'Cross Section Analysis'!B217</f>
        <v>-13.488004616277975</v>
      </c>
      <c r="AG107">
        <f>'Cross Section Analysis'!C217</f>
        <v>-199.33013044516562</v>
      </c>
      <c r="AH107">
        <f>'Cross Section Analysis'!$B$118</f>
        <v>1576.3696</v>
      </c>
      <c r="AJ107">
        <f t="shared" si="15"/>
        <v>13.488004616278168</v>
      </c>
      <c r="AK107">
        <f t="shared" si="16"/>
        <v>973.7139468837496</v>
      </c>
    </row>
    <row r="108" spans="1:37" x14ac:dyDescent="0.25">
      <c r="A108">
        <v>1.5974988920536588E-14</v>
      </c>
      <c r="B108">
        <v>-52.187693616224472</v>
      </c>
      <c r="C108">
        <v>-345.52121600000004</v>
      </c>
      <c r="E108">
        <f t="shared" si="13"/>
        <v>-5.8306467312591339E-14</v>
      </c>
      <c r="F108">
        <f t="shared" si="14"/>
        <v>-281.22266692794005</v>
      </c>
      <c r="AC108">
        <f t="shared" ref="AC108:AC119" si="17">($I$2*Y108)+($K$2*Z108)+($M$2*AA108)</f>
        <v>0</v>
      </c>
      <c r="AD108">
        <f t="shared" ref="AD108:AD119" si="18">($J$2*Y108)+($L$2*Z108)+($N$2*AA108)</f>
        <v>0</v>
      </c>
      <c r="AF108">
        <f>'Cross Section Analysis'!B218</f>
        <v>-5.0369314260372526</v>
      </c>
      <c r="AG108">
        <f>'Cross Section Analysis'!C218</f>
        <v>-199.65952882174093</v>
      </c>
      <c r="AH108">
        <f>'Cross Section Analysis'!$B$118</f>
        <v>1576.3696</v>
      </c>
      <c r="AJ108">
        <f t="shared" si="15"/>
        <v>5.0369314260374454</v>
      </c>
      <c r="AK108">
        <f t="shared" si="16"/>
        <v>973.48102705796134</v>
      </c>
    </row>
    <row r="109" spans="1:37" x14ac:dyDescent="0.25">
      <c r="A109">
        <v>45.967314670881009</v>
      </c>
      <c r="B109">
        <v>-48.794161901667685</v>
      </c>
      <c r="C109">
        <v>-345.52121600000004</v>
      </c>
      <c r="E109">
        <f t="shared" si="13"/>
        <v>-45.967314670881052</v>
      </c>
      <c r="F109">
        <f t="shared" si="14"/>
        <v>-278.8230776404053</v>
      </c>
      <c r="AC109">
        <f t="shared" si="17"/>
        <v>0</v>
      </c>
      <c r="AD109">
        <f t="shared" si="18"/>
        <v>0</v>
      </c>
      <c r="AF109">
        <f>'Cross Section Analysis'!B219</f>
        <v>1.0834329777212272E-13</v>
      </c>
      <c r="AG109">
        <f>'Cross Section Analysis'!C219</f>
        <v>-199.77811800993842</v>
      </c>
      <c r="AH109">
        <f>'Cross Section Analysis'!$B$118</f>
        <v>1576.3696</v>
      </c>
      <c r="AJ109">
        <f t="shared" si="15"/>
        <v>8.4785380208369224E-14</v>
      </c>
      <c r="AK109">
        <f t="shared" si="16"/>
        <v>973.39717183881157</v>
      </c>
    </row>
    <row r="110" spans="1:37" x14ac:dyDescent="0.25">
      <c r="A110">
        <v>58.318165325989689</v>
      </c>
      <c r="B110">
        <v>-45.003876222898811</v>
      </c>
      <c r="C110">
        <v>-345.52121600000004</v>
      </c>
      <c r="E110">
        <f t="shared" si="13"/>
        <v>-58.318165325989732</v>
      </c>
      <c r="F110">
        <f t="shared" si="14"/>
        <v>-276.14294093431357</v>
      </c>
      <c r="AC110">
        <f t="shared" si="17"/>
        <v>0</v>
      </c>
      <c r="AD110">
        <f t="shared" si="18"/>
        <v>0</v>
      </c>
      <c r="AF110">
        <f>'Cross Section Analysis'!B220</f>
        <v>5.0369314260371834</v>
      </c>
      <c r="AG110">
        <f>'Cross Section Analysis'!C220</f>
        <v>-199.65952882174099</v>
      </c>
      <c r="AH110">
        <f>'Cross Section Analysis'!$B$118</f>
        <v>1576.3696</v>
      </c>
      <c r="AJ110">
        <f t="shared" si="15"/>
        <v>-5.0369314260369906</v>
      </c>
      <c r="AK110">
        <f t="shared" si="16"/>
        <v>973.48102705796134</v>
      </c>
    </row>
    <row r="111" spans="1:37" x14ac:dyDescent="0.25">
      <c r="A111">
        <v>62.035005443114301</v>
      </c>
      <c r="B111">
        <v>-43.320084328688452</v>
      </c>
      <c r="C111">
        <v>-345.52121600000004</v>
      </c>
      <c r="E111">
        <f t="shared" si="13"/>
        <v>-62.035005443114343</v>
      </c>
      <c r="F111">
        <f t="shared" si="14"/>
        <v>-274.95232026781048</v>
      </c>
      <c r="AC111">
        <f t="shared" si="17"/>
        <v>0</v>
      </c>
      <c r="AD111">
        <f t="shared" si="18"/>
        <v>0</v>
      </c>
      <c r="AF111">
        <f>'Cross Section Analysis'!B221</f>
        <v>13.488004616277999</v>
      </c>
      <c r="AG111">
        <f>'Cross Section Analysis'!C221</f>
        <v>-199.33013044516562</v>
      </c>
      <c r="AH111">
        <f>'Cross Section Analysis'!$B$118</f>
        <v>1576.3696</v>
      </c>
      <c r="AJ111">
        <f t="shared" si="15"/>
        <v>-13.488004616277806</v>
      </c>
      <c r="AK111">
        <f t="shared" si="16"/>
        <v>973.7139468837496</v>
      </c>
    </row>
    <row r="112" spans="1:37" x14ac:dyDescent="0.25">
      <c r="A112">
        <v>63.709154052635213</v>
      </c>
      <c r="B112">
        <v>-42.278683767763717</v>
      </c>
      <c r="C112">
        <v>-345.52121600000004</v>
      </c>
      <c r="E112">
        <f t="shared" si="13"/>
        <v>-63.709154052635256</v>
      </c>
      <c r="F112">
        <f t="shared" si="14"/>
        <v>-274.21593886924916</v>
      </c>
      <c r="AC112">
        <f t="shared" si="17"/>
        <v>0</v>
      </c>
      <c r="AD112">
        <f t="shared" si="18"/>
        <v>0</v>
      </c>
      <c r="AF112">
        <f>'Cross Section Analysis'!B222</f>
        <v>21.916626216964048</v>
      </c>
      <c r="AG112">
        <f>'Cross Section Analysis'!C222</f>
        <v>-198.87475566110851</v>
      </c>
      <c r="AH112">
        <f>'Cross Section Analysis'!$B$118</f>
        <v>1576.3696</v>
      </c>
      <c r="AJ112">
        <f t="shared" si="15"/>
        <v>-21.916626216963856</v>
      </c>
      <c r="AK112">
        <f t="shared" si="16"/>
        <v>974.03594548153774</v>
      </c>
    </row>
    <row r="113" spans="1:37" x14ac:dyDescent="0.25">
      <c r="A113">
        <v>64.690687335949974</v>
      </c>
      <c r="B113">
        <v>-41.547008494731493</v>
      </c>
      <c r="C113">
        <v>-345.52121600000004</v>
      </c>
      <c r="E113">
        <f t="shared" si="13"/>
        <v>-64.690687335950017</v>
      </c>
      <c r="F113">
        <f t="shared" si="14"/>
        <v>-273.69856632206154</v>
      </c>
      <c r="AC113">
        <f t="shared" si="17"/>
        <v>0</v>
      </c>
      <c r="AD113">
        <f t="shared" si="18"/>
        <v>0</v>
      </c>
      <c r="AF113">
        <f>'Cross Section Analysis'!B223</f>
        <v>30.329357989068249</v>
      </c>
      <c r="AG113">
        <f>'Cross Section Analysis'!C223</f>
        <v>-198.29236336033239</v>
      </c>
      <c r="AH113">
        <f>'Cross Section Analysis'!$B$118</f>
        <v>1576.3696</v>
      </c>
      <c r="AJ113">
        <f t="shared" si="15"/>
        <v>-30.329357989068058</v>
      </c>
      <c r="AK113">
        <f t="shared" si="16"/>
        <v>974.44775902672745</v>
      </c>
    </row>
    <row r="114" spans="1:37" x14ac:dyDescent="0.25">
      <c r="A114">
        <v>65.362543062379672</v>
      </c>
      <c r="B114">
        <v>-40.98135142908162</v>
      </c>
      <c r="C114">
        <v>-345.52121600000004</v>
      </c>
      <c r="E114">
        <f t="shared" si="13"/>
        <v>-65.362543062379714</v>
      </c>
      <c r="F114">
        <f t="shared" si="14"/>
        <v>-273.29858637511444</v>
      </c>
      <c r="AC114">
        <f t="shared" si="17"/>
        <v>0</v>
      </c>
      <c r="AD114">
        <f t="shared" si="18"/>
        <v>0</v>
      </c>
      <c r="AF114">
        <f>'Cross Section Analysis'!B224</f>
        <v>38.732642052473686</v>
      </c>
      <c r="AG114">
        <f>'Cross Section Analysis'!C224</f>
        <v>-197.58160813810261</v>
      </c>
      <c r="AH114">
        <f>'Cross Section Analysis'!$B$118</f>
        <v>1576.3696</v>
      </c>
      <c r="AJ114">
        <f t="shared" si="15"/>
        <v>-38.732642052473494</v>
      </c>
      <c r="AK114">
        <f t="shared" si="16"/>
        <v>974.95033886412978</v>
      </c>
    </row>
    <row r="115" spans="1:37" x14ac:dyDescent="0.25">
      <c r="A115">
        <v>65.879617513288608</v>
      </c>
      <c r="B115">
        <v>-40.510162073041997</v>
      </c>
      <c r="C115">
        <v>-345.52121600000004</v>
      </c>
      <c r="E115">
        <f t="shared" si="13"/>
        <v>-65.87961751328865</v>
      </c>
      <c r="F115">
        <f t="shared" si="14"/>
        <v>-272.9654051862359</v>
      </c>
      <c r="AC115">
        <f t="shared" si="17"/>
        <v>0</v>
      </c>
      <c r="AD115">
        <f t="shared" si="18"/>
        <v>0</v>
      </c>
      <c r="AF115">
        <f>'Cross Section Analysis'!B225</f>
        <v>47.132827139830397</v>
      </c>
      <c r="AG115">
        <f>'Cross Section Analysis'!C225</f>
        <v>-196.74083297985547</v>
      </c>
      <c r="AH115">
        <f>'Cross Section Analysis'!$B$118</f>
        <v>1576.3696</v>
      </c>
      <c r="AJ115">
        <f t="shared" si="15"/>
        <v>-47.132827139830205</v>
      </c>
      <c r="AK115">
        <f t="shared" si="16"/>
        <v>975.5448566799796</v>
      </c>
    </row>
    <row r="116" spans="1:37" x14ac:dyDescent="0.25">
      <c r="A116">
        <v>66.317516062366607</v>
      </c>
      <c r="B116">
        <v>-40.090997772934877</v>
      </c>
      <c r="C116">
        <v>-345.52121600000004</v>
      </c>
      <c r="E116">
        <f t="shared" si="13"/>
        <v>-66.31751606236665</v>
      </c>
      <c r="F116">
        <f t="shared" si="14"/>
        <v>-272.66901126719881</v>
      </c>
      <c r="AC116">
        <f t="shared" si="17"/>
        <v>0</v>
      </c>
      <c r="AD116">
        <f t="shared" si="18"/>
        <v>0</v>
      </c>
      <c r="AF116">
        <f>'Cross Section Analysis'!B226</f>
        <v>55.536193390849924</v>
      </c>
      <c r="AG116">
        <f>'Cross Section Analysis'!C226</f>
        <v>-195.76805938930116</v>
      </c>
      <c r="AH116">
        <f>'Cross Section Analysis'!$B$118</f>
        <v>1576.3696</v>
      </c>
      <c r="AJ116">
        <f t="shared" si="15"/>
        <v>-55.536193390849732</v>
      </c>
      <c r="AK116">
        <f t="shared" si="16"/>
        <v>976.23271148241975</v>
      </c>
    </row>
    <row r="117" spans="1:37" x14ac:dyDescent="0.25">
      <c r="A117">
        <v>66.719898308350238</v>
      </c>
      <c r="B117">
        <v>-39.693636971261824</v>
      </c>
      <c r="C117">
        <v>-345.52121600000004</v>
      </c>
      <c r="E117">
        <f t="shared" si="13"/>
        <v>-66.719898308350281</v>
      </c>
      <c r="F117">
        <f t="shared" si="14"/>
        <v>-272.38803474975811</v>
      </c>
      <c r="AC117">
        <f t="shared" si="17"/>
        <v>0</v>
      </c>
      <c r="AD117">
        <f t="shared" si="18"/>
        <v>0</v>
      </c>
      <c r="AF117">
        <f>'Cross Section Analysis'!B227</f>
        <v>63.948975996415548</v>
      </c>
      <c r="AG117">
        <f>'Cross Section Analysis'!C227</f>
        <v>-194.66097793276606</v>
      </c>
      <c r="AH117">
        <f>'Cross Section Analysis'!$B$118</f>
        <v>1576.3696</v>
      </c>
      <c r="AJ117">
        <f t="shared" si="15"/>
        <v>-63.948975996415356</v>
      </c>
      <c r="AK117">
        <f t="shared" si="16"/>
        <v>977.01553628766158</v>
      </c>
    </row>
    <row r="118" spans="1:37" x14ac:dyDescent="0.25">
      <c r="A118">
        <v>67.117259092680158</v>
      </c>
      <c r="B118">
        <v>-39.291254706020823</v>
      </c>
      <c r="C118">
        <v>-345.52121600000004</v>
      </c>
      <c r="E118">
        <f t="shared" si="13"/>
        <v>-67.1172590926802</v>
      </c>
      <c r="F118">
        <f t="shared" si="14"/>
        <v>-272.10350752137697</v>
      </c>
      <c r="AC118">
        <f t="shared" si="17"/>
        <v>0</v>
      </c>
      <c r="AD118">
        <f t="shared" si="18"/>
        <v>0</v>
      </c>
      <c r="AF118">
        <f>'Cross Section Analysis'!B228</f>
        <v>72.377387903042546</v>
      </c>
      <c r="AG118">
        <f>'Cross Section Analysis'!C228</f>
        <v>-193.41693436232586</v>
      </c>
      <c r="AH118">
        <f>'Cross Section Analysis'!$B$118</f>
        <v>1576.3696</v>
      </c>
      <c r="AJ118">
        <f t="shared" si="15"/>
        <v>-72.377387903042347</v>
      </c>
      <c r="AK118">
        <f t="shared" si="16"/>
        <v>977.89520793241127</v>
      </c>
    </row>
    <row r="119" spans="1:37" x14ac:dyDescent="0.25">
      <c r="A119">
        <v>67.536423387436216</v>
      </c>
      <c r="B119">
        <v>-38.853356150025355</v>
      </c>
      <c r="C119">
        <v>-345.52121600000004</v>
      </c>
      <c r="E119">
        <f t="shared" si="13"/>
        <v>-67.536423387436258</v>
      </c>
      <c r="F119">
        <f t="shared" si="14"/>
        <v>-271.79386648296077</v>
      </c>
      <c r="AC119">
        <f t="shared" si="17"/>
        <v>0</v>
      </c>
      <c r="AD119">
        <f t="shared" si="18"/>
        <v>0</v>
      </c>
      <c r="AF119">
        <f>'Cross Section Analysis'!B229</f>
        <v>80.827641848648085</v>
      </c>
      <c r="AG119">
        <f>'Cross Section Analysis'!C229</f>
        <v>-192.03291580506774</v>
      </c>
      <c r="AH119">
        <f>'Cross Section Analysis'!$B$118</f>
        <v>1576.3696</v>
      </c>
      <c r="AJ119">
        <f t="shared" si="15"/>
        <v>-80.827641848647886</v>
      </c>
      <c r="AK119">
        <f t="shared" si="16"/>
        <v>978.87385683953653</v>
      </c>
    </row>
    <row r="120" spans="1:37" x14ac:dyDescent="0.25">
      <c r="A120">
        <v>68.007612364599538</v>
      </c>
      <c r="B120">
        <v>-38.336281099973668</v>
      </c>
      <c r="C120">
        <v>-345.52121600000004</v>
      </c>
      <c r="E120">
        <f t="shared" si="13"/>
        <v>-68.007612364599581</v>
      </c>
      <c r="F120">
        <f t="shared" si="14"/>
        <v>-271.42823920868688</v>
      </c>
      <c r="Y120" t="e">
        <v>#N/A</v>
      </c>
      <c r="Z120" t="e">
        <v>#N/A</v>
      </c>
      <c r="AA120" t="e">
        <v>#N/A</v>
      </c>
      <c r="AF120">
        <f>'Cross Section Analysis'!B230</f>
        <v>89.305971916376762</v>
      </c>
      <c r="AG120">
        <f>'Cross Section Analysis'!C230</f>
        <v>-190.50553421385121</v>
      </c>
      <c r="AH120">
        <f>'Cross Section Analysis'!$B$118</f>
        <v>1576.3696</v>
      </c>
      <c r="AJ120">
        <f t="shared" si="15"/>
        <v>-89.305971916376564</v>
      </c>
      <c r="AK120">
        <f t="shared" si="16"/>
        <v>979.95387872014533</v>
      </c>
    </row>
    <row r="121" spans="1:37" x14ac:dyDescent="0.25">
      <c r="A121">
        <v>68.547067045557213</v>
      </c>
      <c r="B121">
        <v>-37.535701739650015</v>
      </c>
      <c r="C121">
        <v>-345.52121600000004</v>
      </c>
      <c r="E121">
        <f t="shared" si="13"/>
        <v>-68.547067045557256</v>
      </c>
      <c r="F121">
        <f t="shared" si="14"/>
        <v>-270.86214411412402</v>
      </c>
      <c r="Y121" t="e">
        <v>#N/A</v>
      </c>
      <c r="Z121" t="e">
        <v>#N/A</v>
      </c>
      <c r="AA121" t="e">
        <v>#N/A</v>
      </c>
      <c r="AF121">
        <f>'Cross Section Analysis'!B231</f>
        <v>98.070637449433761</v>
      </c>
      <c r="AG121">
        <f>'Cross Section Analysis'!C231</f>
        <v>-188.5541977853587</v>
      </c>
      <c r="AH121">
        <f>'Cross Section Analysis'!$B$118</f>
        <v>1576.3696</v>
      </c>
      <c r="AJ121">
        <f t="shared" si="15"/>
        <v>-98.070637449433562</v>
      </c>
      <c r="AK121">
        <f t="shared" si="16"/>
        <v>981.33368194110869</v>
      </c>
    </row>
    <row r="122" spans="1:37" x14ac:dyDescent="0.25">
      <c r="A122">
        <v>69.127649125973491</v>
      </c>
      <c r="B122">
        <v>-35.911655613567163</v>
      </c>
      <c r="C122">
        <v>-345.52121600000004</v>
      </c>
      <c r="E122">
        <f t="shared" si="13"/>
        <v>-69.127649125973534</v>
      </c>
      <c r="F122">
        <f t="shared" si="14"/>
        <v>-269.71377008541111</v>
      </c>
      <c r="Y122" t="e">
        <v>#N/A</v>
      </c>
      <c r="Z122" t="e">
        <v>#N/A</v>
      </c>
      <c r="AA122" t="e">
        <v>#N/A</v>
      </c>
      <c r="AF122">
        <f>'Cross Section Analysis'!B232</f>
        <v>106.99246321347626</v>
      </c>
      <c r="AG122">
        <f>'Cross Section Analysis'!C232</f>
        <v>-186.32291305685783</v>
      </c>
      <c r="AH122">
        <f>'Cross Section Analysis'!$B$118</f>
        <v>1576.3696</v>
      </c>
      <c r="AJ122">
        <f t="shared" si="15"/>
        <v>-106.99246321347606</v>
      </c>
      <c r="AK122">
        <f t="shared" si="16"/>
        <v>982.9114385033896</v>
      </c>
    </row>
    <row r="123" spans="1:37" x14ac:dyDescent="0.25">
      <c r="A123">
        <v>70.043134438213102</v>
      </c>
      <c r="B123">
        <v>-33.880632616728498</v>
      </c>
      <c r="C123">
        <v>-345.52121600000004</v>
      </c>
      <c r="E123">
        <f t="shared" si="13"/>
        <v>-70.043134438213144</v>
      </c>
      <c r="F123">
        <f t="shared" si="14"/>
        <v>-268.27761995160063</v>
      </c>
      <c r="Y123" t="e">
        <v>#N/A</v>
      </c>
      <c r="Z123" t="e">
        <v>#N/A</v>
      </c>
      <c r="AA123" t="e">
        <v>#N/A</v>
      </c>
      <c r="AF123">
        <f>'Cross Section Analysis'!B233</f>
        <v>115.95357507602954</v>
      </c>
      <c r="AG123">
        <f>'Cross Section Analysis'!C233</f>
        <v>-183.94351661511104</v>
      </c>
      <c r="AH123">
        <f>'Cross Section Analysis'!$B$118</f>
        <v>1576.3696</v>
      </c>
      <c r="AJ123">
        <f t="shared" si="15"/>
        <v>-115.95357507602934</v>
      </c>
      <c r="AK123">
        <f t="shared" si="16"/>
        <v>984.59392586247986</v>
      </c>
    </row>
    <row r="124" spans="1:37" x14ac:dyDescent="0.25">
      <c r="A124">
        <v>71.742589468617922</v>
      </c>
      <c r="B124">
        <v>-30.487901394882709</v>
      </c>
      <c r="C124">
        <v>-345.52121600000004</v>
      </c>
      <c r="E124">
        <f t="shared" si="13"/>
        <v>-71.742589468617965</v>
      </c>
      <c r="F124">
        <f t="shared" si="14"/>
        <v>-265.8785966978902</v>
      </c>
      <c r="Y124" t="e">
        <v>#N/A</v>
      </c>
      <c r="Z124" t="e">
        <v>#N/A</v>
      </c>
      <c r="AA124" t="e">
        <v>#N/A</v>
      </c>
      <c r="AF124">
        <f>'Cross Section Analysis'!B234</f>
        <v>124.79731761801044</v>
      </c>
      <c r="AG124">
        <f>'Cross Section Analysis'!C234</f>
        <v>-181.45566904033893</v>
      </c>
      <c r="AH124">
        <f>'Cross Section Analysis'!$B$118</f>
        <v>1576.3696</v>
      </c>
      <c r="AJ124">
        <f t="shared" si="15"/>
        <v>-124.79731761801024</v>
      </c>
      <c r="AK124">
        <f t="shared" si="16"/>
        <v>986.35309975315977</v>
      </c>
    </row>
    <row r="125" spans="1:37" x14ac:dyDescent="0.25">
      <c r="A125">
        <v>75.81498708032511</v>
      </c>
      <c r="B125">
        <v>-18.974573639314862</v>
      </c>
      <c r="C125">
        <v>-345.52121600000004</v>
      </c>
      <c r="E125">
        <f t="shared" si="13"/>
        <v>-75.814987080325153</v>
      </c>
      <c r="F125">
        <f t="shared" si="14"/>
        <v>-257.73744456790484</v>
      </c>
      <c r="Y125" t="e">
        <v>#N/A</v>
      </c>
      <c r="Z125" t="e">
        <v>#N/A</v>
      </c>
      <c r="AA125" t="e">
        <v>#N/A</v>
      </c>
      <c r="AF125">
        <f>'Cross Section Analysis'!B235</f>
        <v>132.92930350647086</v>
      </c>
      <c r="AG125">
        <f>'Cross Section Analysis'!C235</f>
        <v>-179.0329721020068</v>
      </c>
      <c r="AH125">
        <f>'Cross Section Analysis'!$B$118</f>
        <v>1576.3696</v>
      </c>
      <c r="AJ125">
        <f t="shared" si="15"/>
        <v>-132.92930350647066</v>
      </c>
      <c r="AK125">
        <f t="shared" si="16"/>
        <v>988.06620518701436</v>
      </c>
    </row>
    <row r="126" spans="1:37" x14ac:dyDescent="0.25">
      <c r="A126">
        <v>78.281421149402476</v>
      </c>
      <c r="B126">
        <v>0</v>
      </c>
      <c r="C126">
        <v>-345.52121600000004</v>
      </c>
      <c r="E126">
        <f t="shared" si="13"/>
        <v>-78.281421149402519</v>
      </c>
      <c r="F126">
        <f t="shared" si="14"/>
        <v>-244.32039487742182</v>
      </c>
      <c r="Y126" t="e">
        <v>#N/A</v>
      </c>
      <c r="Z126" t="e">
        <v>#N/A</v>
      </c>
      <c r="AA126" t="e">
        <v>#N/A</v>
      </c>
      <c r="AF126">
        <f>'Cross Section Analysis'!B236</f>
        <v>140.39861150881902</v>
      </c>
      <c r="AG126">
        <f>'Cross Section Analysis'!C236</f>
        <v>-176.68425033856582</v>
      </c>
      <c r="AH126">
        <f>'Cross Section Analysis'!$B$118</f>
        <v>1576.3696</v>
      </c>
      <c r="AJ126">
        <f t="shared" si="15"/>
        <v>-140.39861150881882</v>
      </c>
      <c r="AK126">
        <f t="shared" si="16"/>
        <v>989.72700227306382</v>
      </c>
    </row>
    <row r="127" spans="1:37" x14ac:dyDescent="0.25">
      <c r="A127">
        <v>75.814987080325125</v>
      </c>
      <c r="B127">
        <v>18.974573639314869</v>
      </c>
      <c r="C127">
        <v>-345.52121600000004</v>
      </c>
      <c r="E127">
        <f t="shared" si="13"/>
        <v>-75.814987080325167</v>
      </c>
      <c r="F127">
        <f t="shared" si="14"/>
        <v>-230.90334518693876</v>
      </c>
      <c r="Y127" t="e">
        <v>#N/A</v>
      </c>
      <c r="Z127" t="e">
        <v>#N/A</v>
      </c>
      <c r="AA127" t="e">
        <v>#N/A</v>
      </c>
      <c r="AF127">
        <f>'Cross Section Analysis'!B237</f>
        <v>147.30264339372482</v>
      </c>
      <c r="AG127">
        <f>'Cross Section Analysis'!C237</f>
        <v>-174.40051199695745</v>
      </c>
      <c r="AH127">
        <f>'Cross Section Analysis'!$B$118</f>
        <v>1576.3696</v>
      </c>
      <c r="AJ127">
        <f t="shared" si="15"/>
        <v>-147.30264339372462</v>
      </c>
      <c r="AK127">
        <f t="shared" si="16"/>
        <v>991.34184914087086</v>
      </c>
    </row>
    <row r="128" spans="1:37" x14ac:dyDescent="0.25">
      <c r="A128">
        <v>71.742589468618078</v>
      </c>
      <c r="B128">
        <v>30.487901394882716</v>
      </c>
      <c r="C128">
        <v>-345.52121600000004</v>
      </c>
      <c r="E128">
        <f t="shared" si="13"/>
        <v>-71.742589468618121</v>
      </c>
      <c r="F128">
        <f t="shared" si="14"/>
        <v>-222.76219305695344</v>
      </c>
      <c r="AF128">
        <f>'Cross Section Analysis'!B238</f>
        <v>153.73514733249382</v>
      </c>
      <c r="AG128">
        <f>'Cross Section Analysis'!C238</f>
        <v>-172.06469630256754</v>
      </c>
      <c r="AH128">
        <f>'Cross Section Analysis'!$B$118</f>
        <v>1576.3696</v>
      </c>
      <c r="AJ128">
        <f t="shared" si="15"/>
        <v>-153.73514733249363</v>
      </c>
      <c r="AK128">
        <f t="shared" si="16"/>
        <v>992.99352025797589</v>
      </c>
    </row>
    <row r="129" spans="1:37" x14ac:dyDescent="0.25">
      <c r="A129">
        <v>70.043134438213116</v>
      </c>
      <c r="B129">
        <v>33.880632616728505</v>
      </c>
      <c r="C129">
        <v>-345.52121600000004</v>
      </c>
      <c r="E129">
        <f t="shared" si="13"/>
        <v>-70.043134438213158</v>
      </c>
      <c r="F129">
        <f t="shared" si="14"/>
        <v>-220.36316980324295</v>
      </c>
      <c r="AF129">
        <f>'Cross Section Analysis'!B239</f>
        <v>159.74953112323556</v>
      </c>
      <c r="AG129">
        <f>'Cross Section Analysis'!C239</f>
        <v>-169.68832859489757</v>
      </c>
      <c r="AH129">
        <f>'Cross Section Analysis'!$B$118</f>
        <v>1576.3696</v>
      </c>
      <c r="AJ129">
        <f t="shared" si="15"/>
        <v>-159.74953112323536</v>
      </c>
      <c r="AK129">
        <f t="shared" si="16"/>
        <v>994.67386597866209</v>
      </c>
    </row>
    <row r="130" spans="1:37" x14ac:dyDescent="0.25">
      <c r="A130">
        <v>69.127649125973505</v>
      </c>
      <c r="B130">
        <v>35.911655613567177</v>
      </c>
      <c r="C130">
        <v>-345.52121600000004</v>
      </c>
      <c r="E130">
        <f t="shared" si="13"/>
        <v>-69.127649125973548</v>
      </c>
      <c r="F130">
        <f t="shared" si="14"/>
        <v>-218.92701966943253</v>
      </c>
      <c r="AF130">
        <f>'Cross Section Analysis'!B240</f>
        <v>165.38421099359002</v>
      </c>
      <c r="AG130">
        <f>'Cross Section Analysis'!C240</f>
        <v>-167.36688191894393</v>
      </c>
      <c r="AH130">
        <f>'Cross Section Analysis'!$B$118</f>
        <v>1576.3696</v>
      </c>
      <c r="AJ130">
        <f t="shared" si="15"/>
        <v>-165.38421099358982</v>
      </c>
      <c r="AK130">
        <f t="shared" si="16"/>
        <v>996.31537666539191</v>
      </c>
    </row>
    <row r="131" spans="1:37" x14ac:dyDescent="0.25">
      <c r="A131">
        <v>68.547067045557213</v>
      </c>
      <c r="B131">
        <v>37.535701739650015</v>
      </c>
      <c r="C131">
        <v>-345.52121600000004</v>
      </c>
      <c r="E131">
        <f t="shared" si="13"/>
        <v>-68.547067045557256</v>
      </c>
      <c r="F131">
        <f t="shared" si="14"/>
        <v>-217.77864564071959</v>
      </c>
      <c r="AF131">
        <f>'Cross Section Analysis'!B241</f>
        <v>170.68550053360272</v>
      </c>
      <c r="AG131">
        <f>'Cross Section Analysis'!C241</f>
        <v>-165.09420197518875</v>
      </c>
      <c r="AH131">
        <f>'Cross Section Analysis'!$B$118</f>
        <v>1576.3696</v>
      </c>
      <c r="AJ131">
        <f t="shared" si="15"/>
        <v>-170.68550053360252</v>
      </c>
      <c r="AK131">
        <f t="shared" si="16"/>
        <v>997.9224040650879</v>
      </c>
    </row>
    <row r="132" spans="1:37" x14ac:dyDescent="0.25">
      <c r="A132">
        <v>68.007612364599566</v>
      </c>
      <c r="B132">
        <v>38.336281099973675</v>
      </c>
      <c r="C132">
        <v>-345.52121600000004</v>
      </c>
      <c r="E132">
        <f t="shared" si="13"/>
        <v>-68.007612364599609</v>
      </c>
      <c r="F132">
        <f t="shared" si="14"/>
        <v>-217.21255054615676</v>
      </c>
      <c r="AF132">
        <f>'Cross Section Analysis'!B242</f>
        <v>175.69244111666254</v>
      </c>
      <c r="AG132">
        <f>'Cross Section Analysis'!C242</f>
        <v>-162.86472109032579</v>
      </c>
      <c r="AH132">
        <f>'Cross Section Analysis'!$B$118</f>
        <v>1576.3696</v>
      </c>
      <c r="AJ132">
        <f t="shared" si="15"/>
        <v>-175.69244111666234</v>
      </c>
      <c r="AK132">
        <f t="shared" si="16"/>
        <v>999.49888511730023</v>
      </c>
    </row>
    <row r="133" spans="1:37" x14ac:dyDescent="0.25">
      <c r="A133">
        <v>67.536423387436216</v>
      </c>
      <c r="B133">
        <v>38.853356150025355</v>
      </c>
      <c r="C133">
        <v>-345.52121600000004</v>
      </c>
      <c r="E133">
        <f t="shared" si="13"/>
        <v>-67.536423387436258</v>
      </c>
      <c r="F133">
        <f t="shared" si="14"/>
        <v>-216.84692327188282</v>
      </c>
      <c r="AF133">
        <f>'Cross Section Analysis'!B243</f>
        <v>180.43820905875666</v>
      </c>
      <c r="AG133">
        <f>'Cross Section Analysis'!C243</f>
        <v>-160.67336616272129</v>
      </c>
      <c r="AH133">
        <f>'Cross Section Analysis'!$B$118</f>
        <v>1576.3696</v>
      </c>
      <c r="AJ133">
        <f t="shared" si="15"/>
        <v>-180.43820905875646</v>
      </c>
      <c r="AK133">
        <f t="shared" si="16"/>
        <v>1001.0484070465959</v>
      </c>
    </row>
    <row r="134" spans="1:37" x14ac:dyDescent="0.25">
      <c r="A134">
        <v>67.117259092680143</v>
      </c>
      <c r="B134">
        <v>39.291254706020801</v>
      </c>
      <c r="C134">
        <v>-345.52121600000004</v>
      </c>
      <c r="E134">
        <f t="shared" si="13"/>
        <v>-67.117259092680186</v>
      </c>
      <c r="F134">
        <f t="shared" si="14"/>
        <v>-216.53728223346667</v>
      </c>
      <c r="AF134">
        <f>'Cross Section Analysis'!B244</f>
        <v>184.95120573287608</v>
      </c>
      <c r="AG134">
        <f>'Cross Section Analysis'!C244</f>
        <v>-158.51548131024899</v>
      </c>
      <c r="AH134">
        <f>'Cross Section Analysis'!$B$118</f>
        <v>1576.3696</v>
      </c>
      <c r="AJ134">
        <f t="shared" si="15"/>
        <v>-184.95120573287588</v>
      </c>
      <c r="AK134">
        <f t="shared" si="16"/>
        <v>1002.5742620587988</v>
      </c>
    </row>
    <row r="135" spans="1:37" x14ac:dyDescent="0.25">
      <c r="A135">
        <v>66.719898308350167</v>
      </c>
      <c r="B135">
        <v>39.693636971261746</v>
      </c>
      <c r="C135">
        <v>-345.52121600000004</v>
      </c>
      <c r="E135">
        <f t="shared" si="13"/>
        <v>-66.71989830835021</v>
      </c>
      <c r="F135">
        <f t="shared" si="14"/>
        <v>-216.25275500508559</v>
      </c>
      <c r="AF135">
        <f>'Cross Section Analysis'!B245</f>
        <v>189.25591199914433</v>
      </c>
      <c r="AG135">
        <f>'Cross Section Analysis'!C245</f>
        <v>-156.38676348956977</v>
      </c>
      <c r="AH135">
        <f>'Cross Section Analysis'!$B$118</f>
        <v>1576.3696</v>
      </c>
      <c r="AJ135">
        <f t="shared" si="15"/>
        <v>-189.25591199914413</v>
      </c>
      <c r="AK135">
        <f t="shared" si="16"/>
        <v>1004.0794928650338</v>
      </c>
    </row>
    <row r="136" spans="1:37" x14ac:dyDescent="0.25">
      <c r="A136">
        <v>66.317516062366593</v>
      </c>
      <c r="B136">
        <v>40.09099777293487</v>
      </c>
      <c r="C136">
        <v>-345.52121600000004</v>
      </c>
      <c r="E136">
        <f t="shared" si="13"/>
        <v>-66.317516062366636</v>
      </c>
      <c r="F136">
        <f t="shared" si="14"/>
        <v>-215.9717784876448</v>
      </c>
      <c r="AF136">
        <f>'Cross Section Analysis'!B246</f>
        <v>193.37356461643228</v>
      </c>
      <c r="AG136">
        <f>'Cross Section Analysis'!C246</f>
        <v>-154.28320813638612</v>
      </c>
      <c r="AH136">
        <f>'Cross Section Analysis'!$B$118</f>
        <v>1576.3696</v>
      </c>
      <c r="AJ136">
        <f t="shared" si="15"/>
        <v>-193.37356461643208</v>
      </c>
      <c r="AK136">
        <f t="shared" si="16"/>
        <v>1005.5669311198711</v>
      </c>
    </row>
    <row r="137" spans="1:37" x14ac:dyDescent="0.25">
      <c r="A137">
        <v>65.879617513288608</v>
      </c>
      <c r="B137">
        <v>40.51016207304199</v>
      </c>
      <c r="C137">
        <v>-345.52121600000004</v>
      </c>
      <c r="E137">
        <f t="shared" si="13"/>
        <v>-65.87961751328865</v>
      </c>
      <c r="F137">
        <f t="shared" si="14"/>
        <v>-215.67538456860774</v>
      </c>
      <c r="AF137">
        <f>'Cross Section Analysis'!B247</f>
        <v>197.32269677525628</v>
      </c>
      <c r="AG137">
        <f>'Cross Section Analysis'!C247</f>
        <v>-152.20106282046206</v>
      </c>
      <c r="AH137">
        <f>'Cross Section Analysis'!$B$118</f>
        <v>1576.3696</v>
      </c>
      <c r="AJ137">
        <f t="shared" si="15"/>
        <v>-197.32269677525608</v>
      </c>
      <c r="AK137">
        <f t="shared" si="16"/>
        <v>1007.0392301921769</v>
      </c>
    </row>
    <row r="138" spans="1:37" x14ac:dyDescent="0.25">
      <c r="A138">
        <v>65.362543062379686</v>
      </c>
      <c r="B138">
        <v>40.981351429081606</v>
      </c>
      <c r="C138">
        <v>-345.52121600000004</v>
      </c>
      <c r="E138">
        <f t="shared" si="13"/>
        <v>-65.362543062379729</v>
      </c>
      <c r="F138">
        <f t="shared" si="14"/>
        <v>-215.3422033797292</v>
      </c>
      <c r="AF138">
        <f>'Cross Section Analysis'!B248</f>
        <v>201.11957363993838</v>
      </c>
      <c r="AG138">
        <f>'Cross Section Analysis'!C248</f>
        <v>-150.13678715939105</v>
      </c>
      <c r="AH138">
        <f>'Cross Section Analysis'!$B$118</f>
        <v>1576.3696</v>
      </c>
      <c r="AJ138">
        <f t="shared" si="15"/>
        <v>-201.11957363993818</v>
      </c>
      <c r="AK138">
        <f t="shared" si="16"/>
        <v>1008.4988935103586</v>
      </c>
    </row>
    <row r="139" spans="1:37" x14ac:dyDescent="0.25">
      <c r="A139">
        <v>64.69068733594996</v>
      </c>
      <c r="B139">
        <v>41.5470084947315</v>
      </c>
      <c r="C139">
        <v>-345.52121600000004</v>
      </c>
      <c r="E139">
        <f t="shared" si="13"/>
        <v>-64.690687335950003</v>
      </c>
      <c r="F139">
        <f t="shared" si="14"/>
        <v>-214.94222343278207</v>
      </c>
      <c r="AF139">
        <f>'Cross Section Analysis'!B249</f>
        <v>204.66188134394162</v>
      </c>
      <c r="AG139">
        <f>'Cross Section Analysis'!C249</f>
        <v>-148.05743263476</v>
      </c>
      <c r="AH139">
        <f>'Cross Section Analysis'!$B$118</f>
        <v>1576.3696</v>
      </c>
      <c r="AJ139">
        <f t="shared" si="15"/>
        <v>-204.66188134394142</v>
      </c>
      <c r="AK139">
        <f t="shared" si="16"/>
        <v>1009.9692191952161</v>
      </c>
    </row>
    <row r="140" spans="1:37" x14ac:dyDescent="0.25">
      <c r="A140">
        <v>63.709154052635228</v>
      </c>
      <c r="B140">
        <v>42.278683767763773</v>
      </c>
      <c r="C140">
        <v>-345.52121600000004</v>
      </c>
      <c r="E140">
        <f t="shared" si="13"/>
        <v>-63.70915405263527</v>
      </c>
      <c r="F140">
        <f t="shared" si="14"/>
        <v>-214.42485088559442</v>
      </c>
      <c r="AF140">
        <f>'Cross Section Analysis'!B250</f>
        <v>208.0347203146865</v>
      </c>
      <c r="AG140">
        <f>'Cross Section Analysis'!C250</f>
        <v>-145.98072911235954</v>
      </c>
      <c r="AH140">
        <f>'Cross Section Analysis'!$B$118</f>
        <v>1576.3696</v>
      </c>
      <c r="AJ140">
        <f t="shared" si="15"/>
        <v>-208.0347203146863</v>
      </c>
      <c r="AK140">
        <f t="shared" si="16"/>
        <v>1011.4376703384195</v>
      </c>
    </row>
    <row r="141" spans="1:37" x14ac:dyDescent="0.25">
      <c r="A141">
        <v>62.035005443114237</v>
      </c>
      <c r="B141">
        <v>43.320084328688445</v>
      </c>
      <c r="C141">
        <v>-345.52121600000004</v>
      </c>
      <c r="E141">
        <f t="shared" si="13"/>
        <v>-62.035005443114279</v>
      </c>
      <c r="F141">
        <f t="shared" si="14"/>
        <v>-213.68846948703313</v>
      </c>
      <c r="AF141">
        <f>'Cross Section Analysis'!B251</f>
        <v>211.29059495848566</v>
      </c>
      <c r="AG141">
        <f>'Cross Section Analysis'!C251</f>
        <v>-143.91435671351869</v>
      </c>
      <c r="AH141">
        <f>'Cross Section Analysis'!$B$118</f>
        <v>1576.3696</v>
      </c>
      <c r="AJ141">
        <f t="shared" si="15"/>
        <v>-211.29059495848546</v>
      </c>
      <c r="AK141">
        <f t="shared" si="16"/>
        <v>1012.8988162740965</v>
      </c>
    </row>
    <row r="142" spans="1:37" x14ac:dyDescent="0.25">
      <c r="A142">
        <v>58.318165325989675</v>
      </c>
      <c r="B142">
        <v>45.003876222898789</v>
      </c>
      <c r="C142">
        <v>-345.52121600000004</v>
      </c>
      <c r="E142">
        <f t="shared" si="13"/>
        <v>-58.318165325989717</v>
      </c>
      <c r="F142">
        <f t="shared" si="14"/>
        <v>-212.49784882053004</v>
      </c>
      <c r="AF142">
        <f>'Cross Section Analysis'!B252</f>
        <v>214.43988299918422</v>
      </c>
      <c r="AG142">
        <f>'Cross Section Analysis'!C252</f>
        <v>-141.8553229147484</v>
      </c>
      <c r="AH142">
        <f>'Cross Section Analysis'!$B$118</f>
        <v>1576.3696</v>
      </c>
      <c r="AJ142">
        <f t="shared" si="15"/>
        <v>-214.43988299918402</v>
      </c>
      <c r="AK142">
        <f t="shared" si="16"/>
        <v>1014.3547730358993</v>
      </c>
    </row>
    <row r="143" spans="1:37" x14ac:dyDescent="0.25">
      <c r="A143">
        <v>45.967314670880945</v>
      </c>
      <c r="B143">
        <v>48.794161901667607</v>
      </c>
      <c r="C143">
        <v>-345.52121600000004</v>
      </c>
      <c r="E143">
        <f t="shared" si="13"/>
        <v>-45.967314670880988</v>
      </c>
      <c r="F143">
        <f t="shared" si="14"/>
        <v>-209.81771211443836</v>
      </c>
      <c r="AF143">
        <f>'Cross Section Analysis'!B253</f>
        <v>217.49190794910442</v>
      </c>
      <c r="AG143">
        <f>'Cross Section Analysis'!C253</f>
        <v>-139.80070931539132</v>
      </c>
      <c r="AH143">
        <f>'Cross Section Analysis'!$B$118</f>
        <v>1576.3696</v>
      </c>
      <c r="AJ143">
        <f t="shared" si="15"/>
        <v>-217.49190794910422</v>
      </c>
      <c r="AK143">
        <f t="shared" si="16"/>
        <v>1015.8076042447228</v>
      </c>
    </row>
    <row r="144" spans="1:37" x14ac:dyDescent="0.25">
      <c r="A144">
        <v>1.7893454307088855E-14</v>
      </c>
      <c r="B144">
        <v>52.187693616224472</v>
      </c>
      <c r="C144">
        <v>-345.52121600000004</v>
      </c>
      <c r="E144">
        <f t="shared" si="13"/>
        <v>-6.0224932699143606E-14</v>
      </c>
      <c r="F144">
        <f t="shared" si="14"/>
        <v>-207.41812282690358</v>
      </c>
      <c r="AF144">
        <f>'Cross Section Analysis'!B254</f>
        <v>220.4550818114098</v>
      </c>
      <c r="AG144">
        <f>'Cross Section Analysis'!C254</f>
        <v>-137.74765115919686</v>
      </c>
      <c r="AH144">
        <f>'Cross Section Analysis'!$B$118</f>
        <v>1576.3696</v>
      </c>
      <c r="AJ144">
        <f t="shared" si="15"/>
        <v>-220.4550818114096</v>
      </c>
      <c r="AK144">
        <f t="shared" si="16"/>
        <v>1017.2593355891382</v>
      </c>
    </row>
    <row r="145" spans="1:37" x14ac:dyDescent="0.25">
      <c r="A145">
        <v>-45.967314670880903</v>
      </c>
      <c r="B145">
        <v>48.794161901667586</v>
      </c>
      <c r="C145">
        <v>-345.52121600000004</v>
      </c>
      <c r="E145">
        <f t="shared" si="13"/>
        <v>45.96731467088086</v>
      </c>
      <c r="F145">
        <f t="shared" si="14"/>
        <v>-209.81771211443839</v>
      </c>
      <c r="AF145">
        <f>'Cross Section Analysis'!B255</f>
        <v>222.14994147921664</v>
      </c>
      <c r="AG145">
        <f>'Cross Section Analysis'!C255</f>
        <v>-136.49262453757652</v>
      </c>
      <c r="AH145">
        <f>'Cross Section Analysis'!$B$118</f>
        <v>1576.3696</v>
      </c>
      <c r="AJ145">
        <f t="shared" si="15"/>
        <v>-222.14994147921644</v>
      </c>
      <c r="AK145">
        <f t="shared" si="16"/>
        <v>1018.1467734238556</v>
      </c>
    </row>
    <row r="146" spans="1:37" x14ac:dyDescent="0.25">
      <c r="A146">
        <v>-58.318165325989639</v>
      </c>
      <c r="B146">
        <v>45.003876222898775</v>
      </c>
      <c r="C146">
        <v>-345.52121600000004</v>
      </c>
      <c r="E146">
        <f t="shared" si="13"/>
        <v>58.318165325989597</v>
      </c>
      <c r="F146">
        <f t="shared" si="14"/>
        <v>-212.49784882053007</v>
      </c>
      <c r="AF146">
        <f>'Cross Section Analysis'!B256</f>
        <v>224.99202346835278</v>
      </c>
      <c r="AG146">
        <f>'Cross Section Analysis'!C256</f>
        <v>-134.40891513365483</v>
      </c>
      <c r="AH146">
        <f>'Cross Section Analysis'!$B$118</f>
        <v>1576.3696</v>
      </c>
      <c r="AJ146">
        <f t="shared" si="15"/>
        <v>-224.99202346835258</v>
      </c>
      <c r="AK146">
        <f t="shared" si="16"/>
        <v>1019.6201784733909</v>
      </c>
    </row>
    <row r="147" spans="1:37" x14ac:dyDescent="0.25">
      <c r="A147">
        <v>-62.035005443114159</v>
      </c>
      <c r="B147">
        <v>43.320084328688381</v>
      </c>
      <c r="C147">
        <v>-345.52121600000004</v>
      </c>
      <c r="E147">
        <f t="shared" si="13"/>
        <v>62.035005443114116</v>
      </c>
      <c r="F147">
        <f t="shared" si="14"/>
        <v>-213.68846948703319</v>
      </c>
      <c r="AF147">
        <f>'Cross Section Analysis'!B257</f>
        <v>227.76516595602888</v>
      </c>
      <c r="AG147">
        <f>'Cross Section Analysis'!C257</f>
        <v>-132.31807058565636</v>
      </c>
      <c r="AH147">
        <f>'Cross Section Analysis'!$B$118</f>
        <v>1576.3696</v>
      </c>
      <c r="AJ147">
        <f t="shared" si="15"/>
        <v>-227.76516595602868</v>
      </c>
      <c r="AK147">
        <f t="shared" si="16"/>
        <v>1021.0986288316875</v>
      </c>
    </row>
    <row r="148" spans="1:37" x14ac:dyDescent="0.25">
      <c r="A148">
        <v>-63.709154052635213</v>
      </c>
      <c r="B148">
        <v>42.278683767763738</v>
      </c>
      <c r="C148">
        <v>-345.52121600000004</v>
      </c>
      <c r="E148">
        <f t="shared" ref="E148:E211" si="19">($I$2*A148)+($K$2*B148)+($M$2*C148)</f>
        <v>63.709154052635171</v>
      </c>
      <c r="F148">
        <f t="shared" ref="F148:F211" si="20">($J$2*A148)+($L$2*B148)+($N$2*C148)</f>
        <v>-214.42485088559448</v>
      </c>
      <c r="AF148">
        <f>'Cross Section Analysis'!B258</f>
        <v>230.47525707769782</v>
      </c>
      <c r="AG148">
        <f>'Cross Section Analysis'!C258</f>
        <v>-130.21721853940974</v>
      </c>
      <c r="AH148">
        <f>'Cross Section Analysis'!$B$118</f>
        <v>1576.3696</v>
      </c>
      <c r="AJ148">
        <f t="shared" ref="AJ148:AJ211" si="21">($I$2*AF148)+($K$2*AG148)+($M$2*AH148)</f>
        <v>-230.47525707769762</v>
      </c>
      <c r="AK148">
        <f t="shared" ref="AK148:AK211" si="22">($J$2*AF148)+($L$2*AG148)+($N$2*AH148)</f>
        <v>1022.5841555598581</v>
      </c>
    </row>
    <row r="149" spans="1:37" x14ac:dyDescent="0.25">
      <c r="A149">
        <v>-64.690687335949974</v>
      </c>
      <c r="B149">
        <v>41.547008494731486</v>
      </c>
      <c r="C149">
        <v>-345.52121600000004</v>
      </c>
      <c r="E149">
        <f t="shared" si="19"/>
        <v>64.690687335949931</v>
      </c>
      <c r="F149">
        <f t="shared" si="20"/>
        <v>-214.9422234327821</v>
      </c>
      <c r="AF149">
        <f>'Cross Section Analysis'!B259</f>
        <v>233.12771750542746</v>
      </c>
      <c r="AG149">
        <f>'Cross Section Analysis'!C259</f>
        <v>-128.10344829380574</v>
      </c>
      <c r="AH149">
        <f>'Cross Section Analysis'!$B$118</f>
        <v>1576.3696</v>
      </c>
      <c r="AJ149">
        <f t="shared" si="21"/>
        <v>-233.12771750542726</v>
      </c>
      <c r="AK149">
        <f t="shared" si="22"/>
        <v>1024.078816834395</v>
      </c>
    </row>
    <row r="150" spans="1:37" x14ac:dyDescent="0.25">
      <c r="A150">
        <v>-65.362543062379657</v>
      </c>
      <c r="B150">
        <v>40.981351429081592</v>
      </c>
      <c r="C150">
        <v>-345.52121600000004</v>
      </c>
      <c r="E150">
        <f t="shared" si="19"/>
        <v>65.362543062379615</v>
      </c>
      <c r="F150">
        <f t="shared" si="20"/>
        <v>-215.34220337972923</v>
      </c>
      <c r="AF150">
        <f>'Cross Section Analysis'!B260</f>
        <v>235.72755770708432</v>
      </c>
      <c r="AG150">
        <f>'Cross Section Analysis'!C260</f>
        <v>-125.97379265899296</v>
      </c>
      <c r="AH150">
        <f>'Cross Section Analysis'!$B$118</f>
        <v>1576.3696</v>
      </c>
      <c r="AJ150">
        <f t="shared" si="21"/>
        <v>-235.72755770708412</v>
      </c>
      <c r="AK150">
        <f t="shared" si="22"/>
        <v>1025.5847107753632</v>
      </c>
    </row>
    <row r="151" spans="1:37" x14ac:dyDescent="0.25">
      <c r="A151">
        <v>-65.879617513288508</v>
      </c>
      <c r="B151">
        <v>40.51016207304189</v>
      </c>
      <c r="C151">
        <v>-345.52121600000004</v>
      </c>
      <c r="E151">
        <f t="shared" si="19"/>
        <v>65.879617513288466</v>
      </c>
      <c r="F151">
        <f t="shared" si="20"/>
        <v>-215.67538456860783</v>
      </c>
      <c r="AF151">
        <f>'Cross Section Analysis'!B261</f>
        <v>238.2794274637931</v>
      </c>
      <c r="AG151">
        <f>'Cross Section Analysis'!C261</f>
        <v>-123.82520907782666</v>
      </c>
      <c r="AH151">
        <f>'Cross Section Analysis'!$B$118</f>
        <v>1576.3696</v>
      </c>
      <c r="AJ151">
        <f t="shared" si="21"/>
        <v>-238.2794274637929</v>
      </c>
      <c r="AK151">
        <f t="shared" si="22"/>
        <v>1027.1039887955521</v>
      </c>
    </row>
    <row r="152" spans="1:37" x14ac:dyDescent="0.25">
      <c r="A152">
        <v>-66.317516062366522</v>
      </c>
      <c r="B152">
        <v>40.090997772934806</v>
      </c>
      <c r="C152">
        <v>-345.52121600000004</v>
      </c>
      <c r="E152">
        <f t="shared" si="19"/>
        <v>66.317516062366479</v>
      </c>
      <c r="F152">
        <f t="shared" si="20"/>
        <v>-215.97177848764485</v>
      </c>
      <c r="AF152">
        <f>'Cross Section Analysis'!B262</f>
        <v>240.78766099846064</v>
      </c>
      <c r="AG152">
        <f>'Cross Section Analysis'!C262</f>
        <v>-121.65456064344902</v>
      </c>
      <c r="AH152">
        <f>'Cross Section Analysis'!$B$118</f>
        <v>1576.3696</v>
      </c>
      <c r="AJ152">
        <f t="shared" si="21"/>
        <v>-240.78766099846044</v>
      </c>
      <c r="AK152">
        <f t="shared" si="22"/>
        <v>1028.6388690230724</v>
      </c>
    </row>
    <row r="153" spans="1:37" x14ac:dyDescent="0.25">
      <c r="A153">
        <v>-66.71989830835011</v>
      </c>
      <c r="B153">
        <v>39.693636971261725</v>
      </c>
      <c r="C153">
        <v>-345.52121600000004</v>
      </c>
      <c r="E153">
        <f t="shared" si="19"/>
        <v>66.719898308350068</v>
      </c>
      <c r="F153">
        <f t="shared" si="20"/>
        <v>-216.25275500508562</v>
      </c>
      <c r="AF153">
        <f>'Cross Section Analysis'!B263</f>
        <v>242.46939401266667</v>
      </c>
      <c r="AG153">
        <f>'Cross Section Analysis'!C263</f>
        <v>-120.28863791321743</v>
      </c>
      <c r="AH153">
        <f>'Cross Section Analysis'!$B$118</f>
        <v>1576.3696</v>
      </c>
      <c r="AJ153">
        <f t="shared" si="21"/>
        <v>-242.46939401266647</v>
      </c>
      <c r="AK153">
        <f t="shared" si="22"/>
        <v>1029.6047222481961</v>
      </c>
    </row>
    <row r="154" spans="1:37" x14ac:dyDescent="0.25">
      <c r="A154">
        <v>-67.117259092680129</v>
      </c>
      <c r="B154">
        <v>39.291254706020773</v>
      </c>
      <c r="C154">
        <v>-345.52121600000004</v>
      </c>
      <c r="E154">
        <f t="shared" si="19"/>
        <v>67.117259092680086</v>
      </c>
      <c r="F154">
        <f t="shared" si="20"/>
        <v>-216.5372822334667</v>
      </c>
      <c r="AF154">
        <f>'Cross Section Analysis'!B264</f>
        <v>244.87367246139655</v>
      </c>
      <c r="AG154">
        <f>'Cross Section Analysis'!C264</f>
        <v>-118.09216181177973</v>
      </c>
      <c r="AH154">
        <f>'Cross Section Analysis'!$B$118</f>
        <v>1576.3696</v>
      </c>
      <c r="AJ154">
        <f t="shared" si="21"/>
        <v>-244.87367246139635</v>
      </c>
      <c r="AK154">
        <f t="shared" si="22"/>
        <v>1031.1578653942368</v>
      </c>
    </row>
    <row r="155" spans="1:37" x14ac:dyDescent="0.25">
      <c r="A155">
        <v>-67.536423387436216</v>
      </c>
      <c r="B155">
        <v>38.85335615002537</v>
      </c>
      <c r="C155">
        <v>-345.52121600000004</v>
      </c>
      <c r="E155">
        <f t="shared" si="19"/>
        <v>67.536423387436173</v>
      </c>
      <c r="F155">
        <f t="shared" si="20"/>
        <v>-216.84692327188284</v>
      </c>
      <c r="AF155">
        <f>'Cross Section Analysis'!B265</f>
        <v>247.24624918330534</v>
      </c>
      <c r="AG155">
        <f>'Cross Section Analysis'!C265</f>
        <v>-115.86398369618806</v>
      </c>
      <c r="AH155">
        <f>'Cross Section Analysis'!$B$118</f>
        <v>1576.3696</v>
      </c>
      <c r="AJ155">
        <f t="shared" si="21"/>
        <v>-247.24624918330514</v>
      </c>
      <c r="AK155">
        <f t="shared" si="22"/>
        <v>1032.7334252494632</v>
      </c>
    </row>
    <row r="156" spans="1:37" x14ac:dyDescent="0.25">
      <c r="A156">
        <v>-68.00761236459951</v>
      </c>
      <c r="B156">
        <v>38.336281099973625</v>
      </c>
      <c r="C156">
        <v>-345.52121600000004</v>
      </c>
      <c r="E156">
        <f t="shared" si="19"/>
        <v>68.007612364599467</v>
      </c>
      <c r="F156">
        <f t="shared" si="20"/>
        <v>-217.21255054615679</v>
      </c>
      <c r="AF156">
        <f>'Cross Section Analysis'!B266</f>
        <v>249.59049051750574</v>
      </c>
      <c r="AG156">
        <f>'Cross Section Analysis'!C266</f>
        <v>-113.60041550117479</v>
      </c>
      <c r="AH156">
        <f>'Cross Section Analysis'!$B$118</f>
        <v>1576.3696</v>
      </c>
      <c r="AJ156">
        <f t="shared" si="21"/>
        <v>-249.59049051750554</v>
      </c>
      <c r="AK156">
        <f t="shared" si="22"/>
        <v>1034.3340096698353</v>
      </c>
    </row>
    <row r="157" spans="1:37" x14ac:dyDescent="0.25">
      <c r="A157">
        <v>-68.547067045557171</v>
      </c>
      <c r="B157">
        <v>37.535701739650015</v>
      </c>
      <c r="C157">
        <v>-345.52121600000004</v>
      </c>
      <c r="E157">
        <f t="shared" si="19"/>
        <v>68.547067045557128</v>
      </c>
      <c r="F157">
        <f t="shared" si="20"/>
        <v>-217.77864564071962</v>
      </c>
      <c r="AF157">
        <f>'Cross Section Analysis'!B267</f>
        <v>251.90960377369697</v>
      </c>
      <c r="AG157">
        <f>'Cross Section Analysis'!C267</f>
        <v>-111.297556480078</v>
      </c>
      <c r="AH157">
        <f>'Cross Section Analysis'!$B$118</f>
        <v>1576.3696</v>
      </c>
      <c r="AJ157">
        <f t="shared" si="21"/>
        <v>-251.90960377369677</v>
      </c>
      <c r="AK157">
        <f t="shared" si="22"/>
        <v>1035.9623768997694</v>
      </c>
    </row>
    <row r="158" spans="1:37" x14ac:dyDescent="0.25">
      <c r="A158">
        <v>-69.127649125973463</v>
      </c>
      <c r="B158">
        <v>35.911655613567191</v>
      </c>
      <c r="C158">
        <v>-345.52121600000004</v>
      </c>
      <c r="E158">
        <f t="shared" si="19"/>
        <v>69.12764912597342</v>
      </c>
      <c r="F158">
        <f t="shared" si="20"/>
        <v>-218.92701966943253</v>
      </c>
      <c r="AF158">
        <f>'Cross Section Analysis'!B268</f>
        <v>254.20666095757065</v>
      </c>
      <c r="AG158">
        <f>'Cross Section Analysis'!C268</f>
        <v>-108.95126236350325</v>
      </c>
      <c r="AH158">
        <f>'Cross Section Analysis'!$B$118</f>
        <v>1576.3696</v>
      </c>
      <c r="AJ158">
        <f t="shared" si="21"/>
        <v>-254.20666095757045</v>
      </c>
      <c r="AK158">
        <f t="shared" si="22"/>
        <v>1037.6214573802574</v>
      </c>
    </row>
    <row r="159" spans="1:37" x14ac:dyDescent="0.25">
      <c r="A159">
        <v>-70.043134438213301</v>
      </c>
      <c r="B159">
        <v>33.880632616728541</v>
      </c>
      <c r="C159">
        <v>-345.52121600000004</v>
      </c>
      <c r="E159">
        <f t="shared" si="19"/>
        <v>70.043134438213258</v>
      </c>
      <c r="F159">
        <f t="shared" si="20"/>
        <v>-220.36316980324295</v>
      </c>
      <c r="AF159">
        <f>'Cross Section Analysis'!B269</f>
        <v>256.48461676513006</v>
      </c>
      <c r="AG159">
        <f>'Cross Section Analysis'!C269</f>
        <v>-106.55710981828339</v>
      </c>
      <c r="AH159">
        <f>'Cross Section Analysis'!$B$118</f>
        <v>1576.3696</v>
      </c>
      <c r="AJ159">
        <f t="shared" si="21"/>
        <v>-256.48461676512989</v>
      </c>
      <c r="AK159">
        <f t="shared" si="22"/>
        <v>1039.3143788801776</v>
      </c>
    </row>
    <row r="160" spans="1:37" x14ac:dyDescent="0.25">
      <c r="A160">
        <v>-71.742589468618078</v>
      </c>
      <c r="B160">
        <v>30.487901394882709</v>
      </c>
      <c r="C160">
        <v>-345.52121600000004</v>
      </c>
      <c r="E160">
        <f t="shared" si="19"/>
        <v>71.742589468618036</v>
      </c>
      <c r="F160">
        <f t="shared" si="20"/>
        <v>-222.76219305695346</v>
      </c>
      <c r="AF160">
        <f>'Cross Section Analysis'!B270</f>
        <v>258.74633009155167</v>
      </c>
      <c r="AG160">
        <f>'Cross Section Analysis'!C270</f>
        <v>-104.11035795825252</v>
      </c>
      <c r="AH160">
        <f>'Cross Section Analysis'!$B$118</f>
        <v>1576.3696</v>
      </c>
      <c r="AJ160">
        <f t="shared" si="21"/>
        <v>-258.7463300915515</v>
      </c>
      <c r="AK160">
        <f t="shared" si="22"/>
        <v>1041.0444937122861</v>
      </c>
    </row>
    <row r="161" spans="1:37" x14ac:dyDescent="0.25">
      <c r="A161">
        <v>-145.92451582746884</v>
      </c>
      <c r="B161">
        <v>-1.3614663095370595E-14</v>
      </c>
      <c r="C161">
        <v>-265.44243200000005</v>
      </c>
      <c r="E161">
        <f t="shared" si="19"/>
        <v>145.92451582746881</v>
      </c>
      <c r="F161">
        <f t="shared" si="20"/>
        <v>-187.69614368184907</v>
      </c>
      <c r="AF161">
        <f>'Cross Section Analysis'!B271</f>
        <v>260.9945810717964</v>
      </c>
      <c r="AG161">
        <f>'Cross Section Analysis'!C271</f>
        <v>-101.6059038356657</v>
      </c>
      <c r="AH161">
        <f>'Cross Section Analysis'!$B$118</f>
        <v>1576.3696</v>
      </c>
      <c r="AJ161">
        <f t="shared" si="21"/>
        <v>-260.99458107179623</v>
      </c>
      <c r="AK161">
        <f t="shared" si="22"/>
        <v>1042.8154102055378</v>
      </c>
    </row>
    <row r="162" spans="1:37" x14ac:dyDescent="0.25">
      <c r="A162">
        <v>-141.37697679758332</v>
      </c>
      <c r="B162">
        <v>-23.038963498023488</v>
      </c>
      <c r="C162">
        <v>-265.44243200000005</v>
      </c>
      <c r="E162">
        <f t="shared" si="19"/>
        <v>141.3769767975833</v>
      </c>
      <c r="F162">
        <f t="shared" si="20"/>
        <v>-203.9871510028108</v>
      </c>
      <c r="AF162">
        <f>'Cross Section Analysis'!B272</f>
        <v>263.23208831620235</v>
      </c>
      <c r="AG162">
        <f>'Cross Section Analysis'!C272</f>
        <v>-99.038232171078377</v>
      </c>
      <c r="AH162">
        <f>'Cross Section Analysis'!$B$118</f>
        <v>1576.3696</v>
      </c>
      <c r="AJ162">
        <f t="shared" si="21"/>
        <v>-263.23208831620218</v>
      </c>
      <c r="AK162">
        <f t="shared" si="22"/>
        <v>1044.6310282514282</v>
      </c>
    </row>
    <row r="163" spans="1:37" x14ac:dyDescent="0.25">
      <c r="A163">
        <v>-136.78142294602523</v>
      </c>
      <c r="B163">
        <v>-39.987042853591788</v>
      </c>
      <c r="C163">
        <v>-265.44243200000005</v>
      </c>
      <c r="E163">
        <f t="shared" si="19"/>
        <v>136.7814229460252</v>
      </c>
      <c r="F163">
        <f t="shared" si="20"/>
        <v>-215.97125284322087</v>
      </c>
      <c r="AF163">
        <f>'Cross Section Analysis'!B273</f>
        <v>265.46152537112442</v>
      </c>
      <c r="AG163">
        <f>'Cross Section Analysis'!C273</f>
        <v>-96.40135784051661</v>
      </c>
      <c r="AH163">
        <f>'Cross Section Analysis'!$B$118</f>
        <v>1576.3696</v>
      </c>
      <c r="AJ163">
        <f t="shared" si="21"/>
        <v>-265.46152537112425</v>
      </c>
      <c r="AK163">
        <f t="shared" si="22"/>
        <v>1046.4955799717052</v>
      </c>
    </row>
    <row r="164" spans="1:37" x14ac:dyDescent="0.25">
      <c r="A164">
        <v>-134.6090383135859</v>
      </c>
      <c r="B164">
        <v>-47.986474576388389</v>
      </c>
      <c r="C164">
        <v>-265.44243200000005</v>
      </c>
      <c r="E164">
        <f t="shared" si="19"/>
        <v>134.60903831358587</v>
      </c>
      <c r="F164">
        <f t="shared" si="20"/>
        <v>-221.62770526004914</v>
      </c>
      <c r="AF164">
        <f>'Cross Section Analysis'!B274</f>
        <v>267.6855373467796</v>
      </c>
      <c r="AG164">
        <f>'Cross Section Analysis'!C274</f>
        <v>-93.688759843467494</v>
      </c>
      <c r="AH164">
        <f>'Cross Section Analysis'!$B$118</f>
        <v>1576.3696</v>
      </c>
      <c r="AJ164">
        <f t="shared" si="21"/>
        <v>-267.68553734677943</v>
      </c>
      <c r="AK164">
        <f t="shared" si="22"/>
        <v>1048.4136764100515</v>
      </c>
    </row>
    <row r="165" spans="1:37" x14ac:dyDescent="0.25">
      <c r="A165">
        <v>-133.36355586006334</v>
      </c>
      <c r="B165">
        <v>-53.582746339114145</v>
      </c>
      <c r="C165">
        <v>-265.44243200000005</v>
      </c>
      <c r="E165">
        <f t="shared" si="19"/>
        <v>133.36355586006331</v>
      </c>
      <c r="F165">
        <f t="shared" si="20"/>
        <v>-225.58486697283533</v>
      </c>
      <c r="AF165">
        <f>'Cross Section Analysis'!B275</f>
        <v>269.82244665973855</v>
      </c>
      <c r="AG165">
        <f>'Cross Section Analysis'!C275</f>
        <v>-90.915770445906034</v>
      </c>
      <c r="AH165">
        <f>'Cross Section Analysis'!$B$118</f>
        <v>1576.3696</v>
      </c>
      <c r="AJ165">
        <f t="shared" si="21"/>
        <v>-269.82244665973838</v>
      </c>
      <c r="AK165">
        <f t="shared" si="22"/>
        <v>1050.3744760172258</v>
      </c>
    </row>
    <row r="166" spans="1:37" x14ac:dyDescent="0.25">
      <c r="A166">
        <v>-132.4699936197718</v>
      </c>
      <c r="B166">
        <v>-58.364868090621819</v>
      </c>
      <c r="C166">
        <v>-265.44243200000005</v>
      </c>
      <c r="E166">
        <f t="shared" si="19"/>
        <v>132.46999361977177</v>
      </c>
      <c r="F166">
        <f t="shared" si="20"/>
        <v>-228.96633769178609</v>
      </c>
      <c r="AF166">
        <f>'Cross Section Analysis'!B276</f>
        <v>271.70284879347849</v>
      </c>
      <c r="AG166">
        <f>'Cross Section Analysis'!C276</f>
        <v>-88.123361694556337</v>
      </c>
      <c r="AH166">
        <f>'Cross Section Analysis'!$B$118</f>
        <v>1576.3696</v>
      </c>
      <c r="AJ166">
        <f t="shared" si="21"/>
        <v>-271.70284879347832</v>
      </c>
      <c r="AK166">
        <f t="shared" si="22"/>
        <v>1052.3490071811498</v>
      </c>
    </row>
    <row r="167" spans="1:37" x14ac:dyDescent="0.25">
      <c r="A167">
        <v>-131.56630832278418</v>
      </c>
      <c r="B167">
        <v>-61.044748244995986</v>
      </c>
      <c r="C167">
        <v>-265.44243200000005</v>
      </c>
      <c r="E167">
        <f t="shared" si="19"/>
        <v>131.56630832278415</v>
      </c>
      <c r="F167">
        <f t="shared" si="20"/>
        <v>-230.86129912171131</v>
      </c>
      <c r="AF167">
        <f>'Cross Section Analysis'!B277</f>
        <v>273.58138183572277</v>
      </c>
      <c r="AG167">
        <f>'Cross Section Analysis'!C277</f>
        <v>-85.237788940340394</v>
      </c>
      <c r="AH167">
        <f>'Cross Section Analysis'!$B$118</f>
        <v>1576.3696</v>
      </c>
      <c r="AJ167">
        <f t="shared" si="21"/>
        <v>-273.5813818357226</v>
      </c>
      <c r="AK167">
        <f t="shared" si="22"/>
        <v>1054.3894152432629</v>
      </c>
    </row>
    <row r="168" spans="1:37" x14ac:dyDescent="0.25">
      <c r="A168">
        <v>-130.52274883798179</v>
      </c>
      <c r="B168">
        <v>-63.166981550626517</v>
      </c>
      <c r="C168">
        <v>-265.44243200000005</v>
      </c>
      <c r="E168">
        <f t="shared" si="19"/>
        <v>130.52274883798177</v>
      </c>
      <c r="F168">
        <f t="shared" si="20"/>
        <v>-232.3619446833826</v>
      </c>
      <c r="AF168">
        <f>'Cross Section Analysis'!B278</f>
        <v>275.46059532995474</v>
      </c>
      <c r="AG168">
        <f>'Cross Section Analysis'!C278</f>
        <v>-82.249907573849981</v>
      </c>
      <c r="AH168">
        <f>'Cross Section Analysis'!$B$118</f>
        <v>1576.3696</v>
      </c>
      <c r="AJ168">
        <f t="shared" si="21"/>
        <v>-275.46059532995457</v>
      </c>
      <c r="AK168">
        <f t="shared" si="22"/>
        <v>1056.5021664188891</v>
      </c>
    </row>
    <row r="169" spans="1:37" x14ac:dyDescent="0.25">
      <c r="A169">
        <v>-127.30016553429857</v>
      </c>
      <c r="B169">
        <v>-65.632756289780176</v>
      </c>
      <c r="C169">
        <v>-265.44243200000005</v>
      </c>
      <c r="E169">
        <f t="shared" si="19"/>
        <v>127.30016553429854</v>
      </c>
      <c r="F169">
        <f t="shared" si="20"/>
        <v>-234.10551072231664</v>
      </c>
      <c r="AF169">
        <f>'Cross Section Analysis'!B279</f>
        <v>277.34307899917587</v>
      </c>
      <c r="AG169">
        <f>'Cross Section Analysis'!C279</f>
        <v>-79.149555612848133</v>
      </c>
      <c r="AH169">
        <f>'Cross Section Analysis'!$B$118</f>
        <v>1576.3696</v>
      </c>
      <c r="AJ169">
        <f t="shared" si="21"/>
        <v>-277.3430789991757</v>
      </c>
      <c r="AK169">
        <f t="shared" si="22"/>
        <v>1058.6944463145787</v>
      </c>
    </row>
    <row r="170" spans="1:37" x14ac:dyDescent="0.25">
      <c r="A170">
        <v>-124.309003440331</v>
      </c>
      <c r="B170">
        <v>-68.027138914825983</v>
      </c>
      <c r="C170">
        <v>-265.44243200000005</v>
      </c>
      <c r="E170">
        <f t="shared" si="19"/>
        <v>124.30900344033097</v>
      </c>
      <c r="F170">
        <f t="shared" si="20"/>
        <v>-235.7985949132418</v>
      </c>
      <c r="AF170">
        <f>'Cross Section Analysis'!B280</f>
        <v>279.19280383077449</v>
      </c>
      <c r="AG170">
        <f>'Cross Section Analysis'!C280</f>
        <v>-75.992847300628029</v>
      </c>
      <c r="AH170">
        <f>'Cross Section Analysis'!$B$118</f>
        <v>1576.3696</v>
      </c>
      <c r="AJ170">
        <f t="shared" si="21"/>
        <v>-279.19280383077432</v>
      </c>
      <c r="AK170">
        <f t="shared" si="22"/>
        <v>1060.9265761683773</v>
      </c>
    </row>
    <row r="171" spans="1:37" x14ac:dyDescent="0.25">
      <c r="A171">
        <v>-121.41631633065177</v>
      </c>
      <c r="B171">
        <v>-70.473695358613085</v>
      </c>
      <c r="C171">
        <v>-265.44243200000005</v>
      </c>
      <c r="E171">
        <f t="shared" si="19"/>
        <v>121.41631633065174</v>
      </c>
      <c r="F171">
        <f t="shared" si="20"/>
        <v>-237.52857156519929</v>
      </c>
      <c r="AF171">
        <f>'Cross Section Analysis'!B281</f>
        <v>280.94662678160353</v>
      </c>
      <c r="AG171">
        <f>'Cross Section Analysis'!C281</f>
        <v>-72.890536229062732</v>
      </c>
      <c r="AH171">
        <f>'Cross Section Analysis'!$B$118</f>
        <v>1576.3696</v>
      </c>
      <c r="AJ171">
        <f t="shared" si="21"/>
        <v>-280.94662678160336</v>
      </c>
      <c r="AK171">
        <f t="shared" si="22"/>
        <v>1063.1202413644314</v>
      </c>
    </row>
    <row r="172" spans="1:37" x14ac:dyDescent="0.25">
      <c r="A172">
        <v>-118.49279577692963</v>
      </c>
      <c r="B172">
        <v>-73.091601899383875</v>
      </c>
      <c r="C172">
        <v>-265.44243200000005</v>
      </c>
      <c r="E172">
        <f t="shared" si="19"/>
        <v>118.4927957769296</v>
      </c>
      <c r="F172">
        <f t="shared" si="20"/>
        <v>-239.37971103269092</v>
      </c>
      <c r="AF172">
        <f>'Cross Section Analysis'!B282</f>
        <v>282.60885518153532</v>
      </c>
      <c r="AG172">
        <f>'Cross Section Analysis'!C282</f>
        <v>-69.841326325630376</v>
      </c>
      <c r="AH172">
        <f>'Cross Section Analysis'!$B$118</f>
        <v>1576.3696</v>
      </c>
      <c r="AJ172">
        <f t="shared" si="21"/>
        <v>-282.60885518153515</v>
      </c>
      <c r="AK172">
        <f t="shared" si="22"/>
        <v>1065.2763583644096</v>
      </c>
    </row>
    <row r="173" spans="1:37" x14ac:dyDescent="0.25">
      <c r="A173">
        <v>-115.37874348705633</v>
      </c>
      <c r="B173">
        <v>-76.024924179090348</v>
      </c>
      <c r="C173">
        <v>-265.44243200000005</v>
      </c>
      <c r="E173">
        <f t="shared" si="19"/>
        <v>115.3787434870563</v>
      </c>
      <c r="F173">
        <f t="shared" si="20"/>
        <v>-241.45388310807695</v>
      </c>
      <c r="AF173">
        <f>'Cross Section Analysis'!B283</f>
        <v>284.18460306522383</v>
      </c>
      <c r="AG173">
        <f>'Cross Section Analysis'!C283</f>
        <v>-66.841971869992321</v>
      </c>
      <c r="AH173">
        <f>'Cross Section Analysis'!$B$118</f>
        <v>1576.3696</v>
      </c>
      <c r="AJ173">
        <f t="shared" si="21"/>
        <v>-284.18460306522365</v>
      </c>
      <c r="AK173">
        <f t="shared" si="22"/>
        <v>1067.3972222391733</v>
      </c>
    </row>
    <row r="174" spans="1:37" x14ac:dyDescent="0.25">
      <c r="A174">
        <v>-111.95096056783686</v>
      </c>
      <c r="B174">
        <v>-79.128271444116692</v>
      </c>
      <c r="C174">
        <v>-265.44243200000005</v>
      </c>
      <c r="E174">
        <f t="shared" si="19"/>
        <v>111.95096056783683</v>
      </c>
      <c r="F174">
        <f t="shared" si="20"/>
        <v>-243.64828100355379</v>
      </c>
      <c r="AF174">
        <f>'Cross Section Analysis'!B284</f>
        <v>285.67857632623407</v>
      </c>
      <c r="AG174">
        <f>'Cross Section Analysis'!C284</f>
        <v>-63.889395514687024</v>
      </c>
      <c r="AH174">
        <f>'Cross Section Analysis'!$B$118</f>
        <v>1576.3696</v>
      </c>
      <c r="AJ174">
        <f t="shared" si="21"/>
        <v>-285.67857632623389</v>
      </c>
      <c r="AK174">
        <f t="shared" si="22"/>
        <v>1069.4850090019806</v>
      </c>
    </row>
    <row r="175" spans="1:37" x14ac:dyDescent="0.25">
      <c r="A175">
        <v>-108.75985409551538</v>
      </c>
      <c r="B175">
        <v>-80.251665836813018</v>
      </c>
      <c r="C175">
        <v>-265.44243200000005</v>
      </c>
      <c r="E175">
        <f t="shared" si="19"/>
        <v>108.75985409551535</v>
      </c>
      <c r="F175">
        <f t="shared" si="20"/>
        <v>-244.44264079657631</v>
      </c>
      <c r="AF175">
        <f>'Cross Section Analysis'!B285</f>
        <v>287.09510832536859</v>
      </c>
      <c r="AG175">
        <f>'Cross Section Analysis'!C285</f>
        <v>-60.980674311662838</v>
      </c>
      <c r="AH175">
        <f>'Cross Section Analysis'!$B$118</f>
        <v>1576.3696</v>
      </c>
      <c r="AJ175">
        <f t="shared" si="21"/>
        <v>-287.09510832536841</v>
      </c>
      <c r="AK175">
        <f t="shared" si="22"/>
        <v>1071.5417854892203</v>
      </c>
    </row>
    <row r="176" spans="1:37" x14ac:dyDescent="0.25">
      <c r="A176">
        <v>-103.40974040331733</v>
      </c>
      <c r="B176">
        <v>-81.642265971642672</v>
      </c>
      <c r="C176">
        <v>-265.44243200000005</v>
      </c>
      <c r="E176">
        <f t="shared" si="19"/>
        <v>103.4097404033173</v>
      </c>
      <c r="F176">
        <f t="shared" si="20"/>
        <v>-245.42594358183328</v>
      </c>
      <c r="AF176">
        <f>'Cross Section Analysis'!B286</f>
        <v>288.43819174634268</v>
      </c>
      <c r="AG176">
        <f>'Cross Section Analysis'!C286</f>
        <v>-58.113026910731122</v>
      </c>
      <c r="AH176">
        <f>'Cross Section Analysis'!$B$118</f>
        <v>1576.3696</v>
      </c>
      <c r="AJ176">
        <f t="shared" si="21"/>
        <v>-288.43819174634251</v>
      </c>
      <c r="AK176">
        <f t="shared" si="22"/>
        <v>1073.5695184124711</v>
      </c>
    </row>
    <row r="177" spans="1:37" x14ac:dyDescent="0.25">
      <c r="A177">
        <v>-93.779384413888025</v>
      </c>
      <c r="B177">
        <v>-83.744594625203348</v>
      </c>
      <c r="C177">
        <v>-265.44243200000005</v>
      </c>
      <c r="E177">
        <f t="shared" si="19"/>
        <v>93.779384413887996</v>
      </c>
      <c r="F177">
        <f t="shared" si="20"/>
        <v>-246.91251442904883</v>
      </c>
      <c r="AF177">
        <f>'Cross Section Analysis'!B287</f>
        <v>289.71150713733169</v>
      </c>
      <c r="AG177">
        <f>'Cross Section Analysis'!C287</f>
        <v>-55.283801804885691</v>
      </c>
      <c r="AH177">
        <f>'Cross Section Analysis'!$B$118</f>
        <v>1576.3696</v>
      </c>
      <c r="AJ177">
        <f t="shared" si="21"/>
        <v>-289.71150713733152</v>
      </c>
      <c r="AK177">
        <f t="shared" si="22"/>
        <v>1075.5700826703176</v>
      </c>
    </row>
    <row r="178" spans="1:37" x14ac:dyDescent="0.25">
      <c r="A178">
        <v>-71.983481705740772</v>
      </c>
      <c r="B178">
        <v>-89.033180333895302</v>
      </c>
      <c r="C178">
        <v>-265.44243200000005</v>
      </c>
      <c r="E178">
        <f t="shared" si="19"/>
        <v>71.983481705740743</v>
      </c>
      <c r="F178">
        <f t="shared" si="20"/>
        <v>-250.65210924655116</v>
      </c>
      <c r="AF178">
        <f>'Cross Section Analysis'!B288</f>
        <v>290.91844851879353</v>
      </c>
      <c r="AG178">
        <f>'Cross Section Analysis'!C288</f>
        <v>-52.490466511499264</v>
      </c>
      <c r="AH178">
        <f>'Cross Section Analysis'!$B$118</f>
        <v>1576.3696</v>
      </c>
      <c r="AJ178">
        <f t="shared" si="21"/>
        <v>-290.91844851879335</v>
      </c>
      <c r="AK178">
        <f t="shared" si="22"/>
        <v>1077.5452689983988</v>
      </c>
    </row>
    <row r="179" spans="1:37" x14ac:dyDescent="0.25">
      <c r="A179">
        <v>1.984391662794883E-14</v>
      </c>
      <c r="B179">
        <v>-100.07072653530825</v>
      </c>
      <c r="C179">
        <v>-265.44243200000005</v>
      </c>
      <c r="E179">
        <f t="shared" si="19"/>
        <v>-5.2364555171147486E-14</v>
      </c>
      <c r="F179">
        <f t="shared" si="20"/>
        <v>-258.4568330132301</v>
      </c>
      <c r="AF179">
        <f>'Cross Section Analysis'!B289</f>
        <v>292.06214638338309</v>
      </c>
      <c r="AG179">
        <f>'Cross Section Analysis'!C289</f>
        <v>-49.730597590578391</v>
      </c>
      <c r="AH179">
        <f>'Cross Section Analysis'!$B$118</f>
        <v>1576.3696</v>
      </c>
      <c r="AJ179">
        <f t="shared" si="21"/>
        <v>-292.06214638338292</v>
      </c>
      <c r="AK179">
        <f t="shared" si="22"/>
        <v>1079.496791027568</v>
      </c>
    </row>
    <row r="180" spans="1:37" x14ac:dyDescent="0.25">
      <c r="A180">
        <v>71.983481705740729</v>
      </c>
      <c r="B180">
        <v>-89.033180333895402</v>
      </c>
      <c r="C180">
        <v>-265.44243200000005</v>
      </c>
      <c r="E180">
        <f t="shared" si="19"/>
        <v>-71.983481705740758</v>
      </c>
      <c r="F180">
        <f t="shared" si="20"/>
        <v>-250.65210924655122</v>
      </c>
      <c r="AF180">
        <f>'Cross Section Analysis'!B290</f>
        <v>293.14548837008175</v>
      </c>
      <c r="AG180">
        <f>'Cross Section Analysis'!C290</f>
        <v>-47.001871411889923</v>
      </c>
      <c r="AH180">
        <f>'Cross Section Analysis'!$B$118</f>
        <v>1576.3696</v>
      </c>
      <c r="AJ180">
        <f t="shared" si="21"/>
        <v>-293.14548837008158</v>
      </c>
      <c r="AK180">
        <f t="shared" si="22"/>
        <v>1081.4262918125198</v>
      </c>
    </row>
    <row r="181" spans="1:37" x14ac:dyDescent="0.25">
      <c r="A181">
        <v>93.779384413887968</v>
      </c>
      <c r="B181">
        <v>-83.744594625203277</v>
      </c>
      <c r="C181">
        <v>-265.44243200000005</v>
      </c>
      <c r="E181">
        <f t="shared" si="19"/>
        <v>-93.779384413887996</v>
      </c>
      <c r="F181">
        <f t="shared" si="20"/>
        <v>-246.91251442904877</v>
      </c>
      <c r="AF181">
        <f>'Cross Section Analysis'!B291</f>
        <v>294.17117008350664</v>
      </c>
      <c r="AG181">
        <f>'Cross Section Analysis'!C291</f>
        <v>-44.302055920497821</v>
      </c>
      <c r="AH181">
        <f>'Cross Section Analysis'!$B$118</f>
        <v>1576.3696</v>
      </c>
      <c r="AJ181">
        <f t="shared" si="21"/>
        <v>-294.17117008350647</v>
      </c>
      <c r="AK181">
        <f t="shared" si="22"/>
        <v>1083.3353496544357</v>
      </c>
    </row>
    <row r="182" spans="1:37" x14ac:dyDescent="0.25">
      <c r="A182">
        <v>103.40974040331726</v>
      </c>
      <c r="B182">
        <v>-81.642265971642615</v>
      </c>
      <c r="C182">
        <v>-265.44243200000005</v>
      </c>
      <c r="E182">
        <f t="shared" si="19"/>
        <v>-103.40974040331729</v>
      </c>
      <c r="F182">
        <f t="shared" si="20"/>
        <v>-245.42594358183325</v>
      </c>
      <c r="AF182">
        <f>'Cross Section Analysis'!B292</f>
        <v>294.65574366264872</v>
      </c>
      <c r="AG182">
        <f>'Cross Section Analysis'!C292</f>
        <v>-43.068628101862842</v>
      </c>
      <c r="AH182">
        <f>'Cross Section Analysis'!$B$118</f>
        <v>1576.3696</v>
      </c>
      <c r="AJ182">
        <f t="shared" si="21"/>
        <v>-294.65574366264855</v>
      </c>
      <c r="AK182">
        <f t="shared" si="22"/>
        <v>1084.2075148290967</v>
      </c>
    </row>
    <row r="183" spans="1:37" x14ac:dyDescent="0.25">
      <c r="A183">
        <v>108.75985409551532</v>
      </c>
      <c r="B183">
        <v>-80.251665836813018</v>
      </c>
      <c r="C183">
        <v>-265.44243200000005</v>
      </c>
      <c r="E183">
        <f t="shared" si="19"/>
        <v>-108.75985409551535</v>
      </c>
      <c r="F183">
        <f t="shared" si="20"/>
        <v>-244.44264079657631</v>
      </c>
      <c r="AF183">
        <f>'Cross Section Analysis'!B293</f>
        <v>295.57251384575466</v>
      </c>
      <c r="AG183">
        <f>'Cross Section Analysis'!C293</f>
        <v>-40.419859757055384</v>
      </c>
      <c r="AH183">
        <f>'Cross Section Analysis'!$B$118</f>
        <v>1576.3696</v>
      </c>
      <c r="AJ183">
        <f t="shared" si="21"/>
        <v>-295.57251384575449</v>
      </c>
      <c r="AK183">
        <f t="shared" si="22"/>
        <v>1086.0804768875023</v>
      </c>
    </row>
    <row r="184" spans="1:37" x14ac:dyDescent="0.25">
      <c r="A184">
        <v>111.95096056783672</v>
      </c>
      <c r="B184">
        <v>-79.128271444116592</v>
      </c>
      <c r="C184">
        <v>-265.44243200000005</v>
      </c>
      <c r="E184">
        <f t="shared" si="19"/>
        <v>-111.95096056783674</v>
      </c>
      <c r="F184">
        <f t="shared" si="20"/>
        <v>-243.64828100355373</v>
      </c>
      <c r="AF184">
        <f>'Cross Section Analysis'!B294</f>
        <v>296.43840071446965</v>
      </c>
      <c r="AG184">
        <f>'Cross Section Analysis'!C294</f>
        <v>-37.79376616411264</v>
      </c>
      <c r="AH184">
        <f>'Cross Section Analysis'!$B$118</f>
        <v>1576.3696</v>
      </c>
      <c r="AJ184">
        <f t="shared" si="21"/>
        <v>-296.43840071446948</v>
      </c>
      <c r="AK184">
        <f t="shared" si="22"/>
        <v>1087.9374054751027</v>
      </c>
    </row>
    <row r="185" spans="1:37" x14ac:dyDescent="0.25">
      <c r="A185">
        <v>115.37874348705625</v>
      </c>
      <c r="B185">
        <v>-76.024924179090362</v>
      </c>
      <c r="C185">
        <v>-265.44243200000005</v>
      </c>
      <c r="E185">
        <f t="shared" si="19"/>
        <v>-115.37874348705628</v>
      </c>
      <c r="F185">
        <f t="shared" si="20"/>
        <v>-241.45388310807695</v>
      </c>
      <c r="AF185">
        <f>'Cross Section Analysis'!B295</f>
        <v>297.25532119708271</v>
      </c>
      <c r="AG185">
        <f>'Cross Section Analysis'!C295</f>
        <v>-35.188405001122625</v>
      </c>
      <c r="AH185">
        <f>'Cross Section Analysis'!$B$118</f>
        <v>1576.3696</v>
      </c>
      <c r="AJ185">
        <f t="shared" si="21"/>
        <v>-297.25532119708254</v>
      </c>
      <c r="AK185">
        <f t="shared" si="22"/>
        <v>1089.7796740208928</v>
      </c>
    </row>
    <row r="186" spans="1:37" x14ac:dyDescent="0.25">
      <c r="A186">
        <v>118.49279577692955</v>
      </c>
      <c r="B186">
        <v>-73.091601899383889</v>
      </c>
      <c r="C186">
        <v>-265.44243200000005</v>
      </c>
      <c r="E186">
        <f t="shared" si="19"/>
        <v>-118.49279577692958</v>
      </c>
      <c r="F186">
        <f t="shared" si="20"/>
        <v>-239.37971103269092</v>
      </c>
      <c r="AF186">
        <f>'Cross Section Analysis'!B296</f>
        <v>298.02503817251863</v>
      </c>
      <c r="AG186">
        <f>'Cross Section Analysis'!C296</f>
        <v>-32.601890172535363</v>
      </c>
      <c r="AH186">
        <f>'Cross Section Analysis'!$B$118</f>
        <v>1576.3696</v>
      </c>
      <c r="AJ186">
        <f t="shared" si="21"/>
        <v>-298.02503817251846</v>
      </c>
      <c r="AK186">
        <f t="shared" si="22"/>
        <v>1091.6086161958265</v>
      </c>
    </row>
    <row r="187" spans="1:37" x14ac:dyDescent="0.25">
      <c r="A187">
        <v>121.41631633065177</v>
      </c>
      <c r="B187">
        <v>-70.473695358613099</v>
      </c>
      <c r="C187">
        <v>-265.44243200000005</v>
      </c>
      <c r="E187">
        <f t="shared" si="19"/>
        <v>-121.4163163306518</v>
      </c>
      <c r="F187">
        <f t="shared" si="20"/>
        <v>-237.52857156519929</v>
      </c>
      <c r="AF187">
        <f>'Cross Section Analysis'!B297</f>
        <v>298.74916758640722</v>
      </c>
      <c r="AG187">
        <f>'Cross Section Analysis'!C297</f>
        <v>-30.032385970238</v>
      </c>
      <c r="AH187">
        <f>'Cross Section Analysis'!$B$118</f>
        <v>1576.3696</v>
      </c>
      <c r="AJ187">
        <f t="shared" si="21"/>
        <v>-298.74916758640705</v>
      </c>
      <c r="AK187">
        <f t="shared" si="22"/>
        <v>1093.4255300415584</v>
      </c>
    </row>
    <row r="188" spans="1:37" x14ac:dyDescent="0.25">
      <c r="A188">
        <v>124.30900344033093</v>
      </c>
      <c r="B188">
        <v>-68.027138914825983</v>
      </c>
      <c r="C188">
        <v>-265.44243200000005</v>
      </c>
      <c r="E188">
        <f t="shared" si="19"/>
        <v>-124.30900344033095</v>
      </c>
      <c r="F188">
        <f t="shared" si="20"/>
        <v>-235.79859491324174</v>
      </c>
      <c r="AF188">
        <f>'Cross Section Analysis'!B298</f>
        <v>299.42918918081165</v>
      </c>
      <c r="AG188">
        <f>'Cross Section Analysis'!C298</f>
        <v>-27.478101574263572</v>
      </c>
      <c r="AH188">
        <f>'Cross Section Analysis'!$B$118</f>
        <v>1576.3696</v>
      </c>
      <c r="AJ188">
        <f t="shared" si="21"/>
        <v>-299.42918918081148</v>
      </c>
      <c r="AK188">
        <f t="shared" si="22"/>
        <v>1095.2316818590309</v>
      </c>
    </row>
    <row r="189" spans="1:37" x14ac:dyDescent="0.25">
      <c r="A189">
        <v>127.30016553429857</v>
      </c>
      <c r="B189">
        <v>-65.632756289780218</v>
      </c>
      <c r="C189">
        <v>-265.44243200000005</v>
      </c>
      <c r="E189">
        <f t="shared" si="19"/>
        <v>-127.3001655342986</v>
      </c>
      <c r="F189">
        <f t="shared" si="20"/>
        <v>-234.10551072231664</v>
      </c>
      <c r="AF189">
        <f>'Cross Section Analysis'!B299</f>
        <v>300.06645396661611</v>
      </c>
      <c r="AG189">
        <f>'Cross Section Analysis'!C299</f>
        <v>-24.937285789162321</v>
      </c>
      <c r="AH189">
        <f>'Cross Section Analysis'!$B$118</f>
        <v>1576.3696</v>
      </c>
      <c r="AJ189">
        <f t="shared" si="21"/>
        <v>-300.06645396661594</v>
      </c>
      <c r="AK189">
        <f t="shared" si="22"/>
        <v>1097.0283099304218</v>
      </c>
    </row>
    <row r="190" spans="1:37" x14ac:dyDescent="0.25">
      <c r="A190">
        <v>130.52274883798177</v>
      </c>
      <c r="B190">
        <v>-63.166981550626488</v>
      </c>
      <c r="C190">
        <v>-265.44243200000005</v>
      </c>
      <c r="E190">
        <f t="shared" si="19"/>
        <v>-130.52274883798179</v>
      </c>
      <c r="F190">
        <f t="shared" si="20"/>
        <v>-232.36194468338255</v>
      </c>
      <c r="AF190">
        <f>'Cross Section Analysis'!B300</f>
        <v>300.66219142140034</v>
      </c>
      <c r="AG190">
        <f>'Cross Section Analysis'!C300</f>
        <v>-22.40822200988805</v>
      </c>
      <c r="AH190">
        <f>'Cross Section Analysis'!$B$118</f>
        <v>1576.3696</v>
      </c>
      <c r="AJ190">
        <f t="shared" si="21"/>
        <v>-300.66219142140017</v>
      </c>
      <c r="AK190">
        <f t="shared" si="22"/>
        <v>1098.8166280787998</v>
      </c>
    </row>
    <row r="191" spans="1:37" x14ac:dyDescent="0.25">
      <c r="A191">
        <v>131.56630832278407</v>
      </c>
      <c r="B191">
        <v>-61.044748244995951</v>
      </c>
      <c r="C191">
        <v>-265.44243200000005</v>
      </c>
      <c r="E191">
        <f t="shared" si="19"/>
        <v>-131.5663083227841</v>
      </c>
      <c r="F191">
        <f t="shared" si="20"/>
        <v>-230.86129912171126</v>
      </c>
      <c r="AF191">
        <f>'Cross Section Analysis'!B301</f>
        <v>301.2175159192501</v>
      </c>
      <c r="AG191">
        <f>'Cross Section Analysis'!C301</f>
        <v>-19.889223379767337</v>
      </c>
      <c r="AH191">
        <f>'Cross Section Analysis'!$B$118</f>
        <v>1576.3696</v>
      </c>
      <c r="AJ191">
        <f t="shared" si="21"/>
        <v>-301.21751591924993</v>
      </c>
      <c r="AK191">
        <f t="shared" si="22"/>
        <v>1100.5978290919579</v>
      </c>
    </row>
    <row r="192" spans="1:37" x14ac:dyDescent="0.25">
      <c r="A192">
        <v>132.46999361977174</v>
      </c>
      <c r="B192">
        <v>-58.364868090621769</v>
      </c>
      <c r="C192">
        <v>-265.44243200000005</v>
      </c>
      <c r="E192">
        <f t="shared" si="19"/>
        <v>-132.46999361977177</v>
      </c>
      <c r="F192">
        <f t="shared" si="20"/>
        <v>-228.96633769178601</v>
      </c>
      <c r="AF192">
        <f>'Cross Section Analysis'!B302</f>
        <v>301.7334324607894</v>
      </c>
      <c r="AG192">
        <f>'Cross Section Analysis'!C302</f>
        <v>-17.378628110519244</v>
      </c>
      <c r="AH192">
        <f>'Cross Section Analysis'!$B$118</f>
        <v>1576.3696</v>
      </c>
      <c r="AJ192">
        <f t="shared" si="21"/>
        <v>-301.73343246078923</v>
      </c>
      <c r="AK192">
        <f t="shared" si="22"/>
        <v>1102.373088031658</v>
      </c>
    </row>
    <row r="193" spans="1:37" x14ac:dyDescent="0.25">
      <c r="A193">
        <v>133.3635558600634</v>
      </c>
      <c r="B193">
        <v>-53.582746339114138</v>
      </c>
      <c r="C193">
        <v>-265.44243200000005</v>
      </c>
      <c r="E193">
        <f t="shared" si="19"/>
        <v>-133.36355586006343</v>
      </c>
      <c r="F193">
        <f t="shared" si="20"/>
        <v>-225.5848669728353</v>
      </c>
      <c r="AF193">
        <f>'Cross Section Analysis'!B303</f>
        <v>302.21084176424876</v>
      </c>
      <c r="AG193">
        <f>'Cross Section Analysis'!C303</f>
        <v>-14.87479493580876</v>
      </c>
      <c r="AH193">
        <f>'Cross Section Analysis'!$B$118</f>
        <v>1576.3696</v>
      </c>
      <c r="AJ193">
        <f t="shared" si="21"/>
        <v>-302.21084176424858</v>
      </c>
      <c r="AK193">
        <f t="shared" si="22"/>
        <v>1104.1435654484555</v>
      </c>
    </row>
    <row r="194" spans="1:37" x14ac:dyDescent="0.25">
      <c r="A194">
        <v>134.6090383135857</v>
      </c>
      <c r="B194">
        <v>-47.986474576388311</v>
      </c>
      <c r="C194">
        <v>-265.44243200000005</v>
      </c>
      <c r="E194">
        <f t="shared" si="19"/>
        <v>-134.60903831358573</v>
      </c>
      <c r="F194">
        <f t="shared" si="20"/>
        <v>-221.62770526004905</v>
      </c>
      <c r="AF194">
        <f>'Cross Section Analysis'!B304</f>
        <v>302.65054467975006</v>
      </c>
      <c r="AG194">
        <f>'Cross Section Analysis'!C304</f>
        <v>-12.37609867034215</v>
      </c>
      <c r="AH194">
        <f>'Cross Section Analysis'!$B$118</f>
        <v>1576.3696</v>
      </c>
      <c r="AJ194">
        <f t="shared" si="21"/>
        <v>-302.65054467974988</v>
      </c>
      <c r="AK194">
        <f t="shared" si="22"/>
        <v>1105.9104105218926</v>
      </c>
    </row>
    <row r="195" spans="1:37" x14ac:dyDescent="0.25">
      <c r="A195">
        <v>136.781422946025</v>
      </c>
      <c r="B195">
        <v>-39.987042853591817</v>
      </c>
      <c r="C195">
        <v>-265.44243200000005</v>
      </c>
      <c r="E195">
        <f t="shared" si="19"/>
        <v>-136.78142294602503</v>
      </c>
      <c r="F195">
        <f t="shared" si="20"/>
        <v>-215.97125284322087</v>
      </c>
      <c r="AF195">
        <f>'Cross Section Analysis'!B305</f>
        <v>303.05324619571468</v>
      </c>
      <c r="AG195">
        <f>'Cross Section Analysis'!C305</f>
        <v>-9.880925849879457</v>
      </c>
      <c r="AH195">
        <f>'Cross Section Analysis'!$B$118</f>
        <v>1576.3696</v>
      </c>
      <c r="AJ195">
        <f t="shared" si="21"/>
        <v>-303.05324619571451</v>
      </c>
      <c r="AK195">
        <f t="shared" si="22"/>
        <v>1107.674764143474</v>
      </c>
    </row>
    <row r="196" spans="1:37" x14ac:dyDescent="0.25">
      <c r="A196">
        <v>141.37697679758352</v>
      </c>
      <c r="B196">
        <v>-23.038963498023481</v>
      </c>
      <c r="C196">
        <v>-265.44243200000005</v>
      </c>
      <c r="E196">
        <f t="shared" si="19"/>
        <v>-141.37697679758355</v>
      </c>
      <c r="F196">
        <f t="shared" si="20"/>
        <v>-203.98715100281078</v>
      </c>
      <c r="AF196">
        <f>'Cross Section Analysis'!B306</f>
        <v>303.41955858134821</v>
      </c>
      <c r="AG196">
        <f>'Cross Section Analysis'!C306</f>
        <v>-7.3876704227121142</v>
      </c>
      <c r="AH196">
        <f>'Cross Section Analysis'!$B$118</f>
        <v>1576.3696</v>
      </c>
      <c r="AJ196">
        <f t="shared" si="21"/>
        <v>-303.41955858134804</v>
      </c>
      <c r="AK196">
        <f t="shared" si="22"/>
        <v>1109.4377619632544</v>
      </c>
    </row>
    <row r="197" spans="1:37" x14ac:dyDescent="0.25">
      <c r="A197">
        <v>145.92451582746907</v>
      </c>
      <c r="B197">
        <v>0</v>
      </c>
      <c r="C197">
        <v>-265.44243200000005</v>
      </c>
      <c r="E197">
        <f t="shared" si="19"/>
        <v>-145.92451582746909</v>
      </c>
      <c r="F197">
        <f t="shared" si="20"/>
        <v>-187.69614368184904</v>
      </c>
      <c r="AF197">
        <f>'Cross Section Analysis'!B307</f>
        <v>303.75000503496028</v>
      </c>
      <c r="AG197">
        <f>'Cross Section Analysis'!C307</f>
        <v>-4.8947294768441978</v>
      </c>
      <c r="AH197">
        <f>'Cross Section Analysis'!$B$118</f>
        <v>1576.3696</v>
      </c>
      <c r="AJ197">
        <f t="shared" si="21"/>
        <v>-303.75000503496011</v>
      </c>
      <c r="AK197">
        <f t="shared" si="22"/>
        <v>1111.2005374111752</v>
      </c>
    </row>
    <row r="198" spans="1:37" x14ac:dyDescent="0.25">
      <c r="A198">
        <v>141.37697679758352</v>
      </c>
      <c r="B198">
        <v>23.038963498023481</v>
      </c>
      <c r="C198">
        <v>-265.44243200000005</v>
      </c>
      <c r="E198">
        <f t="shared" si="19"/>
        <v>-141.37697679758355</v>
      </c>
      <c r="F198">
        <f t="shared" si="20"/>
        <v>-171.40513636088727</v>
      </c>
      <c r="AF198">
        <f>'Cross Section Analysis'!B308</f>
        <v>304.04316241020854</v>
      </c>
      <c r="AG198">
        <f>'Cross Section Analysis'!C308</f>
        <v>-2.4013868890281747</v>
      </c>
      <c r="AH198">
        <f>'Cross Section Analysis'!$B$118</f>
        <v>1576.3696</v>
      </c>
      <c r="AJ198">
        <f t="shared" si="21"/>
        <v>-304.04316241020837</v>
      </c>
      <c r="AK198">
        <f t="shared" si="22"/>
        <v>1112.9635968628411</v>
      </c>
    </row>
    <row r="199" spans="1:37" x14ac:dyDescent="0.25">
      <c r="A199">
        <v>136.78142294602529</v>
      </c>
      <c r="B199">
        <v>39.987042853591788</v>
      </c>
      <c r="C199">
        <v>-265.44243200000005</v>
      </c>
      <c r="E199">
        <f t="shared" si="19"/>
        <v>-136.78142294602532</v>
      </c>
      <c r="F199">
        <f t="shared" si="20"/>
        <v>-159.42103452047721</v>
      </c>
      <c r="AF199">
        <f>'Cross Section Analysis'!B309</f>
        <v>304.10279228703155</v>
      </c>
      <c r="AG199">
        <f>'Cross Section Analysis'!C309</f>
        <v>0</v>
      </c>
      <c r="AH199">
        <f>'Cross Section Analysis'!$B$118</f>
        <v>1576.3696</v>
      </c>
      <c r="AJ199">
        <f t="shared" si="21"/>
        <v>-304.10279228703138</v>
      </c>
      <c r="AK199">
        <f t="shared" si="22"/>
        <v>1114.6616338163253</v>
      </c>
    </row>
    <row r="200" spans="1:37" x14ac:dyDescent="0.25">
      <c r="A200">
        <v>134.60903831358584</v>
      </c>
      <c r="B200">
        <v>47.986474576388346</v>
      </c>
      <c r="C200">
        <v>-265.44243200000005</v>
      </c>
      <c r="E200">
        <f t="shared" si="19"/>
        <v>-134.60903831358587</v>
      </c>
      <c r="F200">
        <f t="shared" si="20"/>
        <v>-153.76458210364896</v>
      </c>
      <c r="AF200">
        <f>'Cross Section Analysis'!B310</f>
        <v>304.04316241020831</v>
      </c>
      <c r="AG200">
        <f>'Cross Section Analysis'!C310</f>
        <v>2.4013868890281445</v>
      </c>
      <c r="AH200">
        <f>'Cross Section Analysis'!$B$118</f>
        <v>1576.3696</v>
      </c>
      <c r="AJ200">
        <f t="shared" si="21"/>
        <v>-304.04316241020814</v>
      </c>
      <c r="AK200">
        <f t="shared" si="22"/>
        <v>1116.3596707698096</v>
      </c>
    </row>
    <row r="201" spans="1:37" x14ac:dyDescent="0.25">
      <c r="A201">
        <v>133.3635558600634</v>
      </c>
      <c r="B201">
        <v>53.582746339114159</v>
      </c>
      <c r="C201">
        <v>-265.44243200000005</v>
      </c>
      <c r="E201">
        <f t="shared" si="19"/>
        <v>-133.36355586006343</v>
      </c>
      <c r="F201">
        <f t="shared" si="20"/>
        <v>-149.80742039086275</v>
      </c>
      <c r="AF201">
        <f>'Cross Section Analysis'!B311</f>
        <v>303.75000503496028</v>
      </c>
      <c r="AG201">
        <f>'Cross Section Analysis'!C311</f>
        <v>4.8947294768441978</v>
      </c>
      <c r="AH201">
        <f>'Cross Section Analysis'!$B$118</f>
        <v>1576.3696</v>
      </c>
      <c r="AJ201">
        <f t="shared" si="21"/>
        <v>-303.75000503496011</v>
      </c>
      <c r="AK201">
        <f t="shared" si="22"/>
        <v>1118.1227302214756</v>
      </c>
    </row>
    <row r="202" spans="1:37" x14ac:dyDescent="0.25">
      <c r="A202">
        <v>132.46999361977174</v>
      </c>
      <c r="B202">
        <v>58.36486809062179</v>
      </c>
      <c r="C202">
        <v>-265.44243200000005</v>
      </c>
      <c r="E202">
        <f t="shared" si="19"/>
        <v>-132.46999361977177</v>
      </c>
      <c r="F202">
        <f t="shared" si="20"/>
        <v>-146.42594967191201</v>
      </c>
      <c r="AF202">
        <f>'Cross Section Analysis'!B312</f>
        <v>303.41955858134821</v>
      </c>
      <c r="AG202">
        <f>'Cross Section Analysis'!C312</f>
        <v>7.3876704227121381</v>
      </c>
      <c r="AH202">
        <f>'Cross Section Analysis'!$B$118</f>
        <v>1576.3696</v>
      </c>
      <c r="AJ202">
        <f t="shared" si="21"/>
        <v>-303.41955858134804</v>
      </c>
      <c r="AK202">
        <f t="shared" si="22"/>
        <v>1119.8855056693965</v>
      </c>
    </row>
    <row r="203" spans="1:37" x14ac:dyDescent="0.25">
      <c r="A203">
        <v>131.56630832278418</v>
      </c>
      <c r="B203">
        <v>61.044748244996001</v>
      </c>
      <c r="C203">
        <v>-265.44243200000005</v>
      </c>
      <c r="E203">
        <f t="shared" si="19"/>
        <v>-131.56630832278421</v>
      </c>
      <c r="F203">
        <f t="shared" si="20"/>
        <v>-144.53098824198676</v>
      </c>
      <c r="AF203">
        <f>'Cross Section Analysis'!B313</f>
        <v>303.05324619571473</v>
      </c>
      <c r="AG203">
        <f>'Cross Section Analysis'!C313</f>
        <v>9.8809258498794854</v>
      </c>
      <c r="AH203">
        <f>'Cross Section Analysis'!$B$118</f>
        <v>1576.3696</v>
      </c>
      <c r="AJ203">
        <f t="shared" si="21"/>
        <v>-303.05324619571456</v>
      </c>
      <c r="AK203">
        <f t="shared" si="22"/>
        <v>1121.6485034891766</v>
      </c>
    </row>
    <row r="204" spans="1:37" x14ac:dyDescent="0.25">
      <c r="A204">
        <v>130.52274883798179</v>
      </c>
      <c r="B204">
        <v>63.166981550626488</v>
      </c>
      <c r="C204">
        <v>-265.44243200000005</v>
      </c>
      <c r="E204">
        <f t="shared" si="19"/>
        <v>-130.52274883798182</v>
      </c>
      <c r="F204">
        <f t="shared" si="20"/>
        <v>-143.0303426803155</v>
      </c>
      <c r="AF204">
        <f>'Cross Section Analysis'!B314</f>
        <v>302.65054467975017</v>
      </c>
      <c r="AG204">
        <f>'Cross Section Analysis'!C314</f>
        <v>12.376098670342161</v>
      </c>
      <c r="AH204">
        <f>'Cross Section Analysis'!$B$118</f>
        <v>1576.3696</v>
      </c>
      <c r="AJ204">
        <f t="shared" si="21"/>
        <v>-302.65054467975</v>
      </c>
      <c r="AK204">
        <f t="shared" si="22"/>
        <v>1123.4128571107581</v>
      </c>
    </row>
    <row r="205" spans="1:37" x14ac:dyDescent="0.25">
      <c r="A205">
        <v>127.30016553429857</v>
      </c>
      <c r="B205">
        <v>65.632756289780204</v>
      </c>
      <c r="C205">
        <v>-265.44243200000005</v>
      </c>
      <c r="E205">
        <f t="shared" si="19"/>
        <v>-127.3001655342986</v>
      </c>
      <c r="F205">
        <f t="shared" si="20"/>
        <v>-141.28677664138141</v>
      </c>
      <c r="AF205">
        <f>'Cross Section Analysis'!B315</f>
        <v>302.21084176424876</v>
      </c>
      <c r="AG205">
        <f>'Cross Section Analysis'!C315</f>
        <v>14.874794935808783</v>
      </c>
      <c r="AH205">
        <f>'Cross Section Analysis'!$B$118</f>
        <v>1576.3696</v>
      </c>
      <c r="AJ205">
        <f t="shared" si="21"/>
        <v>-302.21084176424858</v>
      </c>
      <c r="AK205">
        <f t="shared" si="22"/>
        <v>1125.1797021841951</v>
      </c>
    </row>
    <row r="206" spans="1:37" x14ac:dyDescent="0.25">
      <c r="A206">
        <v>124.30900344033103</v>
      </c>
      <c r="B206">
        <v>68.027138914825983</v>
      </c>
      <c r="C206">
        <v>-265.44243200000005</v>
      </c>
      <c r="E206">
        <f t="shared" si="19"/>
        <v>-124.30900344033105</v>
      </c>
      <c r="F206">
        <f t="shared" si="20"/>
        <v>-139.59369245045627</v>
      </c>
      <c r="AF206">
        <f>'Cross Section Analysis'!B316</f>
        <v>301.73343246078906</v>
      </c>
      <c r="AG206">
        <f>'Cross Section Analysis'!C316</f>
        <v>17.37862811051917</v>
      </c>
      <c r="AH206">
        <f>'Cross Section Analysis'!$B$118</f>
        <v>1576.3696</v>
      </c>
      <c r="AJ206">
        <f t="shared" si="21"/>
        <v>-301.73343246078889</v>
      </c>
      <c r="AK206">
        <f t="shared" si="22"/>
        <v>1126.9501796009927</v>
      </c>
    </row>
    <row r="207" spans="1:37" x14ac:dyDescent="0.25">
      <c r="A207">
        <v>121.41631633065177</v>
      </c>
      <c r="B207">
        <v>70.473695358613099</v>
      </c>
      <c r="C207">
        <v>-265.44243200000005</v>
      </c>
      <c r="E207">
        <f t="shared" si="19"/>
        <v>-121.4163163306518</v>
      </c>
      <c r="F207">
        <f t="shared" si="20"/>
        <v>-137.86371579849879</v>
      </c>
      <c r="AF207">
        <f>'Cross Section Analysis'!B317</f>
        <v>301.21751591925005</v>
      </c>
      <c r="AG207">
        <f>'Cross Section Analysis'!C317</f>
        <v>19.889223379767383</v>
      </c>
      <c r="AH207">
        <f>'Cross Section Analysis'!$B$118</f>
        <v>1576.3696</v>
      </c>
      <c r="AJ207">
        <f t="shared" si="21"/>
        <v>-301.21751591924988</v>
      </c>
      <c r="AK207">
        <f t="shared" si="22"/>
        <v>1128.7254385406929</v>
      </c>
    </row>
    <row r="208" spans="1:37" x14ac:dyDescent="0.25">
      <c r="A208">
        <v>118.49279577692948</v>
      </c>
      <c r="B208">
        <v>73.091601899383832</v>
      </c>
      <c r="C208">
        <v>-265.44243200000005</v>
      </c>
      <c r="E208">
        <f t="shared" si="19"/>
        <v>-118.49279577692951</v>
      </c>
      <c r="F208">
        <f t="shared" si="20"/>
        <v>-136.01257633100718</v>
      </c>
      <c r="AF208">
        <f>'Cross Section Analysis'!B318</f>
        <v>300.66219142140034</v>
      </c>
      <c r="AG208">
        <f>'Cross Section Analysis'!C318</f>
        <v>22.408222009888121</v>
      </c>
      <c r="AH208">
        <f>'Cross Section Analysis'!$B$118</f>
        <v>1576.3696</v>
      </c>
      <c r="AJ208">
        <f t="shared" si="21"/>
        <v>-300.66219142140017</v>
      </c>
      <c r="AK208">
        <f t="shared" si="22"/>
        <v>1130.5066395538508</v>
      </c>
    </row>
    <row r="209" spans="1:37" x14ac:dyDescent="0.25">
      <c r="A209">
        <v>115.37874348705633</v>
      </c>
      <c r="B209">
        <v>76.024924179090348</v>
      </c>
      <c r="C209">
        <v>-265.44243200000005</v>
      </c>
      <c r="E209">
        <f t="shared" si="19"/>
        <v>-115.37874348705635</v>
      </c>
      <c r="F209">
        <f t="shared" si="20"/>
        <v>-133.93840425562112</v>
      </c>
      <c r="AF209">
        <f>'Cross Section Analysis'!B319</f>
        <v>300.066453966616</v>
      </c>
      <c r="AG209">
        <f>'Cross Section Analysis'!C319</f>
        <v>24.937285789162367</v>
      </c>
      <c r="AH209">
        <f>'Cross Section Analysis'!$B$118</f>
        <v>1576.3696</v>
      </c>
      <c r="AJ209">
        <f t="shared" si="21"/>
        <v>-300.06645396661582</v>
      </c>
      <c r="AK209">
        <f t="shared" si="22"/>
        <v>1132.2949577022289</v>
      </c>
    </row>
    <row r="210" spans="1:37" x14ac:dyDescent="0.25">
      <c r="A210">
        <v>111.95096056783682</v>
      </c>
      <c r="B210">
        <v>79.128271444116692</v>
      </c>
      <c r="C210">
        <v>-265.44243200000005</v>
      </c>
      <c r="E210">
        <f t="shared" si="19"/>
        <v>-111.95096056783684</v>
      </c>
      <c r="F210">
        <f t="shared" si="20"/>
        <v>-131.74400636014428</v>
      </c>
      <c r="AF210">
        <f>'Cross Section Analysis'!B320</f>
        <v>299.42918918081187</v>
      </c>
      <c r="AG210">
        <f>'Cross Section Analysis'!C320</f>
        <v>27.478101574263565</v>
      </c>
      <c r="AH210">
        <f>'Cross Section Analysis'!$B$118</f>
        <v>1576.3696</v>
      </c>
      <c r="AJ210">
        <f t="shared" si="21"/>
        <v>-299.4291891808117</v>
      </c>
      <c r="AK210">
        <f t="shared" si="22"/>
        <v>1134.09158577362</v>
      </c>
    </row>
    <row r="211" spans="1:37" x14ac:dyDescent="0.25">
      <c r="A211">
        <v>108.75985409551535</v>
      </c>
      <c r="B211">
        <v>80.251665836813061</v>
      </c>
      <c r="C211">
        <v>-265.44243200000005</v>
      </c>
      <c r="E211">
        <f t="shared" si="19"/>
        <v>-108.75985409551538</v>
      </c>
      <c r="F211">
        <f t="shared" si="20"/>
        <v>-130.94964656712173</v>
      </c>
      <c r="AF211">
        <f>'Cross Section Analysis'!B321</f>
        <v>298.749167586407</v>
      </c>
      <c r="AG211">
        <f>'Cross Section Analysis'!C321</f>
        <v>30.032385970237986</v>
      </c>
      <c r="AH211">
        <f>'Cross Section Analysis'!$B$118</f>
        <v>1576.3696</v>
      </c>
      <c r="AJ211">
        <f t="shared" si="21"/>
        <v>-298.74916758640683</v>
      </c>
      <c r="AK211">
        <f t="shared" si="22"/>
        <v>1135.8977375910924</v>
      </c>
    </row>
    <row r="212" spans="1:37" x14ac:dyDescent="0.25">
      <c r="A212">
        <v>103.4097404033172</v>
      </c>
      <c r="B212">
        <v>81.642265971642573</v>
      </c>
      <c r="C212">
        <v>-265.44243200000005</v>
      </c>
      <c r="E212">
        <f t="shared" ref="E212:E275" si="23">($I$2*A212)+($K$2*B212)+($M$2*C212)</f>
        <v>-103.40974040331723</v>
      </c>
      <c r="F212">
        <f t="shared" ref="F212:F275" si="24">($J$2*A212)+($L$2*B212)+($N$2*C212)</f>
        <v>-129.96634378186485</v>
      </c>
      <c r="AF212">
        <f>'Cross Section Analysis'!B322</f>
        <v>298.02503817251818</v>
      </c>
      <c r="AG212">
        <f>'Cross Section Analysis'!C322</f>
        <v>32.601890172535349</v>
      </c>
      <c r="AH212">
        <f>'Cross Section Analysis'!$B$118</f>
        <v>1576.3696</v>
      </c>
      <c r="AJ212">
        <f t="shared" ref="AJ212:AJ275" si="25">($I$2*AF212)+($K$2*AG212)+($M$2*AH212)</f>
        <v>-298.02503817251801</v>
      </c>
      <c r="AK212">
        <f t="shared" ref="AK212:AK275" si="26">($J$2*AF212)+($L$2*AG212)+($N$2*AH212)</f>
        <v>1137.7146514368242</v>
      </c>
    </row>
    <row r="213" spans="1:37" x14ac:dyDescent="0.25">
      <c r="A213">
        <v>93.779384413887954</v>
      </c>
      <c r="B213">
        <v>83.744594625203305</v>
      </c>
      <c r="C213">
        <v>-265.44243200000005</v>
      </c>
      <c r="E213">
        <f t="shared" si="23"/>
        <v>-93.779384413887982</v>
      </c>
      <c r="F213">
        <f t="shared" si="24"/>
        <v>-128.47977293464928</v>
      </c>
      <c r="AF213">
        <f>'Cross Section Analysis'!B323</f>
        <v>297.25532119708271</v>
      </c>
      <c r="AG213">
        <f>'Cross Section Analysis'!C323</f>
        <v>35.188405001122625</v>
      </c>
      <c r="AH213">
        <f>'Cross Section Analysis'!$B$118</f>
        <v>1576.3696</v>
      </c>
      <c r="AJ213">
        <f t="shared" si="25"/>
        <v>-297.25532119708254</v>
      </c>
      <c r="AK213">
        <f t="shared" si="26"/>
        <v>1139.5435936117578</v>
      </c>
    </row>
    <row r="214" spans="1:37" x14ac:dyDescent="0.25">
      <c r="A214">
        <v>71.983481705740715</v>
      </c>
      <c r="B214">
        <v>89.033180333895402</v>
      </c>
      <c r="C214">
        <v>-265.44243200000005</v>
      </c>
      <c r="E214">
        <f t="shared" si="23"/>
        <v>-71.983481705740743</v>
      </c>
      <c r="F214">
        <f t="shared" si="24"/>
        <v>-124.74017811714683</v>
      </c>
      <c r="AF214">
        <f>'Cross Section Analysis'!B324</f>
        <v>296.43840071446965</v>
      </c>
      <c r="AG214">
        <f>'Cross Section Analysis'!C324</f>
        <v>37.793766164112689</v>
      </c>
      <c r="AH214">
        <f>'Cross Section Analysis'!$B$118</f>
        <v>1576.3696</v>
      </c>
      <c r="AJ214">
        <f t="shared" si="25"/>
        <v>-296.43840071446948</v>
      </c>
      <c r="AK214">
        <f t="shared" si="26"/>
        <v>1141.3858621575482</v>
      </c>
    </row>
    <row r="215" spans="1:37" x14ac:dyDescent="0.25">
      <c r="A215">
        <v>1.7499125599940495E-14</v>
      </c>
      <c r="B215">
        <v>100.07072653530825</v>
      </c>
      <c r="C215">
        <v>-265.44243200000005</v>
      </c>
      <c r="E215">
        <f t="shared" si="23"/>
        <v>-5.0019764143139148E-14</v>
      </c>
      <c r="F215">
        <f t="shared" si="24"/>
        <v>-116.93545435046798</v>
      </c>
      <c r="AF215">
        <f>'Cross Section Analysis'!B325</f>
        <v>295.57251384575466</v>
      </c>
      <c r="AG215">
        <f>'Cross Section Analysis'!C325</f>
        <v>40.419859757055413</v>
      </c>
      <c r="AH215">
        <f>'Cross Section Analysis'!$B$118</f>
        <v>1576.3696</v>
      </c>
      <c r="AJ215">
        <f t="shared" si="25"/>
        <v>-295.57251384575449</v>
      </c>
      <c r="AK215">
        <f t="shared" si="26"/>
        <v>1143.2427907451486</v>
      </c>
    </row>
    <row r="216" spans="1:37" x14ac:dyDescent="0.25">
      <c r="A216">
        <v>-71.983481705740658</v>
      </c>
      <c r="B216">
        <v>89.033180333895331</v>
      </c>
      <c r="C216">
        <v>-265.44243200000005</v>
      </c>
      <c r="E216">
        <f t="shared" si="23"/>
        <v>71.98348170574063</v>
      </c>
      <c r="F216">
        <f t="shared" si="24"/>
        <v>-124.74017811714688</v>
      </c>
      <c r="AF216">
        <f>'Cross Section Analysis'!B326</f>
        <v>294.65574366264843</v>
      </c>
      <c r="AG216">
        <f>'Cross Section Analysis'!C326</f>
        <v>43.068628101862807</v>
      </c>
      <c r="AH216">
        <f>'Cross Section Analysis'!$B$118</f>
        <v>1576.3696</v>
      </c>
      <c r="AJ216">
        <f t="shared" si="25"/>
        <v>-294.65574366264826</v>
      </c>
      <c r="AK216">
        <f t="shared" si="26"/>
        <v>1145.115752803554</v>
      </c>
    </row>
    <row r="217" spans="1:37" x14ac:dyDescent="0.25">
      <c r="A217">
        <v>-93.779384413887968</v>
      </c>
      <c r="B217">
        <v>83.744594625203291</v>
      </c>
      <c r="C217">
        <v>-265.44243200000005</v>
      </c>
      <c r="E217">
        <f t="shared" si="23"/>
        <v>93.779384413887939</v>
      </c>
      <c r="F217">
        <f t="shared" si="24"/>
        <v>-128.4797729346493</v>
      </c>
      <c r="AF217">
        <f>'Cross Section Analysis'!B327</f>
        <v>294.17117008350675</v>
      </c>
      <c r="AG217">
        <f>'Cross Section Analysis'!C327</f>
        <v>44.302055920497764</v>
      </c>
      <c r="AH217">
        <f>'Cross Section Analysis'!$B$118</f>
        <v>1576.3696</v>
      </c>
      <c r="AJ217">
        <f t="shared" si="25"/>
        <v>-294.17117008350658</v>
      </c>
      <c r="AK217">
        <f t="shared" si="26"/>
        <v>1145.9879179782149</v>
      </c>
    </row>
    <row r="218" spans="1:37" x14ac:dyDescent="0.25">
      <c r="A218">
        <v>-103.40974040331729</v>
      </c>
      <c r="B218">
        <v>81.642265971642615</v>
      </c>
      <c r="C218">
        <v>-265.44243200000005</v>
      </c>
      <c r="E218">
        <f t="shared" si="23"/>
        <v>103.40974040331726</v>
      </c>
      <c r="F218">
        <f t="shared" si="24"/>
        <v>-129.96634378186482</v>
      </c>
      <c r="AF218">
        <f>'Cross Section Analysis'!B328</f>
        <v>293.14548837008158</v>
      </c>
      <c r="AG218">
        <f>'Cross Section Analysis'!C328</f>
        <v>47.001871411889965</v>
      </c>
      <c r="AH218">
        <f>'Cross Section Analysis'!$B$118</f>
        <v>1576.3696</v>
      </c>
      <c r="AJ218">
        <f t="shared" si="25"/>
        <v>-293.14548837008141</v>
      </c>
      <c r="AK218">
        <f t="shared" si="26"/>
        <v>1147.8969758201308</v>
      </c>
    </row>
    <row r="219" spans="1:37" x14ac:dyDescent="0.25">
      <c r="A219">
        <v>-108.75985409551535</v>
      </c>
      <c r="B219">
        <v>80.251665836813032</v>
      </c>
      <c r="C219">
        <v>-265.44243200000005</v>
      </c>
      <c r="E219">
        <f t="shared" si="23"/>
        <v>108.75985409551532</v>
      </c>
      <c r="F219">
        <f t="shared" si="24"/>
        <v>-130.94964656712176</v>
      </c>
      <c r="AF219">
        <f>'Cross Section Analysis'!B329</f>
        <v>292.06214638338253</v>
      </c>
      <c r="AG219">
        <f>'Cross Section Analysis'!C329</f>
        <v>49.730597590578448</v>
      </c>
      <c r="AH219">
        <f>'Cross Section Analysis'!$B$118</f>
        <v>1576.3696</v>
      </c>
      <c r="AJ219">
        <f t="shared" si="25"/>
        <v>-292.06214638338236</v>
      </c>
      <c r="AK219">
        <f t="shared" si="26"/>
        <v>1149.8264766050827</v>
      </c>
    </row>
    <row r="220" spans="1:37" x14ac:dyDescent="0.25">
      <c r="A220">
        <v>-111.95096056783676</v>
      </c>
      <c r="B220">
        <v>79.128271444116635</v>
      </c>
      <c r="C220">
        <v>-265.44243200000005</v>
      </c>
      <c r="E220">
        <f t="shared" si="23"/>
        <v>111.95096056783673</v>
      </c>
      <c r="F220">
        <f t="shared" si="24"/>
        <v>-131.74400636014431</v>
      </c>
      <c r="AF220">
        <f>'Cross Section Analysis'!B330</f>
        <v>290.91844851879387</v>
      </c>
      <c r="AG220">
        <f>'Cross Section Analysis'!C330</f>
        <v>52.490466511499292</v>
      </c>
      <c r="AH220">
        <f>'Cross Section Analysis'!$B$118</f>
        <v>1576.3696</v>
      </c>
      <c r="AJ220">
        <f t="shared" si="25"/>
        <v>-290.9184485187937</v>
      </c>
      <c r="AK220">
        <f t="shared" si="26"/>
        <v>1151.7779986342518</v>
      </c>
    </row>
    <row r="221" spans="1:37" x14ac:dyDescent="0.25">
      <c r="A221">
        <v>-115.37874348705625</v>
      </c>
      <c r="B221">
        <v>76.024924179090334</v>
      </c>
      <c r="C221">
        <v>-265.44243200000005</v>
      </c>
      <c r="E221">
        <f t="shared" si="23"/>
        <v>115.37874348705623</v>
      </c>
      <c r="F221">
        <f t="shared" si="24"/>
        <v>-133.93840425562115</v>
      </c>
      <c r="AF221">
        <f>'Cross Section Analysis'!B331</f>
        <v>289.71150713733141</v>
      </c>
      <c r="AG221">
        <f>'Cross Section Analysis'!C331</f>
        <v>55.283801804885542</v>
      </c>
      <c r="AH221">
        <f>'Cross Section Analysis'!$B$118</f>
        <v>1576.3696</v>
      </c>
      <c r="AJ221">
        <f t="shared" si="25"/>
        <v>-289.71150713733124</v>
      </c>
      <c r="AK221">
        <f t="shared" si="26"/>
        <v>1153.7531849623331</v>
      </c>
    </row>
    <row r="222" spans="1:37" x14ac:dyDescent="0.25">
      <c r="A222">
        <v>-118.49279577692953</v>
      </c>
      <c r="B222">
        <v>73.091601899383832</v>
      </c>
      <c r="C222">
        <v>-265.44243200000005</v>
      </c>
      <c r="E222">
        <f t="shared" si="23"/>
        <v>118.4927957769295</v>
      </c>
      <c r="F222">
        <f t="shared" si="24"/>
        <v>-136.01257633100721</v>
      </c>
      <c r="AF222">
        <f>'Cross Section Analysis'!B332</f>
        <v>288.43819174634274</v>
      </c>
      <c r="AG222">
        <f>'Cross Section Analysis'!C332</f>
        <v>58.113026910731051</v>
      </c>
      <c r="AH222">
        <f>'Cross Section Analysis'!$B$118</f>
        <v>1576.3696</v>
      </c>
      <c r="AJ222">
        <f t="shared" si="25"/>
        <v>-288.43819174634257</v>
      </c>
      <c r="AK222">
        <f t="shared" si="26"/>
        <v>1155.7537492201795</v>
      </c>
    </row>
    <row r="223" spans="1:37" x14ac:dyDescent="0.25">
      <c r="A223">
        <v>-121.41631633065177</v>
      </c>
      <c r="B223">
        <v>70.473695358613085</v>
      </c>
      <c r="C223">
        <v>-265.44243200000005</v>
      </c>
      <c r="E223">
        <f t="shared" si="23"/>
        <v>121.41631633065174</v>
      </c>
      <c r="F223">
        <f t="shared" si="24"/>
        <v>-137.86371579849882</v>
      </c>
      <c r="AF223">
        <f>'Cross Section Analysis'!B333</f>
        <v>287.09510832536904</v>
      </c>
      <c r="AG223">
        <f>'Cross Section Analysis'!C333</f>
        <v>60.980674311662803</v>
      </c>
      <c r="AH223">
        <f>'Cross Section Analysis'!$B$118</f>
        <v>1576.3696</v>
      </c>
      <c r="AJ223">
        <f t="shared" si="25"/>
        <v>-287.09510832536887</v>
      </c>
      <c r="AK223">
        <f t="shared" si="26"/>
        <v>1157.7814821434304</v>
      </c>
    </row>
    <row r="224" spans="1:37" x14ac:dyDescent="0.25">
      <c r="A224">
        <v>-124.30900344033103</v>
      </c>
      <c r="B224">
        <v>68.027138914826011</v>
      </c>
      <c r="C224">
        <v>-265.44243200000005</v>
      </c>
      <c r="E224">
        <f t="shared" si="23"/>
        <v>124.309003440331</v>
      </c>
      <c r="F224">
        <f t="shared" si="24"/>
        <v>-139.5936924504563</v>
      </c>
      <c r="AF224">
        <f>'Cross Section Analysis'!B334</f>
        <v>285.67857632623407</v>
      </c>
      <c r="AG224">
        <f>'Cross Section Analysis'!C334</f>
        <v>63.889395514687024</v>
      </c>
      <c r="AH224">
        <f>'Cross Section Analysis'!$B$118</f>
        <v>1576.3696</v>
      </c>
      <c r="AJ224">
        <f t="shared" si="25"/>
        <v>-285.67857632623389</v>
      </c>
      <c r="AK224">
        <f t="shared" si="26"/>
        <v>1159.83825863067</v>
      </c>
    </row>
    <row r="225" spans="1:37" x14ac:dyDescent="0.25">
      <c r="A225">
        <v>-127.3001655342986</v>
      </c>
      <c r="B225">
        <v>65.632756289780218</v>
      </c>
      <c r="C225">
        <v>-265.44243200000005</v>
      </c>
      <c r="E225">
        <f t="shared" si="23"/>
        <v>127.30016553429857</v>
      </c>
      <c r="F225">
        <f t="shared" si="24"/>
        <v>-141.28677664138144</v>
      </c>
      <c r="AF225">
        <f>'Cross Section Analysis'!B335</f>
        <v>284.18460306522388</v>
      </c>
      <c r="AG225">
        <f>'Cross Section Analysis'!C335</f>
        <v>66.841971869992506</v>
      </c>
      <c r="AH225">
        <f>'Cross Section Analysis'!$B$118</f>
        <v>1576.3696</v>
      </c>
      <c r="AJ225">
        <f t="shared" si="25"/>
        <v>-284.18460306522371</v>
      </c>
      <c r="AK225">
        <f t="shared" si="26"/>
        <v>1161.9260453934776</v>
      </c>
    </row>
    <row r="226" spans="1:37" x14ac:dyDescent="0.25">
      <c r="A226">
        <v>-130.52274883798179</v>
      </c>
      <c r="B226">
        <v>63.166981550626502</v>
      </c>
      <c r="C226">
        <v>-265.44243200000005</v>
      </c>
      <c r="E226">
        <f t="shared" si="23"/>
        <v>130.52274883798177</v>
      </c>
      <c r="F226">
        <f t="shared" si="24"/>
        <v>-143.0303426803155</v>
      </c>
      <c r="AF226">
        <f>'Cross Section Analysis'!B336</f>
        <v>282.60885518153555</v>
      </c>
      <c r="AG226">
        <f>'Cross Section Analysis'!C336</f>
        <v>69.841326325630391</v>
      </c>
      <c r="AH226">
        <f>'Cross Section Analysis'!$B$118</f>
        <v>1576.3696</v>
      </c>
      <c r="AJ226">
        <f t="shared" si="25"/>
        <v>-282.60885518153538</v>
      </c>
      <c r="AK226">
        <f t="shared" si="26"/>
        <v>1164.0469092682411</v>
      </c>
    </row>
    <row r="227" spans="1:37" x14ac:dyDescent="0.25">
      <c r="A227">
        <v>-131.56630832278415</v>
      </c>
      <c r="B227">
        <v>61.044748244995972</v>
      </c>
      <c r="C227">
        <v>-265.44243200000005</v>
      </c>
      <c r="E227">
        <f t="shared" si="23"/>
        <v>131.56630832278412</v>
      </c>
      <c r="F227">
        <f t="shared" si="24"/>
        <v>-144.53098824198679</v>
      </c>
      <c r="AF227">
        <f>'Cross Section Analysis'!B337</f>
        <v>280.94662678160381</v>
      </c>
      <c r="AG227">
        <f>'Cross Section Analysis'!C337</f>
        <v>72.890536229062732</v>
      </c>
      <c r="AH227">
        <f>'Cross Section Analysis'!$B$118</f>
        <v>1576.3696</v>
      </c>
      <c r="AJ227">
        <f t="shared" si="25"/>
        <v>-280.94662678160364</v>
      </c>
      <c r="AK227">
        <f t="shared" si="26"/>
        <v>1166.2030262682192</v>
      </c>
    </row>
    <row r="228" spans="1:37" x14ac:dyDescent="0.25">
      <c r="A228">
        <v>-132.46999361977163</v>
      </c>
      <c r="B228">
        <v>58.364868090621805</v>
      </c>
      <c r="C228">
        <v>-265.44243200000005</v>
      </c>
      <c r="E228">
        <f t="shared" si="23"/>
        <v>132.4699936197716</v>
      </c>
      <c r="F228">
        <f t="shared" si="24"/>
        <v>-146.42594967191204</v>
      </c>
      <c r="AF228">
        <f>'Cross Section Analysis'!B338</f>
        <v>279.19280383077449</v>
      </c>
      <c r="AG228">
        <f>'Cross Section Analysis'!C338</f>
        <v>75.992847300627972</v>
      </c>
      <c r="AH228">
        <f>'Cross Section Analysis'!$B$118</f>
        <v>1576.3696</v>
      </c>
      <c r="AJ228">
        <f t="shared" si="25"/>
        <v>-279.19280383077432</v>
      </c>
      <c r="AK228">
        <f t="shared" si="26"/>
        <v>1168.3966914642733</v>
      </c>
    </row>
    <row r="229" spans="1:37" x14ac:dyDescent="0.25">
      <c r="A229">
        <v>-133.36355586006329</v>
      </c>
      <c r="B229">
        <v>53.582746339114195</v>
      </c>
      <c r="C229">
        <v>-265.44243200000005</v>
      </c>
      <c r="E229">
        <f t="shared" si="23"/>
        <v>133.36355586006326</v>
      </c>
      <c r="F229">
        <f t="shared" si="24"/>
        <v>-149.80742039086275</v>
      </c>
      <c r="AF229">
        <f>'Cross Section Analysis'!B339</f>
        <v>277.34307899917587</v>
      </c>
      <c r="AG229">
        <f>'Cross Section Analysis'!C339</f>
        <v>79.149555612848303</v>
      </c>
      <c r="AH229">
        <f>'Cross Section Analysis'!$B$118</f>
        <v>1576.3696</v>
      </c>
      <c r="AJ229">
        <f t="shared" si="25"/>
        <v>-277.3430789991757</v>
      </c>
      <c r="AK229">
        <f t="shared" si="26"/>
        <v>1170.6288213180721</v>
      </c>
    </row>
    <row r="230" spans="1:37" x14ac:dyDescent="0.25">
      <c r="A230">
        <v>-134.60903831358593</v>
      </c>
      <c r="B230">
        <v>47.986474576388318</v>
      </c>
      <c r="C230">
        <v>-265.44243200000005</v>
      </c>
      <c r="E230">
        <f t="shared" si="23"/>
        <v>134.6090383135859</v>
      </c>
      <c r="F230">
        <f t="shared" si="24"/>
        <v>-153.76458210364902</v>
      </c>
      <c r="AF230">
        <f>'Cross Section Analysis'!B340</f>
        <v>275.46059532995474</v>
      </c>
      <c r="AG230">
        <f>'Cross Section Analysis'!C340</f>
        <v>82.249907573849981</v>
      </c>
      <c r="AH230">
        <f>'Cross Section Analysis'!$B$118</f>
        <v>1576.3696</v>
      </c>
      <c r="AJ230">
        <f t="shared" si="25"/>
        <v>-275.46059532995457</v>
      </c>
      <c r="AK230">
        <f t="shared" si="26"/>
        <v>1172.8211012137615</v>
      </c>
    </row>
    <row r="231" spans="1:37" x14ac:dyDescent="0.25">
      <c r="A231">
        <v>-136.7814229460252</v>
      </c>
      <c r="B231">
        <v>39.987042853591788</v>
      </c>
      <c r="C231">
        <v>-265.44243200000005</v>
      </c>
      <c r="E231">
        <f t="shared" si="23"/>
        <v>136.78142294602517</v>
      </c>
      <c r="F231">
        <f t="shared" si="24"/>
        <v>-159.42103452047721</v>
      </c>
      <c r="AF231">
        <f>'Cross Section Analysis'!B341</f>
        <v>273.5813818357226</v>
      </c>
      <c r="AG231">
        <f>'Cross Section Analysis'!C341</f>
        <v>85.237788940340437</v>
      </c>
      <c r="AH231">
        <f>'Cross Section Analysis'!$B$118</f>
        <v>1576.3696</v>
      </c>
      <c r="AJ231">
        <f t="shared" si="25"/>
        <v>-273.58138183572242</v>
      </c>
      <c r="AK231">
        <f t="shared" si="26"/>
        <v>1174.9338523893878</v>
      </c>
    </row>
    <row r="232" spans="1:37" x14ac:dyDescent="0.25">
      <c r="A232">
        <v>-209.10494354390963</v>
      </c>
      <c r="B232">
        <v>-1.7091947020536314E-14</v>
      </c>
      <c r="C232">
        <v>-185.36364800000001</v>
      </c>
      <c r="E232">
        <f t="shared" si="23"/>
        <v>209.1049435439096</v>
      </c>
      <c r="F232">
        <f t="shared" si="24"/>
        <v>-131.07189248627625</v>
      </c>
      <c r="AF232">
        <f>'Cross Section Analysis'!B342</f>
        <v>271.70284879347832</v>
      </c>
      <c r="AG232">
        <f>'Cross Section Analysis'!C342</f>
        <v>88.123361694556351</v>
      </c>
      <c r="AH232">
        <f>'Cross Section Analysis'!$B$118</f>
        <v>1576.3696</v>
      </c>
      <c r="AJ232">
        <f t="shared" si="25"/>
        <v>-271.70284879347815</v>
      </c>
      <c r="AK232">
        <f t="shared" si="26"/>
        <v>1176.9742604515011</v>
      </c>
    </row>
    <row r="233" spans="1:37" x14ac:dyDescent="0.25">
      <c r="A233">
        <v>-206.16560677467405</v>
      </c>
      <c r="B233">
        <v>-21.70632170484166</v>
      </c>
      <c r="C233">
        <v>-185.36364800000001</v>
      </c>
      <c r="E233">
        <f t="shared" si="23"/>
        <v>206.16560677467402</v>
      </c>
      <c r="F233">
        <f t="shared" si="24"/>
        <v>-146.42057975838651</v>
      </c>
      <c r="AF233">
        <f>'Cross Section Analysis'!B343</f>
        <v>269.82244665973838</v>
      </c>
      <c r="AG233">
        <f>'Cross Section Analysis'!C343</f>
        <v>90.915770445906062</v>
      </c>
      <c r="AH233">
        <f>'Cross Section Analysis'!$B$118</f>
        <v>1576.3696</v>
      </c>
      <c r="AJ233">
        <f t="shared" si="25"/>
        <v>-269.8224466597382</v>
      </c>
      <c r="AK233">
        <f t="shared" si="26"/>
        <v>1178.9487916154251</v>
      </c>
    </row>
    <row r="234" spans="1:37" x14ac:dyDescent="0.25">
      <c r="A234">
        <v>-202.18460863909925</v>
      </c>
      <c r="B234">
        <v>-40.899345103394772</v>
      </c>
      <c r="C234">
        <v>-185.36364800000001</v>
      </c>
      <c r="E234">
        <f t="shared" si="23"/>
        <v>202.18460863909922</v>
      </c>
      <c r="F234">
        <f t="shared" si="24"/>
        <v>-159.99209675497551</v>
      </c>
      <c r="AF234">
        <f>'Cross Section Analysis'!B344</f>
        <v>267.68553734677982</v>
      </c>
      <c r="AG234">
        <f>'Cross Section Analysis'!C344</f>
        <v>93.688759843467565</v>
      </c>
      <c r="AH234">
        <f>'Cross Section Analysis'!$B$118</f>
        <v>1576.3696</v>
      </c>
      <c r="AJ234">
        <f t="shared" si="25"/>
        <v>-267.68553734677965</v>
      </c>
      <c r="AK234">
        <f t="shared" si="26"/>
        <v>1180.9095912225991</v>
      </c>
    </row>
    <row r="235" spans="1:37" x14ac:dyDescent="0.25">
      <c r="A235">
        <v>-199.1169814517182</v>
      </c>
      <c r="B235">
        <v>-53.058144888873443</v>
      </c>
      <c r="C235">
        <v>-185.36364800000001</v>
      </c>
      <c r="E235">
        <f t="shared" si="23"/>
        <v>199.11698145171817</v>
      </c>
      <c r="F235">
        <f t="shared" si="24"/>
        <v>-168.58966653437702</v>
      </c>
      <c r="AF235">
        <f>'Cross Section Analysis'!B345</f>
        <v>265.46152537112442</v>
      </c>
      <c r="AG235">
        <f>'Cross Section Analysis'!C345</f>
        <v>96.401357840516653</v>
      </c>
      <c r="AH235">
        <f>'Cross Section Analysis'!$B$118</f>
        <v>1576.3696</v>
      </c>
      <c r="AJ235">
        <f t="shared" si="25"/>
        <v>-265.46152537112425</v>
      </c>
      <c r="AK235">
        <f t="shared" si="26"/>
        <v>1182.8276876609457</v>
      </c>
    </row>
    <row r="236" spans="1:37" x14ac:dyDescent="0.25">
      <c r="A236">
        <v>-197.09513972073475</v>
      </c>
      <c r="B236">
        <v>-60.78263794321537</v>
      </c>
      <c r="C236">
        <v>-185.36364800000001</v>
      </c>
      <c r="E236">
        <f t="shared" si="23"/>
        <v>197.09513972073472</v>
      </c>
      <c r="F236">
        <f t="shared" si="24"/>
        <v>-174.05170795433057</v>
      </c>
      <c r="AF236">
        <f>'Cross Section Analysis'!B346</f>
        <v>263.23208831620229</v>
      </c>
      <c r="AG236">
        <f>'Cross Section Analysis'!C346</f>
        <v>99.038232171078434</v>
      </c>
      <c r="AH236">
        <f>'Cross Section Analysis'!$B$118</f>
        <v>1576.3696</v>
      </c>
      <c r="AJ236">
        <f t="shared" si="25"/>
        <v>-263.23208831620212</v>
      </c>
      <c r="AK236">
        <f t="shared" si="26"/>
        <v>1184.6922393812226</v>
      </c>
    </row>
    <row r="237" spans="1:37" x14ac:dyDescent="0.25">
      <c r="A237">
        <v>-192.80921873691489</v>
      </c>
      <c r="B237">
        <v>-68.343125003091458</v>
      </c>
      <c r="C237">
        <v>-185.36364800000001</v>
      </c>
      <c r="E237">
        <f t="shared" si="23"/>
        <v>192.80921873691486</v>
      </c>
      <c r="F237">
        <f t="shared" si="24"/>
        <v>-179.39777962344209</v>
      </c>
      <c r="AF237">
        <f>'Cross Section Analysis'!B347</f>
        <v>260.9945810717968</v>
      </c>
      <c r="AG237">
        <f>'Cross Section Analysis'!C347</f>
        <v>101.6059038356657</v>
      </c>
      <c r="AH237">
        <f>'Cross Section Analysis'!$B$118</f>
        <v>1576.3696</v>
      </c>
      <c r="AJ237">
        <f t="shared" si="25"/>
        <v>-260.99458107179663</v>
      </c>
      <c r="AK237">
        <f t="shared" si="26"/>
        <v>1186.5078574271129</v>
      </c>
    </row>
    <row r="238" spans="1:37" x14ac:dyDescent="0.25">
      <c r="A238">
        <v>-187.97257313363158</v>
      </c>
      <c r="B238">
        <v>-75.476984411920384</v>
      </c>
      <c r="C238">
        <v>-185.36364800000001</v>
      </c>
      <c r="E238">
        <f t="shared" si="23"/>
        <v>187.97257313363156</v>
      </c>
      <c r="F238">
        <f t="shared" si="24"/>
        <v>-184.44217998745648</v>
      </c>
      <c r="AF238">
        <f>'Cross Section Analysis'!B348</f>
        <v>258.74633009155156</v>
      </c>
      <c r="AG238">
        <f>'Cross Section Analysis'!C348</f>
        <v>104.11035795825245</v>
      </c>
      <c r="AH238">
        <f>'Cross Section Analysis'!$B$118</f>
        <v>1576.3696</v>
      </c>
      <c r="AJ238">
        <f t="shared" si="25"/>
        <v>-258.74633009155139</v>
      </c>
      <c r="AK238">
        <f t="shared" si="26"/>
        <v>1188.2787739203645</v>
      </c>
    </row>
    <row r="239" spans="1:37" x14ac:dyDescent="0.25">
      <c r="A239">
        <v>-183.75438747875094</v>
      </c>
      <c r="B239">
        <v>-81.961599249157487</v>
      </c>
      <c r="C239">
        <v>-185.36364800000001</v>
      </c>
      <c r="E239">
        <f t="shared" si="23"/>
        <v>183.75438747875091</v>
      </c>
      <c r="F239">
        <f t="shared" si="24"/>
        <v>-189.02749511224974</v>
      </c>
      <c r="AF239">
        <f>'Cross Section Analysis'!B349</f>
        <v>256.48461676513006</v>
      </c>
      <c r="AG239">
        <f>'Cross Section Analysis'!C349</f>
        <v>106.55710981828344</v>
      </c>
      <c r="AH239">
        <f>'Cross Section Analysis'!$B$118</f>
        <v>1576.3696</v>
      </c>
      <c r="AJ239">
        <f t="shared" si="25"/>
        <v>-256.48461676512989</v>
      </c>
      <c r="AK239">
        <f t="shared" si="26"/>
        <v>1190.0088887524732</v>
      </c>
    </row>
    <row r="240" spans="1:37" x14ac:dyDescent="0.25">
      <c r="A240">
        <v>-179.86701757277925</v>
      </c>
      <c r="B240">
        <v>-88.185973219089803</v>
      </c>
      <c r="C240">
        <v>-185.36364800000001</v>
      </c>
      <c r="E240">
        <f t="shared" si="23"/>
        <v>179.86701757277922</v>
      </c>
      <c r="F240">
        <f t="shared" si="24"/>
        <v>-193.42879215502992</v>
      </c>
      <c r="AF240">
        <f>'Cross Section Analysis'!B350</f>
        <v>254.20666095757053</v>
      </c>
      <c r="AG240">
        <f>'Cross Section Analysis'!C350</f>
        <v>108.95126236350335</v>
      </c>
      <c r="AH240">
        <f>'Cross Section Analysis'!$B$118</f>
        <v>1576.3696</v>
      </c>
      <c r="AJ240">
        <f t="shared" si="25"/>
        <v>-254.20666095757034</v>
      </c>
      <c r="AK240">
        <f t="shared" si="26"/>
        <v>1191.7018102523932</v>
      </c>
    </row>
    <row r="241" spans="1:37" x14ac:dyDescent="0.25">
      <c r="A241">
        <v>-175.74398011857042</v>
      </c>
      <c r="B241">
        <v>-93.397282573953746</v>
      </c>
      <c r="C241">
        <v>-185.36364800000001</v>
      </c>
      <c r="E241">
        <f t="shared" si="23"/>
        <v>175.74398011857039</v>
      </c>
      <c r="F241">
        <f t="shared" si="24"/>
        <v>-197.11374433871509</v>
      </c>
      <c r="AF241">
        <f>'Cross Section Analysis'!B351</f>
        <v>251.90960377369697</v>
      </c>
      <c r="AG241">
        <f>'Cross Section Analysis'!C351</f>
        <v>111.29755648007806</v>
      </c>
      <c r="AH241">
        <f>'Cross Section Analysis'!$B$118</f>
        <v>1576.3696</v>
      </c>
      <c r="AJ241">
        <f t="shared" si="25"/>
        <v>-251.90960377369677</v>
      </c>
      <c r="AK241">
        <f t="shared" si="26"/>
        <v>1193.3608907328812</v>
      </c>
    </row>
    <row r="242" spans="1:37" x14ac:dyDescent="0.25">
      <c r="A242">
        <v>-172.12971673840892</v>
      </c>
      <c r="B242">
        <v>-97.780852262291546</v>
      </c>
      <c r="C242">
        <v>-185.36364800000001</v>
      </c>
      <c r="E242">
        <f t="shared" si="23"/>
        <v>172.12971673840889</v>
      </c>
      <c r="F242">
        <f t="shared" si="24"/>
        <v>-200.21339619114258</v>
      </c>
      <c r="AF242">
        <f>'Cross Section Analysis'!B352</f>
        <v>249.5904905175058</v>
      </c>
      <c r="AG242">
        <f>'Cross Section Analysis'!C352</f>
        <v>113.60041550117477</v>
      </c>
      <c r="AH242">
        <f>'Cross Section Analysis'!$B$118</f>
        <v>1576.3696</v>
      </c>
      <c r="AJ242">
        <f t="shared" si="25"/>
        <v>-249.5904905175056</v>
      </c>
      <c r="AK242">
        <f t="shared" si="26"/>
        <v>1194.9892579628154</v>
      </c>
    </row>
    <row r="243" spans="1:37" x14ac:dyDescent="0.25">
      <c r="A243">
        <v>-169.05109509916082</v>
      </c>
      <c r="B243">
        <v>-101.12385115326978</v>
      </c>
      <c r="C243">
        <v>-185.36364800000001</v>
      </c>
      <c r="E243">
        <f t="shared" si="23"/>
        <v>169.05109509916079</v>
      </c>
      <c r="F243">
        <f t="shared" si="24"/>
        <v>-202.5772533764524</v>
      </c>
      <c r="AF243">
        <f>'Cross Section Analysis'!B353</f>
        <v>247.24624918330494</v>
      </c>
      <c r="AG243">
        <f>'Cross Section Analysis'!C353</f>
        <v>115.86398369618786</v>
      </c>
      <c r="AH243">
        <f>'Cross Section Analysis'!$B$118</f>
        <v>1576.3696</v>
      </c>
      <c r="AJ243">
        <f t="shared" si="25"/>
        <v>-247.24624918330474</v>
      </c>
      <c r="AK243">
        <f t="shared" si="26"/>
        <v>1196.5898423831873</v>
      </c>
    </row>
    <row r="244" spans="1:37" x14ac:dyDescent="0.25">
      <c r="A244">
        <v>-161.06093836211309</v>
      </c>
      <c r="B244">
        <v>-104.67276319470095</v>
      </c>
      <c r="C244">
        <v>-185.36364800000001</v>
      </c>
      <c r="E244">
        <f t="shared" si="23"/>
        <v>161.06093836211306</v>
      </c>
      <c r="F244">
        <f t="shared" si="24"/>
        <v>-205.08671314678296</v>
      </c>
      <c r="AF244">
        <f>'Cross Section Analysis'!B354</f>
        <v>244.87367246139661</v>
      </c>
      <c r="AG244">
        <f>'Cross Section Analysis'!C354</f>
        <v>118.09216181177968</v>
      </c>
      <c r="AH244">
        <f>'Cross Section Analysis'!$B$118</f>
        <v>1576.3696</v>
      </c>
      <c r="AJ244">
        <f t="shared" si="25"/>
        <v>-244.87367246139641</v>
      </c>
      <c r="AK244">
        <f t="shared" si="26"/>
        <v>1198.1654022384139</v>
      </c>
    </row>
    <row r="245" spans="1:37" x14ac:dyDescent="0.25">
      <c r="A245">
        <v>-152.42268887926531</v>
      </c>
      <c r="B245">
        <v>-108.68736846020732</v>
      </c>
      <c r="C245">
        <v>-185.36364800000001</v>
      </c>
      <c r="E245">
        <f t="shared" si="23"/>
        <v>152.42268887926528</v>
      </c>
      <c r="F245">
        <f t="shared" si="24"/>
        <v>-207.92546775380973</v>
      </c>
      <c r="AF245">
        <f>'Cross Section Analysis'!B355</f>
        <v>242.46939401266664</v>
      </c>
      <c r="AG245">
        <f>'Cross Section Analysis'!C355</f>
        <v>120.28863791321743</v>
      </c>
      <c r="AH245">
        <f>'Cross Section Analysis'!$B$118</f>
        <v>1576.3696</v>
      </c>
      <c r="AJ245">
        <f t="shared" si="25"/>
        <v>-242.46939401266644</v>
      </c>
      <c r="AK245">
        <f t="shared" si="26"/>
        <v>1199.7185453844545</v>
      </c>
    </row>
    <row r="246" spans="1:37" x14ac:dyDescent="0.25">
      <c r="A246">
        <v>-142.46596867066484</v>
      </c>
      <c r="B246">
        <v>-113.56351947425918</v>
      </c>
      <c r="C246">
        <v>-185.36364800000001</v>
      </c>
      <c r="E246">
        <f t="shared" si="23"/>
        <v>142.46596867066481</v>
      </c>
      <c r="F246">
        <f t="shared" si="24"/>
        <v>-211.37342720193544</v>
      </c>
      <c r="AF246">
        <f>'Cross Section Analysis'!B356</f>
        <v>240.78766099846061</v>
      </c>
      <c r="AG246">
        <f>'Cross Section Analysis'!C356</f>
        <v>121.6545606434489</v>
      </c>
      <c r="AH246">
        <f>'Cross Section Analysis'!$B$118</f>
        <v>1576.3696</v>
      </c>
      <c r="AJ246">
        <f t="shared" si="25"/>
        <v>-240.78766099846041</v>
      </c>
      <c r="AK246">
        <f t="shared" si="26"/>
        <v>1200.6843986095782</v>
      </c>
    </row>
    <row r="247" spans="1:37" x14ac:dyDescent="0.25">
      <c r="A247">
        <v>-130.22734826822744</v>
      </c>
      <c r="B247">
        <v>-119.40241057785738</v>
      </c>
      <c r="C247">
        <v>-185.36364800000001</v>
      </c>
      <c r="E247">
        <f t="shared" si="23"/>
        <v>130.22734826822742</v>
      </c>
      <c r="F247">
        <f t="shared" si="24"/>
        <v>-215.50214669589957</v>
      </c>
      <c r="AF247">
        <f>'Cross Section Analysis'!B357</f>
        <v>238.27942746379293</v>
      </c>
      <c r="AG247">
        <f>'Cross Section Analysis'!C357</f>
        <v>123.82520907782656</v>
      </c>
      <c r="AH247">
        <f>'Cross Section Analysis'!$B$118</f>
        <v>1576.3696</v>
      </c>
      <c r="AJ247">
        <f t="shared" si="25"/>
        <v>-238.27942746379273</v>
      </c>
      <c r="AK247">
        <f t="shared" si="26"/>
        <v>1202.2192788370985</v>
      </c>
    </row>
    <row r="248" spans="1:37" x14ac:dyDescent="0.25">
      <c r="A248">
        <v>-111.83841172115471</v>
      </c>
      <c r="B248">
        <v>-122.04885256954063</v>
      </c>
      <c r="C248">
        <v>-185.36364800000001</v>
      </c>
      <c r="E248">
        <f t="shared" si="23"/>
        <v>111.83841172115469</v>
      </c>
      <c r="F248">
        <f t="shared" si="24"/>
        <v>-217.37346377423563</v>
      </c>
      <c r="AF248">
        <f>'Cross Section Analysis'!B358</f>
        <v>235.72755770708434</v>
      </c>
      <c r="AG248">
        <f>'Cross Section Analysis'!C358</f>
        <v>125.97379265899293</v>
      </c>
      <c r="AH248">
        <f>'Cross Section Analysis'!$B$118</f>
        <v>1576.3696</v>
      </c>
      <c r="AJ248">
        <f t="shared" si="25"/>
        <v>-235.72755770708415</v>
      </c>
      <c r="AK248">
        <f t="shared" si="26"/>
        <v>1203.7385568572874</v>
      </c>
    </row>
    <row r="249" spans="1:37" x14ac:dyDescent="0.25">
      <c r="A249">
        <v>-76.232970550812382</v>
      </c>
      <c r="B249">
        <v>-128.21815776208447</v>
      </c>
      <c r="C249">
        <v>-185.36364800000001</v>
      </c>
      <c r="E249">
        <f t="shared" si="23"/>
        <v>76.232970550812354</v>
      </c>
      <c r="F249">
        <f t="shared" si="24"/>
        <v>-221.73582131109274</v>
      </c>
      <c r="AF249">
        <f>'Cross Section Analysis'!B359</f>
        <v>233.12771750542746</v>
      </c>
      <c r="AG249">
        <f>'Cross Section Analysis'!C359</f>
        <v>128.10344829380574</v>
      </c>
      <c r="AH249">
        <f>'Cross Section Analysis'!$B$118</f>
        <v>1576.3696</v>
      </c>
      <c r="AJ249">
        <f t="shared" si="25"/>
        <v>-233.12771750542726</v>
      </c>
      <c r="AK249">
        <f t="shared" si="26"/>
        <v>1205.2444507982557</v>
      </c>
    </row>
    <row r="250" spans="1:37" x14ac:dyDescent="0.25">
      <c r="A250">
        <v>6.5756520456844822E-14</v>
      </c>
      <c r="B250">
        <v>-138.34068086891503</v>
      </c>
      <c r="C250">
        <v>-185.36364800000001</v>
      </c>
      <c r="E250">
        <f t="shared" si="23"/>
        <v>-8.8466319151187352E-14</v>
      </c>
      <c r="F250">
        <f t="shared" si="24"/>
        <v>-228.89352604265014</v>
      </c>
      <c r="AF250">
        <f>'Cross Section Analysis'!B360</f>
        <v>230.47525707769776</v>
      </c>
      <c r="AG250">
        <f>'Cross Section Analysis'!C360</f>
        <v>130.21721853940969</v>
      </c>
      <c r="AH250">
        <f>'Cross Section Analysis'!$B$118</f>
        <v>1576.3696</v>
      </c>
      <c r="AJ250">
        <f t="shared" si="25"/>
        <v>-230.47525707769756</v>
      </c>
      <c r="AK250">
        <f t="shared" si="26"/>
        <v>1206.7391120727925</v>
      </c>
    </row>
    <row r="251" spans="1:37" x14ac:dyDescent="0.25">
      <c r="A251">
        <v>76.232970550812254</v>
      </c>
      <c r="B251">
        <v>-128.21815776208442</v>
      </c>
      <c r="C251">
        <v>-185.36364800000001</v>
      </c>
      <c r="E251">
        <f t="shared" si="23"/>
        <v>-76.232970550812283</v>
      </c>
      <c r="F251">
        <f t="shared" si="24"/>
        <v>-221.73582131109271</v>
      </c>
      <c r="AF251">
        <f>'Cross Section Analysis'!B361</f>
        <v>227.76516595602851</v>
      </c>
      <c r="AG251">
        <f>'Cross Section Analysis'!C361</f>
        <v>132.31807058565627</v>
      </c>
      <c r="AH251">
        <f>'Cross Section Analysis'!$B$118</f>
        <v>1576.3696</v>
      </c>
      <c r="AJ251">
        <f t="shared" si="25"/>
        <v>-227.76516595602831</v>
      </c>
      <c r="AK251">
        <f t="shared" si="26"/>
        <v>1208.224638800963</v>
      </c>
    </row>
    <row r="252" spans="1:37" x14ac:dyDescent="0.25">
      <c r="A252">
        <v>111.83841172115476</v>
      </c>
      <c r="B252">
        <v>-122.04885256954067</v>
      </c>
      <c r="C252">
        <v>-185.36364800000001</v>
      </c>
      <c r="E252">
        <f t="shared" si="23"/>
        <v>-111.83841172115478</v>
      </c>
      <c r="F252">
        <f t="shared" si="24"/>
        <v>-217.37346377423563</v>
      </c>
      <c r="AF252">
        <f>'Cross Section Analysis'!B362</f>
        <v>224.99202346835267</v>
      </c>
      <c r="AG252">
        <f>'Cross Section Analysis'!C362</f>
        <v>134.40891513365494</v>
      </c>
      <c r="AH252">
        <f>'Cross Section Analysis'!$B$118</f>
        <v>1576.3696</v>
      </c>
      <c r="AJ252">
        <f t="shared" si="25"/>
        <v>-224.99202346835247</v>
      </c>
      <c r="AK252">
        <f t="shared" si="26"/>
        <v>1209.7030891592599</v>
      </c>
    </row>
    <row r="253" spans="1:37" x14ac:dyDescent="0.25">
      <c r="A253">
        <v>130.2273482682275</v>
      </c>
      <c r="B253">
        <v>-119.40241057785744</v>
      </c>
      <c r="C253">
        <v>-185.36364800000001</v>
      </c>
      <c r="E253">
        <f t="shared" si="23"/>
        <v>-130.22734826822753</v>
      </c>
      <c r="F253">
        <f t="shared" si="24"/>
        <v>-215.50214669589957</v>
      </c>
      <c r="AF253">
        <f>'Cross Section Analysis'!B363</f>
        <v>222.14994147921678</v>
      </c>
      <c r="AG253">
        <f>'Cross Section Analysis'!C363</f>
        <v>136.49262453757652</v>
      </c>
      <c r="AH253">
        <f>'Cross Section Analysis'!$B$118</f>
        <v>1576.3696</v>
      </c>
      <c r="AJ253">
        <f t="shared" si="25"/>
        <v>-222.14994147921658</v>
      </c>
      <c r="AK253">
        <f t="shared" si="26"/>
        <v>1211.176494208795</v>
      </c>
    </row>
    <row r="254" spans="1:37" x14ac:dyDescent="0.25">
      <c r="A254">
        <v>142.46596867066489</v>
      </c>
      <c r="B254">
        <v>-113.56351947425915</v>
      </c>
      <c r="C254">
        <v>-185.36364800000001</v>
      </c>
      <c r="E254">
        <f t="shared" si="23"/>
        <v>-142.46596867066492</v>
      </c>
      <c r="F254">
        <f t="shared" si="24"/>
        <v>-211.37342720193541</v>
      </c>
      <c r="AF254">
        <f>'Cross Section Analysis'!B364</f>
        <v>220.45508181140963</v>
      </c>
      <c r="AG254">
        <f>'Cross Section Analysis'!C364</f>
        <v>137.74765115919681</v>
      </c>
      <c r="AH254">
        <f>'Cross Section Analysis'!$B$118</f>
        <v>1576.3696</v>
      </c>
      <c r="AJ254">
        <f t="shared" si="25"/>
        <v>-220.45508181140943</v>
      </c>
      <c r="AK254">
        <f t="shared" si="26"/>
        <v>1212.0639320435123</v>
      </c>
    </row>
    <row r="255" spans="1:37" x14ac:dyDescent="0.25">
      <c r="A255">
        <v>152.42268887926528</v>
      </c>
      <c r="B255">
        <v>-108.6873684602073</v>
      </c>
      <c r="C255">
        <v>-185.36364800000001</v>
      </c>
      <c r="E255">
        <f t="shared" si="23"/>
        <v>-152.42268887926531</v>
      </c>
      <c r="F255">
        <f t="shared" si="24"/>
        <v>-207.9254677538097</v>
      </c>
      <c r="AF255">
        <f>'Cross Section Analysis'!B365</f>
        <v>217.49190794910442</v>
      </c>
      <c r="AG255">
        <f>'Cross Section Analysis'!C365</f>
        <v>139.80070931539143</v>
      </c>
      <c r="AH255">
        <f>'Cross Section Analysis'!$B$118</f>
        <v>1576.3696</v>
      </c>
      <c r="AJ255">
        <f t="shared" si="25"/>
        <v>-217.49190794910422</v>
      </c>
      <c r="AK255">
        <f t="shared" si="26"/>
        <v>1213.515663387928</v>
      </c>
    </row>
    <row r="256" spans="1:37" x14ac:dyDescent="0.25">
      <c r="A256">
        <v>161.06093836211298</v>
      </c>
      <c r="B256">
        <v>-104.67276319470092</v>
      </c>
      <c r="C256">
        <v>-185.36364800000001</v>
      </c>
      <c r="E256">
        <f t="shared" si="23"/>
        <v>-161.06093836211301</v>
      </c>
      <c r="F256">
        <f t="shared" si="24"/>
        <v>-205.08671314678293</v>
      </c>
      <c r="AF256">
        <f>'Cross Section Analysis'!B366</f>
        <v>214.43988299918436</v>
      </c>
      <c r="AG256">
        <f>'Cross Section Analysis'!C366</f>
        <v>141.85532291474868</v>
      </c>
      <c r="AH256">
        <f>'Cross Section Analysis'!$B$118</f>
        <v>1576.3696</v>
      </c>
      <c r="AJ256">
        <f t="shared" si="25"/>
        <v>-214.43988299918416</v>
      </c>
      <c r="AK256">
        <f t="shared" si="26"/>
        <v>1214.9684945967515</v>
      </c>
    </row>
    <row r="257" spans="1:37" x14ac:dyDescent="0.25">
      <c r="A257">
        <v>169.05109509916076</v>
      </c>
      <c r="B257">
        <v>-101.12385115326978</v>
      </c>
      <c r="C257">
        <v>-185.36364800000001</v>
      </c>
      <c r="E257">
        <f t="shared" si="23"/>
        <v>-169.05109509916079</v>
      </c>
      <c r="F257">
        <f t="shared" si="24"/>
        <v>-202.57725337645235</v>
      </c>
      <c r="AF257">
        <f>'Cross Section Analysis'!B367</f>
        <v>211.29059495848566</v>
      </c>
      <c r="AG257">
        <f>'Cross Section Analysis'!C367</f>
        <v>143.91435671351869</v>
      </c>
      <c r="AH257">
        <f>'Cross Section Analysis'!$B$118</f>
        <v>1576.3696</v>
      </c>
      <c r="AJ257">
        <f t="shared" si="25"/>
        <v>-211.29059495848546</v>
      </c>
      <c r="AK257">
        <f t="shared" si="26"/>
        <v>1216.4244513585541</v>
      </c>
    </row>
    <row r="258" spans="1:37" x14ac:dyDescent="0.25">
      <c r="A258">
        <v>172.12971673840892</v>
      </c>
      <c r="B258">
        <v>-97.780852262291532</v>
      </c>
      <c r="C258">
        <v>-185.36364800000001</v>
      </c>
      <c r="E258">
        <f t="shared" si="23"/>
        <v>-172.12971673840894</v>
      </c>
      <c r="F258">
        <f t="shared" si="24"/>
        <v>-200.21339619114252</v>
      </c>
      <c r="AF258">
        <f>'Cross Section Analysis'!B368</f>
        <v>208.03472031468647</v>
      </c>
      <c r="AG258">
        <f>'Cross Section Analysis'!C368</f>
        <v>145.9807291123596</v>
      </c>
      <c r="AH258">
        <f>'Cross Section Analysis'!$B$118</f>
        <v>1576.3696</v>
      </c>
      <c r="AJ258">
        <f t="shared" si="25"/>
        <v>-208.03472031468627</v>
      </c>
      <c r="AK258">
        <f t="shared" si="26"/>
        <v>1217.8855972942313</v>
      </c>
    </row>
    <row r="259" spans="1:37" x14ac:dyDescent="0.25">
      <c r="A259">
        <v>175.74398011857042</v>
      </c>
      <c r="B259">
        <v>-93.397282573953774</v>
      </c>
      <c r="C259">
        <v>-185.36364800000001</v>
      </c>
      <c r="E259">
        <f t="shared" si="23"/>
        <v>-175.74398011857045</v>
      </c>
      <c r="F259">
        <f t="shared" si="24"/>
        <v>-197.11374433871509</v>
      </c>
      <c r="AF259">
        <f>'Cross Section Analysis'!B369</f>
        <v>204.66188134394207</v>
      </c>
      <c r="AG259">
        <f>'Cross Section Analysis'!C369</f>
        <v>148.05743263476009</v>
      </c>
      <c r="AH259">
        <f>'Cross Section Analysis'!$B$118</f>
        <v>1576.3696</v>
      </c>
      <c r="AJ259">
        <f t="shared" si="25"/>
        <v>-204.66188134394187</v>
      </c>
      <c r="AK259">
        <f t="shared" si="26"/>
        <v>1219.3540484374346</v>
      </c>
    </row>
    <row r="260" spans="1:37" x14ac:dyDescent="0.25">
      <c r="A260">
        <v>179.86701757277925</v>
      </c>
      <c r="B260">
        <v>-88.185973219089774</v>
      </c>
      <c r="C260">
        <v>-185.36364800000001</v>
      </c>
      <c r="E260">
        <f t="shared" si="23"/>
        <v>-179.86701757277928</v>
      </c>
      <c r="F260">
        <f t="shared" si="24"/>
        <v>-193.42879215502987</v>
      </c>
      <c r="AF260">
        <f>'Cross Section Analysis'!B370</f>
        <v>201.11957363993838</v>
      </c>
      <c r="AG260">
        <f>'Cross Section Analysis'!C370</f>
        <v>150.13678715939113</v>
      </c>
      <c r="AH260">
        <f>'Cross Section Analysis'!$B$118</f>
        <v>1576.3696</v>
      </c>
      <c r="AJ260">
        <f t="shared" si="25"/>
        <v>-201.11957363993818</v>
      </c>
      <c r="AK260">
        <f t="shared" si="26"/>
        <v>1220.8243741222923</v>
      </c>
    </row>
    <row r="261" spans="1:37" x14ac:dyDescent="0.25">
      <c r="A261">
        <v>183.75438747875111</v>
      </c>
      <c r="B261">
        <v>-81.961599249157558</v>
      </c>
      <c r="C261">
        <v>-185.36364800000001</v>
      </c>
      <c r="E261">
        <f t="shared" si="23"/>
        <v>-183.75438747875114</v>
      </c>
      <c r="F261">
        <f t="shared" si="24"/>
        <v>-189.02749511224977</v>
      </c>
      <c r="AF261">
        <f>'Cross Section Analysis'!B371</f>
        <v>197.32269677525608</v>
      </c>
      <c r="AG261">
        <f>'Cross Section Analysis'!C371</f>
        <v>152.20106282046203</v>
      </c>
      <c r="AH261">
        <f>'Cross Section Analysis'!$B$118</f>
        <v>1576.3696</v>
      </c>
      <c r="AJ261">
        <f t="shared" si="25"/>
        <v>-197.32269677525588</v>
      </c>
      <c r="AK261">
        <f t="shared" si="26"/>
        <v>1222.2840374404736</v>
      </c>
    </row>
    <row r="262" spans="1:37" x14ac:dyDescent="0.25">
      <c r="A262">
        <v>187.97257313363144</v>
      </c>
      <c r="B262">
        <v>-75.476984411920327</v>
      </c>
      <c r="C262">
        <v>-185.36364800000001</v>
      </c>
      <c r="E262">
        <f t="shared" si="23"/>
        <v>-187.97257313363147</v>
      </c>
      <c r="F262">
        <f t="shared" si="24"/>
        <v>-184.44217998745643</v>
      </c>
      <c r="AF262">
        <f>'Cross Section Analysis'!B372</f>
        <v>193.37356461643222</v>
      </c>
      <c r="AG262">
        <f>'Cross Section Analysis'!C372</f>
        <v>154.28320813638612</v>
      </c>
      <c r="AH262">
        <f>'Cross Section Analysis'!$B$118</f>
        <v>1576.3696</v>
      </c>
      <c r="AJ262">
        <f t="shared" si="25"/>
        <v>-193.37356461643202</v>
      </c>
      <c r="AK262">
        <f t="shared" si="26"/>
        <v>1223.7563365127794</v>
      </c>
    </row>
    <row r="263" spans="1:37" x14ac:dyDescent="0.25">
      <c r="A263">
        <v>192.80921873691486</v>
      </c>
      <c r="B263">
        <v>-68.343125003091416</v>
      </c>
      <c r="C263">
        <v>-185.36364800000001</v>
      </c>
      <c r="E263">
        <f t="shared" si="23"/>
        <v>-192.80921873691489</v>
      </c>
      <c r="F263">
        <f t="shared" si="24"/>
        <v>-179.39777962344203</v>
      </c>
      <c r="AF263">
        <f>'Cross Section Analysis'!B373</f>
        <v>189.25591199914444</v>
      </c>
      <c r="AG263">
        <f>'Cross Section Analysis'!C373</f>
        <v>156.38676348956974</v>
      </c>
      <c r="AH263">
        <f>'Cross Section Analysis'!$B$118</f>
        <v>1576.3696</v>
      </c>
      <c r="AJ263">
        <f t="shared" si="25"/>
        <v>-189.25591199914425</v>
      </c>
      <c r="AK263">
        <f t="shared" si="26"/>
        <v>1225.243774767617</v>
      </c>
    </row>
    <row r="264" spans="1:37" x14ac:dyDescent="0.25">
      <c r="A264">
        <v>197.09513972073481</v>
      </c>
      <c r="B264">
        <v>-60.782637943215342</v>
      </c>
      <c r="C264">
        <v>-185.36364800000001</v>
      </c>
      <c r="E264">
        <f t="shared" si="23"/>
        <v>-197.09513972073484</v>
      </c>
      <c r="F264">
        <f t="shared" si="24"/>
        <v>-174.05170795433054</v>
      </c>
      <c r="AF264">
        <f>'Cross Section Analysis'!B374</f>
        <v>184.95120573287625</v>
      </c>
      <c r="AG264">
        <f>'Cross Section Analysis'!C374</f>
        <v>158.51548131024924</v>
      </c>
      <c r="AH264">
        <f>'Cross Section Analysis'!$B$118</f>
        <v>1576.3696</v>
      </c>
      <c r="AJ264">
        <f t="shared" si="25"/>
        <v>-184.95120573287605</v>
      </c>
      <c r="AK264">
        <f t="shared" si="26"/>
        <v>1226.7490055738519</v>
      </c>
    </row>
    <row r="265" spans="1:37" x14ac:dyDescent="0.25">
      <c r="A265">
        <v>199.11698145171817</v>
      </c>
      <c r="B265">
        <v>-53.058144888873422</v>
      </c>
      <c r="C265">
        <v>-185.36364800000001</v>
      </c>
      <c r="E265">
        <f t="shared" si="23"/>
        <v>-199.1169814517182</v>
      </c>
      <c r="F265">
        <f t="shared" si="24"/>
        <v>-168.58966653437696</v>
      </c>
      <c r="AF265">
        <f>'Cross Section Analysis'!B375</f>
        <v>180.43820905875651</v>
      </c>
      <c r="AG265">
        <f>'Cross Section Analysis'!C375</f>
        <v>160.67336616272132</v>
      </c>
      <c r="AH265">
        <f>'Cross Section Analysis'!$B$118</f>
        <v>1576.3696</v>
      </c>
      <c r="AJ265">
        <f t="shared" si="25"/>
        <v>-180.43820905875631</v>
      </c>
      <c r="AK265">
        <f t="shared" si="26"/>
        <v>1228.2748605860547</v>
      </c>
    </row>
    <row r="266" spans="1:37" x14ac:dyDescent="0.25">
      <c r="A266">
        <v>202.18460863909925</v>
      </c>
      <c r="B266">
        <v>-40.899345103394822</v>
      </c>
      <c r="C266">
        <v>-185.36364800000001</v>
      </c>
      <c r="E266">
        <f t="shared" si="23"/>
        <v>-202.18460863909928</v>
      </c>
      <c r="F266">
        <f t="shared" si="24"/>
        <v>-159.99209675497551</v>
      </c>
      <c r="AF266">
        <f>'Cross Section Analysis'!B376</f>
        <v>175.69244111666262</v>
      </c>
      <c r="AG266">
        <f>'Cross Section Analysis'!C376</f>
        <v>162.86472109032567</v>
      </c>
      <c r="AH266">
        <f>'Cross Section Analysis'!$B$118</f>
        <v>1576.3696</v>
      </c>
      <c r="AJ266">
        <f t="shared" si="25"/>
        <v>-175.69244111666242</v>
      </c>
      <c r="AK266">
        <f t="shared" si="26"/>
        <v>1229.8243825153504</v>
      </c>
    </row>
    <row r="267" spans="1:37" x14ac:dyDescent="0.25">
      <c r="A267">
        <v>206.16560677467416</v>
      </c>
      <c r="B267">
        <v>-21.70632170484166</v>
      </c>
      <c r="C267">
        <v>-185.36364800000001</v>
      </c>
      <c r="E267">
        <f t="shared" si="23"/>
        <v>-206.16560677467419</v>
      </c>
      <c r="F267">
        <f t="shared" si="24"/>
        <v>-146.42057975838648</v>
      </c>
      <c r="AF267">
        <f>'Cross Section Analysis'!B377</f>
        <v>170.68550053360275</v>
      </c>
      <c r="AG267">
        <f>'Cross Section Analysis'!C377</f>
        <v>165.09420197518875</v>
      </c>
      <c r="AH267">
        <f>'Cross Section Analysis'!$B$118</f>
        <v>1576.3696</v>
      </c>
      <c r="AJ267">
        <f t="shared" si="25"/>
        <v>-170.68550053360255</v>
      </c>
      <c r="AK267">
        <f t="shared" si="26"/>
        <v>1231.4008635675627</v>
      </c>
    </row>
    <row r="268" spans="1:37" x14ac:dyDescent="0.25">
      <c r="A268">
        <v>209.10494354390991</v>
      </c>
      <c r="B268">
        <v>0</v>
      </c>
      <c r="C268">
        <v>-185.36364800000001</v>
      </c>
      <c r="E268">
        <f t="shared" si="23"/>
        <v>-209.10494354390994</v>
      </c>
      <c r="F268">
        <f t="shared" si="24"/>
        <v>-131.0718924862762</v>
      </c>
      <c r="AF268">
        <f>'Cross Section Analysis'!B378</f>
        <v>165.38421099358996</v>
      </c>
      <c r="AG268">
        <f>'Cross Section Analysis'!C378</f>
        <v>167.36688191894382</v>
      </c>
      <c r="AH268">
        <f>'Cross Section Analysis'!$B$118</f>
        <v>1576.3696</v>
      </c>
      <c r="AJ268">
        <f t="shared" si="25"/>
        <v>-165.38421099358976</v>
      </c>
      <c r="AK268">
        <f t="shared" si="26"/>
        <v>1233.0078909672586</v>
      </c>
    </row>
    <row r="269" spans="1:37" x14ac:dyDescent="0.25">
      <c r="A269">
        <v>206.16560677467413</v>
      </c>
      <c r="B269">
        <v>21.706321704841667</v>
      </c>
      <c r="C269">
        <v>-185.36364800000001</v>
      </c>
      <c r="E269">
        <f t="shared" si="23"/>
        <v>-206.16560677467416</v>
      </c>
      <c r="F269">
        <f t="shared" si="24"/>
        <v>-115.72320521416593</v>
      </c>
      <c r="AF269">
        <f>'Cross Section Analysis'!B379</f>
        <v>159.74953112323539</v>
      </c>
      <c r="AG269">
        <f>'Cross Section Analysis'!C379</f>
        <v>169.68832859489763</v>
      </c>
      <c r="AH269">
        <f>'Cross Section Analysis'!$B$118</f>
        <v>1576.3696</v>
      </c>
      <c r="AJ269">
        <f t="shared" si="25"/>
        <v>-159.74953112323519</v>
      </c>
      <c r="AK269">
        <f t="shared" si="26"/>
        <v>1234.6494016539887</v>
      </c>
    </row>
    <row r="270" spans="1:37" x14ac:dyDescent="0.25">
      <c r="A270">
        <v>202.18460863909934</v>
      </c>
      <c r="B270">
        <v>40.899345103394744</v>
      </c>
      <c r="C270">
        <v>-185.36364800000001</v>
      </c>
      <c r="E270">
        <f t="shared" si="23"/>
        <v>-202.18460863909937</v>
      </c>
      <c r="F270">
        <f t="shared" si="24"/>
        <v>-102.15168821757696</v>
      </c>
      <c r="AF270">
        <f>'Cross Section Analysis'!B380</f>
        <v>153.73514733249385</v>
      </c>
      <c r="AG270">
        <f>'Cross Section Analysis'!C380</f>
        <v>172.06469630256777</v>
      </c>
      <c r="AH270">
        <f>'Cross Section Analysis'!$B$118</f>
        <v>1576.3696</v>
      </c>
      <c r="AJ270">
        <f t="shared" si="25"/>
        <v>-153.73514733249365</v>
      </c>
      <c r="AK270">
        <f t="shared" si="26"/>
        <v>1236.329747374675</v>
      </c>
    </row>
    <row r="271" spans="1:37" x14ac:dyDescent="0.25">
      <c r="A271">
        <v>199.11698145171815</v>
      </c>
      <c r="B271">
        <v>53.058144888873422</v>
      </c>
      <c r="C271">
        <v>-185.36364800000001</v>
      </c>
      <c r="E271">
        <f t="shared" si="23"/>
        <v>-199.11698145171817</v>
      </c>
      <c r="F271">
        <f t="shared" si="24"/>
        <v>-93.554118438175465</v>
      </c>
      <c r="AF271">
        <f>'Cross Section Analysis'!B381</f>
        <v>147.30264339372491</v>
      </c>
      <c r="AG271">
        <f>'Cross Section Analysis'!C381</f>
        <v>174.40051199695759</v>
      </c>
      <c r="AH271">
        <f>'Cross Section Analysis'!$B$118</f>
        <v>1576.3696</v>
      </c>
      <c r="AJ271">
        <f t="shared" si="25"/>
        <v>-147.30264339372471</v>
      </c>
      <c r="AK271">
        <f t="shared" si="26"/>
        <v>1237.98141849178</v>
      </c>
    </row>
    <row r="272" spans="1:37" x14ac:dyDescent="0.25">
      <c r="A272">
        <v>197.09513972073478</v>
      </c>
      <c r="B272">
        <v>60.78263794321537</v>
      </c>
      <c r="C272">
        <v>-185.36364800000001</v>
      </c>
      <c r="E272">
        <f t="shared" si="23"/>
        <v>-197.09513972073481</v>
      </c>
      <c r="F272">
        <f t="shared" si="24"/>
        <v>-88.092077018221886</v>
      </c>
      <c r="AF272">
        <f>'Cross Section Analysis'!B382</f>
        <v>140.39861150881907</v>
      </c>
      <c r="AG272">
        <f>'Cross Section Analysis'!C382</f>
        <v>176.68425033856585</v>
      </c>
      <c r="AH272">
        <f>'Cross Section Analysis'!$B$118</f>
        <v>1576.3696</v>
      </c>
      <c r="AJ272">
        <f t="shared" si="25"/>
        <v>-140.39861150881887</v>
      </c>
      <c r="AK272">
        <f t="shared" si="26"/>
        <v>1239.5962653595868</v>
      </c>
    </row>
    <row r="273" spans="1:37" x14ac:dyDescent="0.25">
      <c r="A273">
        <v>192.80921873691486</v>
      </c>
      <c r="B273">
        <v>68.343125003091401</v>
      </c>
      <c r="C273">
        <v>-185.36364800000001</v>
      </c>
      <c r="E273">
        <f t="shared" si="23"/>
        <v>-192.80921873691489</v>
      </c>
      <c r="F273">
        <f t="shared" si="24"/>
        <v>-82.746005349110391</v>
      </c>
      <c r="AF273">
        <f>'Cross Section Analysis'!B383</f>
        <v>132.92930350647077</v>
      </c>
      <c r="AG273">
        <f>'Cross Section Analysis'!C383</f>
        <v>179.03297210200685</v>
      </c>
      <c r="AH273">
        <f>'Cross Section Analysis'!$B$118</f>
        <v>1576.3696</v>
      </c>
      <c r="AJ273">
        <f t="shared" si="25"/>
        <v>-132.92930350647057</v>
      </c>
      <c r="AK273">
        <f t="shared" si="26"/>
        <v>1241.2570624456364</v>
      </c>
    </row>
    <row r="274" spans="1:37" x14ac:dyDescent="0.25">
      <c r="A274">
        <v>187.97257313363144</v>
      </c>
      <c r="B274">
        <v>75.476984411920355</v>
      </c>
      <c r="C274">
        <v>-185.36364800000001</v>
      </c>
      <c r="E274">
        <f t="shared" si="23"/>
        <v>-187.97257313363147</v>
      </c>
      <c r="F274">
        <f t="shared" si="24"/>
        <v>-77.701604985095983</v>
      </c>
      <c r="AF274">
        <f>'Cross Section Analysis'!B384</f>
        <v>124.79731761801014</v>
      </c>
      <c r="AG274">
        <f>'Cross Section Analysis'!C384</f>
        <v>181.45566904033885</v>
      </c>
      <c r="AH274">
        <f>'Cross Section Analysis'!$B$118</f>
        <v>1576.3696</v>
      </c>
      <c r="AJ274">
        <f t="shared" si="25"/>
        <v>-124.79731761800994</v>
      </c>
      <c r="AK274">
        <f t="shared" si="26"/>
        <v>1242.9701678794909</v>
      </c>
    </row>
    <row r="275" spans="1:37" x14ac:dyDescent="0.25">
      <c r="A275">
        <v>183.75438747875106</v>
      </c>
      <c r="B275">
        <v>81.961599249157501</v>
      </c>
      <c r="C275">
        <v>-185.36364800000001</v>
      </c>
      <c r="E275">
        <f t="shared" si="23"/>
        <v>-183.75438747875108</v>
      </c>
      <c r="F275">
        <f t="shared" si="24"/>
        <v>-73.1162898603027</v>
      </c>
      <c r="AF275">
        <f>'Cross Section Analysis'!B385</f>
        <v>115.95357507602942</v>
      </c>
      <c r="AG275">
        <f>'Cross Section Analysis'!C385</f>
        <v>183.94351661511104</v>
      </c>
      <c r="AH275">
        <f>'Cross Section Analysis'!$B$118</f>
        <v>1576.3696</v>
      </c>
      <c r="AJ275">
        <f t="shared" si="25"/>
        <v>-115.95357507602922</v>
      </c>
      <c r="AK275">
        <f t="shared" si="26"/>
        <v>1244.7293417701708</v>
      </c>
    </row>
    <row r="276" spans="1:37" x14ac:dyDescent="0.25">
      <c r="A276">
        <v>179.86701757277919</v>
      </c>
      <c r="B276">
        <v>88.185973219089732</v>
      </c>
      <c r="C276">
        <v>-185.36364800000001</v>
      </c>
      <c r="E276">
        <f t="shared" ref="E276:E339" si="27">($I$2*A276)+($K$2*B276)+($M$2*C276)</f>
        <v>-179.86701757277922</v>
      </c>
      <c r="F276">
        <f t="shared" ref="F276:F339" si="28">($J$2*A276)+($L$2*B276)+($N$2*C276)</f>
        <v>-68.714992817522585</v>
      </c>
      <c r="AF276">
        <f>'Cross Section Analysis'!B386</f>
        <v>106.9924632134762</v>
      </c>
      <c r="AG276">
        <f>'Cross Section Analysis'!C386</f>
        <v>186.32291305685786</v>
      </c>
      <c r="AH276">
        <f>'Cross Section Analysis'!$B$118</f>
        <v>1576.3696</v>
      </c>
      <c r="AJ276">
        <f t="shared" ref="AJ276:AJ339" si="29">($I$2*AF276)+($K$2*AG276)+($M$2*AH276)</f>
        <v>-106.992463213476</v>
      </c>
      <c r="AK276">
        <f t="shared" ref="AK276:AK339" si="30">($J$2*AF276)+($L$2*AG276)+($N$2*AH276)</f>
        <v>1246.4118291292612</v>
      </c>
    </row>
    <row r="277" spans="1:37" x14ac:dyDescent="0.25">
      <c r="A277">
        <v>175.74398011857048</v>
      </c>
      <c r="B277">
        <v>93.397282573953746</v>
      </c>
      <c r="C277">
        <v>-185.36364800000001</v>
      </c>
      <c r="E277">
        <f t="shared" si="27"/>
        <v>-175.74398011857051</v>
      </c>
      <c r="F277">
        <f t="shared" si="28"/>
        <v>-65.030040633837345</v>
      </c>
      <c r="AF277">
        <f>'Cross Section Analysis'!B387</f>
        <v>98.070637449433988</v>
      </c>
      <c r="AG277">
        <f>'Cross Section Analysis'!C387</f>
        <v>188.55419778535858</v>
      </c>
      <c r="AH277">
        <f>'Cross Section Analysis'!$B$118</f>
        <v>1576.3696</v>
      </c>
      <c r="AJ277">
        <f t="shared" si="29"/>
        <v>-98.070637449433789</v>
      </c>
      <c r="AK277">
        <f t="shared" si="30"/>
        <v>1247.9895856915418</v>
      </c>
    </row>
    <row r="278" spans="1:37" x14ac:dyDescent="0.25">
      <c r="A278">
        <v>172.12971673840889</v>
      </c>
      <c r="B278">
        <v>97.780852262291475</v>
      </c>
      <c r="C278">
        <v>-185.36364800000001</v>
      </c>
      <c r="E278">
        <f t="shared" si="27"/>
        <v>-172.12971673840892</v>
      </c>
      <c r="F278">
        <f t="shared" si="28"/>
        <v>-61.930388781409945</v>
      </c>
      <c r="AF278">
        <f>'Cross Section Analysis'!B388</f>
        <v>89.305971916376578</v>
      </c>
      <c r="AG278">
        <f>'Cross Section Analysis'!C388</f>
        <v>190.50553421385112</v>
      </c>
      <c r="AH278">
        <f>'Cross Section Analysis'!$B$118</f>
        <v>1576.3696</v>
      </c>
      <c r="AJ278">
        <f t="shared" si="29"/>
        <v>-89.305971916376379</v>
      </c>
      <c r="AK278">
        <f t="shared" si="30"/>
        <v>1249.3693889125052</v>
      </c>
    </row>
    <row r="279" spans="1:37" x14ac:dyDescent="0.25">
      <c r="A279">
        <v>169.05109509916088</v>
      </c>
      <c r="B279">
        <v>101.12385115326985</v>
      </c>
      <c r="C279">
        <v>-185.36364800000001</v>
      </c>
      <c r="E279">
        <f t="shared" si="27"/>
        <v>-169.0510950991609</v>
      </c>
      <c r="F279">
        <f t="shared" si="28"/>
        <v>-59.56653159610002</v>
      </c>
      <c r="AF279">
        <f>'Cross Section Analysis'!B389</f>
        <v>80.827641848648042</v>
      </c>
      <c r="AG279">
        <f>'Cross Section Analysis'!C389</f>
        <v>192.03291580506774</v>
      </c>
      <c r="AH279">
        <f>'Cross Section Analysis'!$B$118</f>
        <v>1576.3696</v>
      </c>
      <c r="AJ279">
        <f t="shared" si="29"/>
        <v>-80.827641848647843</v>
      </c>
      <c r="AK279">
        <f t="shared" si="30"/>
        <v>1250.4494107931141</v>
      </c>
    </row>
    <row r="280" spans="1:37" x14ac:dyDescent="0.25">
      <c r="A280">
        <v>161.06093836211309</v>
      </c>
      <c r="B280">
        <v>104.67276319470086</v>
      </c>
      <c r="C280">
        <v>-185.36364800000001</v>
      </c>
      <c r="E280">
        <f t="shared" si="27"/>
        <v>-161.06093836211312</v>
      </c>
      <c r="F280">
        <f t="shared" si="28"/>
        <v>-57.057071825769555</v>
      </c>
      <c r="AF280">
        <f>'Cross Section Analysis'!B390</f>
        <v>72.377387903042489</v>
      </c>
      <c r="AG280">
        <f>'Cross Section Analysis'!C390</f>
        <v>193.41693436232589</v>
      </c>
      <c r="AH280">
        <f>'Cross Section Analysis'!$B$118</f>
        <v>1576.3696</v>
      </c>
      <c r="AJ280">
        <f t="shared" si="29"/>
        <v>-72.37738790304229</v>
      </c>
      <c r="AK280">
        <f t="shared" si="30"/>
        <v>1251.4280597002394</v>
      </c>
    </row>
    <row r="281" spans="1:37" x14ac:dyDescent="0.25">
      <c r="A281">
        <v>152.42268887926531</v>
      </c>
      <c r="B281">
        <v>108.68736846020722</v>
      </c>
      <c r="C281">
        <v>-185.36364800000001</v>
      </c>
      <c r="E281">
        <f t="shared" si="27"/>
        <v>-152.42268887926534</v>
      </c>
      <c r="F281">
        <f t="shared" si="28"/>
        <v>-54.218317218742797</v>
      </c>
      <c r="AF281">
        <f>'Cross Section Analysis'!B391</f>
        <v>63.948975996415768</v>
      </c>
      <c r="AG281">
        <f>'Cross Section Analysis'!C391</f>
        <v>194.66097793276577</v>
      </c>
      <c r="AH281">
        <f>'Cross Section Analysis'!$B$118</f>
        <v>1576.3696</v>
      </c>
      <c r="AJ281">
        <f t="shared" si="29"/>
        <v>-63.948975996415577</v>
      </c>
      <c r="AK281">
        <f t="shared" si="30"/>
        <v>1252.307731344989</v>
      </c>
    </row>
    <row r="282" spans="1:37" x14ac:dyDescent="0.25">
      <c r="A282">
        <v>142.46596867066489</v>
      </c>
      <c r="B282">
        <v>113.56351947425912</v>
      </c>
      <c r="C282">
        <v>-185.36364800000001</v>
      </c>
      <c r="E282">
        <f t="shared" si="27"/>
        <v>-142.46596867066492</v>
      </c>
      <c r="F282">
        <f t="shared" si="28"/>
        <v>-50.770357770617025</v>
      </c>
      <c r="AF282">
        <f>'Cross Section Analysis'!B392</f>
        <v>55.536193390849817</v>
      </c>
      <c r="AG282">
        <f>'Cross Section Analysis'!C392</f>
        <v>195.7680593893011</v>
      </c>
      <c r="AH282">
        <f>'Cross Section Analysis'!$B$118</f>
        <v>1576.3696</v>
      </c>
      <c r="AJ282">
        <f t="shared" si="29"/>
        <v>-55.536193390849625</v>
      </c>
      <c r="AK282">
        <f t="shared" si="30"/>
        <v>1253.0905561502309</v>
      </c>
    </row>
    <row r="283" spans="1:37" x14ac:dyDescent="0.25">
      <c r="A283">
        <v>130.22734826822742</v>
      </c>
      <c r="B283">
        <v>119.40241057785738</v>
      </c>
      <c r="C283">
        <v>-185.36364800000001</v>
      </c>
      <c r="E283">
        <f t="shared" si="27"/>
        <v>-130.22734826822744</v>
      </c>
      <c r="F283">
        <f t="shared" si="28"/>
        <v>-46.641638276652898</v>
      </c>
      <c r="AF283">
        <f>'Cross Section Analysis'!B393</f>
        <v>47.132827139830276</v>
      </c>
      <c r="AG283">
        <f>'Cross Section Analysis'!C393</f>
        <v>196.74083297985536</v>
      </c>
      <c r="AH283">
        <f>'Cross Section Analysis'!$B$118</f>
        <v>1576.3696</v>
      </c>
      <c r="AJ283">
        <f t="shared" si="29"/>
        <v>-47.132827139830084</v>
      </c>
      <c r="AK283">
        <f t="shared" si="30"/>
        <v>1253.778410952671</v>
      </c>
    </row>
    <row r="284" spans="1:37" x14ac:dyDescent="0.25">
      <c r="A284">
        <v>111.8384117211547</v>
      </c>
      <c r="B284">
        <v>122.04885256954067</v>
      </c>
      <c r="C284">
        <v>-185.36364800000001</v>
      </c>
      <c r="E284">
        <f t="shared" si="27"/>
        <v>-111.83841172115473</v>
      </c>
      <c r="F284">
        <f t="shared" si="28"/>
        <v>-44.770321198316807</v>
      </c>
      <c r="AF284">
        <f>'Cross Section Analysis'!B394</f>
        <v>38.732642052473537</v>
      </c>
      <c r="AG284">
        <f>'Cross Section Analysis'!C394</f>
        <v>197.5816081381025</v>
      </c>
      <c r="AH284">
        <f>'Cross Section Analysis'!$B$118</f>
        <v>1576.3696</v>
      </c>
      <c r="AJ284">
        <f t="shared" si="29"/>
        <v>-38.732642052473345</v>
      </c>
      <c r="AK284">
        <f t="shared" si="30"/>
        <v>1254.3729287685208</v>
      </c>
    </row>
    <row r="285" spans="1:37" x14ac:dyDescent="0.25">
      <c r="A285">
        <v>76.23297055081224</v>
      </c>
      <c r="B285">
        <v>128.21815776208442</v>
      </c>
      <c r="C285">
        <v>-185.36364800000001</v>
      </c>
      <c r="E285">
        <f t="shared" si="27"/>
        <v>-76.232970550812269</v>
      </c>
      <c r="F285">
        <f t="shared" si="28"/>
        <v>-40.40796366145976</v>
      </c>
      <c r="AF285">
        <f>'Cross Section Analysis'!B395</f>
        <v>30.329357989068125</v>
      </c>
      <c r="AG285">
        <f>'Cross Section Analysis'!C395</f>
        <v>198.29236336033236</v>
      </c>
      <c r="AH285">
        <f>'Cross Section Analysis'!$B$118</f>
        <v>1576.3696</v>
      </c>
      <c r="AJ285">
        <f t="shared" si="29"/>
        <v>-30.329357989067933</v>
      </c>
      <c r="AK285">
        <f t="shared" si="30"/>
        <v>1254.8755086059232</v>
      </c>
    </row>
    <row r="286" spans="1:37" x14ac:dyDescent="0.25">
      <c r="A286">
        <v>6.7674985843397089E-14</v>
      </c>
      <c r="B286">
        <v>138.34068086891503</v>
      </c>
      <c r="C286">
        <v>-185.36364800000001</v>
      </c>
      <c r="E286">
        <f t="shared" si="27"/>
        <v>-9.0384784537739619E-14</v>
      </c>
      <c r="F286">
        <f t="shared" si="28"/>
        <v>-33.250258929902316</v>
      </c>
      <c r="AF286">
        <f>'Cross Section Analysis'!B396</f>
        <v>21.916626216964158</v>
      </c>
      <c r="AG286">
        <f>'Cross Section Analysis'!C396</f>
        <v>198.87475566110822</v>
      </c>
      <c r="AH286">
        <f>'Cross Section Analysis'!$B$118</f>
        <v>1576.3696</v>
      </c>
      <c r="AJ286">
        <f t="shared" si="29"/>
        <v>-21.916626216963966</v>
      </c>
      <c r="AK286">
        <f t="shared" si="30"/>
        <v>1255.2873221511127</v>
      </c>
    </row>
    <row r="287" spans="1:37" x14ac:dyDescent="0.25">
      <c r="A287">
        <v>-76.232970550812183</v>
      </c>
      <c r="B287">
        <v>128.21815776208436</v>
      </c>
      <c r="C287">
        <v>-185.36364800000001</v>
      </c>
      <c r="E287">
        <f t="shared" si="27"/>
        <v>76.232970550812155</v>
      </c>
      <c r="F287">
        <f t="shared" si="28"/>
        <v>-40.407963661459803</v>
      </c>
      <c r="AF287">
        <f>'Cross Section Analysis'!B397</f>
        <v>13.488004616277861</v>
      </c>
      <c r="AG287">
        <f>'Cross Section Analysis'!C397</f>
        <v>199.33013044516559</v>
      </c>
      <c r="AH287">
        <f>'Cross Section Analysis'!$B$118</f>
        <v>1576.3696</v>
      </c>
      <c r="AJ287">
        <f t="shared" si="29"/>
        <v>-13.488004616277667</v>
      </c>
      <c r="AK287">
        <f t="shared" si="30"/>
        <v>1255.6093207489009</v>
      </c>
    </row>
    <row r="288" spans="1:37" x14ac:dyDescent="0.25">
      <c r="A288">
        <v>-111.83841172115466</v>
      </c>
      <c r="B288">
        <v>122.04885256954073</v>
      </c>
      <c r="C288">
        <v>-185.36364800000001</v>
      </c>
      <c r="E288">
        <f t="shared" si="27"/>
        <v>111.83841172115463</v>
      </c>
      <c r="F288">
        <f t="shared" si="28"/>
        <v>-44.770321198316807</v>
      </c>
      <c r="AF288">
        <f>'Cross Section Analysis'!B398</f>
        <v>5.0369314260371771</v>
      </c>
      <c r="AG288">
        <f>'Cross Section Analysis'!C398</f>
        <v>199.65952882174105</v>
      </c>
      <c r="AH288">
        <f>'Cross Section Analysis'!$B$118</f>
        <v>1576.3696</v>
      </c>
      <c r="AJ288">
        <f t="shared" si="29"/>
        <v>-5.0369314260369844</v>
      </c>
      <c r="AK288">
        <f t="shared" si="30"/>
        <v>1255.8422405746894</v>
      </c>
    </row>
    <row r="289" spans="1:37" x14ac:dyDescent="0.25">
      <c r="A289">
        <v>-130.22734826822747</v>
      </c>
      <c r="B289">
        <v>119.40241057785747</v>
      </c>
      <c r="C289">
        <v>-185.36364800000001</v>
      </c>
      <c r="E289">
        <f t="shared" si="27"/>
        <v>130.22734826822744</v>
      </c>
      <c r="F289">
        <f t="shared" si="28"/>
        <v>-46.64163827665287</v>
      </c>
      <c r="AF289">
        <f>'Cross Section Analysis'!B399</f>
        <v>9.8952291281160069E-14</v>
      </c>
      <c r="AG289">
        <f>'Cross Section Analysis'!C399</f>
        <v>199.77811800993842</v>
      </c>
      <c r="AH289">
        <f>'Cross Section Analysis'!$B$118</f>
        <v>1576.3696</v>
      </c>
      <c r="AJ289">
        <f t="shared" si="29"/>
        <v>9.4176386699331872E-14</v>
      </c>
      <c r="AK289">
        <f t="shared" si="30"/>
        <v>1255.9260957938391</v>
      </c>
    </row>
    <row r="290" spans="1:37" x14ac:dyDescent="0.25">
      <c r="A290">
        <v>-142.46596867066481</v>
      </c>
      <c r="B290">
        <v>113.56351947425922</v>
      </c>
      <c r="C290">
        <v>-185.36364800000001</v>
      </c>
      <c r="E290">
        <f t="shared" si="27"/>
        <v>142.46596867066478</v>
      </c>
      <c r="F290">
        <f t="shared" si="28"/>
        <v>-50.770357770616997</v>
      </c>
      <c r="AF290">
        <f>'Cross Section Analysis'!B400</f>
        <v>-5.0369314260371372</v>
      </c>
      <c r="AG290">
        <f>'Cross Section Analysis'!C400</f>
        <v>199.65952882174082</v>
      </c>
      <c r="AH290">
        <f>'Cross Section Analysis'!$B$118</f>
        <v>1576.3696</v>
      </c>
      <c r="AJ290">
        <f t="shared" si="29"/>
        <v>5.0369314260373299</v>
      </c>
      <c r="AK290">
        <f t="shared" si="30"/>
        <v>1255.8422405746892</v>
      </c>
    </row>
    <row r="291" spans="1:37" x14ac:dyDescent="0.25">
      <c r="A291">
        <v>-152.42268887926519</v>
      </c>
      <c r="B291">
        <v>108.68736846020727</v>
      </c>
      <c r="C291">
        <v>-185.36364800000001</v>
      </c>
      <c r="E291">
        <f t="shared" si="27"/>
        <v>152.42268887926517</v>
      </c>
      <c r="F291">
        <f t="shared" si="28"/>
        <v>-54.218317218742783</v>
      </c>
      <c r="AF291">
        <f>'Cross Section Analysis'!B401</f>
        <v>-13.488004616278118</v>
      </c>
      <c r="AG291">
        <f>'Cross Section Analysis'!C401</f>
        <v>199.33013044516559</v>
      </c>
      <c r="AH291">
        <f>'Cross Section Analysis'!$B$118</f>
        <v>1576.3696</v>
      </c>
      <c r="AJ291">
        <f t="shared" si="29"/>
        <v>13.488004616278312</v>
      </c>
      <c r="AK291">
        <f t="shared" si="30"/>
        <v>1255.6093207489009</v>
      </c>
    </row>
    <row r="292" spans="1:37" x14ac:dyDescent="0.25">
      <c r="A292">
        <v>-161.06093836211309</v>
      </c>
      <c r="B292">
        <v>104.67276319470089</v>
      </c>
      <c r="C292">
        <v>-185.36364800000001</v>
      </c>
      <c r="E292">
        <f t="shared" si="27"/>
        <v>161.06093836211306</v>
      </c>
      <c r="F292">
        <f t="shared" si="28"/>
        <v>-57.057071825769569</v>
      </c>
      <c r="AF292">
        <f>'Cross Section Analysis'!B402</f>
        <v>-21.916626216964232</v>
      </c>
      <c r="AG292">
        <f>'Cross Section Analysis'!C402</f>
        <v>198.87475566110842</v>
      </c>
      <c r="AH292">
        <f>'Cross Section Analysis'!$B$118</f>
        <v>1576.3696</v>
      </c>
      <c r="AJ292">
        <f t="shared" si="29"/>
        <v>21.916626216964424</v>
      </c>
      <c r="AK292">
        <f t="shared" si="30"/>
        <v>1255.2873221511129</v>
      </c>
    </row>
    <row r="293" spans="1:37" x14ac:dyDescent="0.25">
      <c r="A293">
        <v>-169.05109509916082</v>
      </c>
      <c r="B293">
        <v>101.1238511532698</v>
      </c>
      <c r="C293">
        <v>-185.36364800000001</v>
      </c>
      <c r="E293">
        <f t="shared" si="27"/>
        <v>169.05109509916079</v>
      </c>
      <c r="F293">
        <f t="shared" si="28"/>
        <v>-59.566531596100091</v>
      </c>
      <c r="AF293">
        <f>'Cross Section Analysis'!B403</f>
        <v>-30.329357989068324</v>
      </c>
      <c r="AG293">
        <f>'Cross Section Analysis'!C403</f>
        <v>198.29236336033216</v>
      </c>
      <c r="AH293">
        <f>'Cross Section Analysis'!$B$118</f>
        <v>1576.3696</v>
      </c>
      <c r="AJ293">
        <f t="shared" si="29"/>
        <v>30.329357989068516</v>
      </c>
      <c r="AK293">
        <f t="shared" si="30"/>
        <v>1254.8755086059232</v>
      </c>
    </row>
    <row r="294" spans="1:37" x14ac:dyDescent="0.25">
      <c r="A294">
        <v>-172.12971673840892</v>
      </c>
      <c r="B294">
        <v>97.780852262291532</v>
      </c>
      <c r="C294">
        <v>-185.36364800000001</v>
      </c>
      <c r="E294">
        <f t="shared" si="27"/>
        <v>172.12971673840889</v>
      </c>
      <c r="F294">
        <f t="shared" si="28"/>
        <v>-61.930388781409931</v>
      </c>
      <c r="AF294">
        <f>'Cross Section Analysis'!B404</f>
        <v>-38.732642052473651</v>
      </c>
      <c r="AG294">
        <f>'Cross Section Analysis'!C404</f>
        <v>197.58160813810255</v>
      </c>
      <c r="AH294">
        <f>'Cross Section Analysis'!$B$118</f>
        <v>1576.3696</v>
      </c>
      <c r="AJ294">
        <f t="shared" si="29"/>
        <v>38.732642052473842</v>
      </c>
      <c r="AK294">
        <f t="shared" si="30"/>
        <v>1254.3729287685208</v>
      </c>
    </row>
    <row r="295" spans="1:37" x14ac:dyDescent="0.25">
      <c r="A295">
        <v>-175.74398011857042</v>
      </c>
      <c r="B295">
        <v>93.397282573953746</v>
      </c>
      <c r="C295">
        <v>-185.36364800000001</v>
      </c>
      <c r="E295">
        <f t="shared" si="27"/>
        <v>175.74398011857039</v>
      </c>
      <c r="F295">
        <f t="shared" si="28"/>
        <v>-65.030040633837373</v>
      </c>
      <c r="AF295">
        <f>'Cross Section Analysis'!B405</f>
        <v>-47.132827139830233</v>
      </c>
      <c r="AG295">
        <f>'Cross Section Analysis'!C405</f>
        <v>196.7408329798553</v>
      </c>
      <c r="AH295">
        <f>'Cross Section Analysis'!$B$118</f>
        <v>1576.3696</v>
      </c>
      <c r="AJ295">
        <f t="shared" si="29"/>
        <v>47.132827139830425</v>
      </c>
      <c r="AK295">
        <f t="shared" si="30"/>
        <v>1253.778410952671</v>
      </c>
    </row>
    <row r="296" spans="1:37" x14ac:dyDescent="0.25">
      <c r="A296">
        <v>-179.86701757277928</v>
      </c>
      <c r="B296">
        <v>88.185973219089817</v>
      </c>
      <c r="C296">
        <v>-185.36364800000001</v>
      </c>
      <c r="E296">
        <f t="shared" si="27"/>
        <v>179.86701757277925</v>
      </c>
      <c r="F296">
        <f t="shared" si="28"/>
        <v>-68.714992817522557</v>
      </c>
      <c r="AF296">
        <f>'Cross Section Analysis'!B406</f>
        <v>-55.536193390850066</v>
      </c>
      <c r="AG296">
        <f>'Cross Section Analysis'!C406</f>
        <v>195.76805938930104</v>
      </c>
      <c r="AH296">
        <f>'Cross Section Analysis'!$B$118</f>
        <v>1576.3696</v>
      </c>
      <c r="AJ296">
        <f t="shared" si="29"/>
        <v>55.536193390850258</v>
      </c>
      <c r="AK296">
        <f t="shared" si="30"/>
        <v>1253.0905561502309</v>
      </c>
    </row>
    <row r="297" spans="1:37" x14ac:dyDescent="0.25">
      <c r="A297">
        <v>-183.754387478751</v>
      </c>
      <c r="B297">
        <v>81.961599249157501</v>
      </c>
      <c r="C297">
        <v>-185.36364800000001</v>
      </c>
      <c r="E297">
        <f t="shared" si="27"/>
        <v>183.75438747875097</v>
      </c>
      <c r="F297">
        <f t="shared" si="28"/>
        <v>-73.116289860302729</v>
      </c>
      <c r="AF297">
        <f>'Cross Section Analysis'!B407</f>
        <v>-63.948975996415797</v>
      </c>
      <c r="AG297">
        <f>'Cross Section Analysis'!C407</f>
        <v>194.66097793276575</v>
      </c>
      <c r="AH297">
        <f>'Cross Section Analysis'!$B$118</f>
        <v>1576.3696</v>
      </c>
      <c r="AJ297">
        <f t="shared" si="29"/>
        <v>63.948975996415989</v>
      </c>
      <c r="AK297">
        <f t="shared" si="30"/>
        <v>1252.307731344989</v>
      </c>
    </row>
    <row r="298" spans="1:37" x14ac:dyDescent="0.25">
      <c r="A298">
        <v>-187.97257313363158</v>
      </c>
      <c r="B298">
        <v>75.476984411920412</v>
      </c>
      <c r="C298">
        <v>-185.36364800000001</v>
      </c>
      <c r="E298">
        <f t="shared" si="27"/>
        <v>187.97257313363156</v>
      </c>
      <c r="F298">
        <f t="shared" si="28"/>
        <v>-77.701604985095969</v>
      </c>
      <c r="AF298">
        <f>'Cross Section Analysis'!B408</f>
        <v>-72.377387903042404</v>
      </c>
      <c r="AG298">
        <f>'Cross Section Analysis'!C408</f>
        <v>193.41693436232586</v>
      </c>
      <c r="AH298">
        <f>'Cross Section Analysis'!$B$118</f>
        <v>1576.3696</v>
      </c>
      <c r="AJ298">
        <f t="shared" si="29"/>
        <v>72.377387903042603</v>
      </c>
      <c r="AK298">
        <f t="shared" si="30"/>
        <v>1251.4280597002394</v>
      </c>
    </row>
    <row r="299" spans="1:37" x14ac:dyDescent="0.25">
      <c r="A299">
        <v>-192.80921873691486</v>
      </c>
      <c r="B299">
        <v>68.343125003091487</v>
      </c>
      <c r="C299">
        <v>-185.36364800000001</v>
      </c>
      <c r="E299">
        <f t="shared" si="27"/>
        <v>192.80921873691483</v>
      </c>
      <c r="F299">
        <f t="shared" si="28"/>
        <v>-82.746005349110362</v>
      </c>
      <c r="AF299">
        <f>'Cross Section Analysis'!B409</f>
        <v>-80.827641848647815</v>
      </c>
      <c r="AG299">
        <f>'Cross Section Analysis'!C409</f>
        <v>192.03291580506789</v>
      </c>
      <c r="AH299">
        <f>'Cross Section Analysis'!$B$118</f>
        <v>1576.3696</v>
      </c>
      <c r="AJ299">
        <f t="shared" si="29"/>
        <v>80.827641848648014</v>
      </c>
      <c r="AK299">
        <f t="shared" si="30"/>
        <v>1250.4494107931141</v>
      </c>
    </row>
    <row r="300" spans="1:37" x14ac:dyDescent="0.25">
      <c r="A300">
        <v>-197.09513972073484</v>
      </c>
      <c r="B300">
        <v>60.782637943215441</v>
      </c>
      <c r="C300">
        <v>-185.36364800000001</v>
      </c>
      <c r="E300">
        <f t="shared" si="27"/>
        <v>197.09513972073481</v>
      </c>
      <c r="F300">
        <f t="shared" si="28"/>
        <v>-88.092077018221858</v>
      </c>
      <c r="AF300">
        <f>'Cross Section Analysis'!B410</f>
        <v>-89.30597191637699</v>
      </c>
      <c r="AG300">
        <f>'Cross Section Analysis'!C410</f>
        <v>190.50553421385104</v>
      </c>
      <c r="AH300">
        <f>'Cross Section Analysis'!$B$118</f>
        <v>1576.3696</v>
      </c>
      <c r="AJ300">
        <f t="shared" si="29"/>
        <v>89.305971916377189</v>
      </c>
      <c r="AK300">
        <f t="shared" si="30"/>
        <v>1249.3693889125052</v>
      </c>
    </row>
    <row r="301" spans="1:37" x14ac:dyDescent="0.25">
      <c r="A301">
        <v>-199.11698145171835</v>
      </c>
      <c r="B301">
        <v>53.058144888873422</v>
      </c>
      <c r="C301">
        <v>-185.36364800000001</v>
      </c>
      <c r="E301">
        <f t="shared" si="27"/>
        <v>199.11698145171832</v>
      </c>
      <c r="F301">
        <f t="shared" si="28"/>
        <v>-93.554118438175493</v>
      </c>
      <c r="AF301">
        <f>'Cross Section Analysis'!B411</f>
        <v>-98.07063744943369</v>
      </c>
      <c r="AG301">
        <f>'Cross Section Analysis'!C411</f>
        <v>188.55419778535872</v>
      </c>
      <c r="AH301">
        <f>'Cross Section Analysis'!$B$118</f>
        <v>1576.3696</v>
      </c>
      <c r="AJ301">
        <f t="shared" si="29"/>
        <v>98.070637449433889</v>
      </c>
      <c r="AK301">
        <f t="shared" si="30"/>
        <v>1247.9895856915421</v>
      </c>
    </row>
    <row r="302" spans="1:37" x14ac:dyDescent="0.25">
      <c r="A302">
        <v>-202.18460863909925</v>
      </c>
      <c r="B302">
        <v>40.899345103394772</v>
      </c>
      <c r="C302">
        <v>-185.36364800000001</v>
      </c>
      <c r="E302">
        <f t="shared" si="27"/>
        <v>202.18460863909922</v>
      </c>
      <c r="F302">
        <f t="shared" si="28"/>
        <v>-102.15168821757698</v>
      </c>
      <c r="AF302">
        <f>'Cross Section Analysis'!B412</f>
        <v>-106.99246321347631</v>
      </c>
      <c r="AG302">
        <f>'Cross Section Analysis'!C412</f>
        <v>186.32291305685803</v>
      </c>
      <c r="AH302">
        <f>'Cross Section Analysis'!$B$118</f>
        <v>1576.3696</v>
      </c>
      <c r="AJ302">
        <f t="shared" si="29"/>
        <v>106.99246321347651</v>
      </c>
      <c r="AK302">
        <f t="shared" si="30"/>
        <v>1246.4118291292612</v>
      </c>
    </row>
    <row r="303" spans="1:37" x14ac:dyDescent="0.25">
      <c r="A303">
        <v>-272.33821780085418</v>
      </c>
      <c r="B303">
        <v>-2.2707333638726863E-14</v>
      </c>
      <c r="C303">
        <v>-105.28486400000003</v>
      </c>
      <c r="E303">
        <f t="shared" si="27"/>
        <v>272.33821780085418</v>
      </c>
      <c r="F303">
        <f t="shared" si="28"/>
        <v>-74.447641290703473</v>
      </c>
      <c r="AF303">
        <f>'Cross Section Analysis'!B413</f>
        <v>-115.9535750760293</v>
      </c>
      <c r="AG303">
        <f>'Cross Section Analysis'!C413</f>
        <v>183.94351661511089</v>
      </c>
      <c r="AH303">
        <f>'Cross Section Analysis'!$B$118</f>
        <v>1576.3696</v>
      </c>
      <c r="AJ303">
        <f t="shared" si="29"/>
        <v>115.95357507602949</v>
      </c>
      <c r="AK303">
        <f t="shared" si="30"/>
        <v>1244.7293417701705</v>
      </c>
    </row>
    <row r="304" spans="1:37" x14ac:dyDescent="0.25">
      <c r="A304">
        <v>-270.64432544300212</v>
      </c>
      <c r="B304">
        <v>-20.599452685130721</v>
      </c>
      <c r="C304">
        <v>-105.28486400000003</v>
      </c>
      <c r="E304">
        <f t="shared" si="27"/>
        <v>270.64432544300212</v>
      </c>
      <c r="F304">
        <f t="shared" si="28"/>
        <v>-89.013653973090825</v>
      </c>
      <c r="AF304">
        <f>'Cross Section Analysis'!B414</f>
        <v>-124.79731761801025</v>
      </c>
      <c r="AG304">
        <f>'Cross Section Analysis'!C414</f>
        <v>181.45566904033885</v>
      </c>
      <c r="AH304">
        <f>'Cross Section Analysis'!$B$118</f>
        <v>1576.3696</v>
      </c>
      <c r="AJ304">
        <f t="shared" si="29"/>
        <v>124.79731761801045</v>
      </c>
      <c r="AK304">
        <f t="shared" si="30"/>
        <v>1242.9701678794909</v>
      </c>
    </row>
    <row r="305" spans="1:37" x14ac:dyDescent="0.25">
      <c r="A305">
        <v>-267.75015929872836</v>
      </c>
      <c r="B305">
        <v>-39.407075549402805</v>
      </c>
      <c r="C305">
        <v>-105.28486400000003</v>
      </c>
      <c r="E305">
        <f t="shared" si="27"/>
        <v>267.75015929872836</v>
      </c>
      <c r="F305">
        <f t="shared" si="28"/>
        <v>-102.31265163841678</v>
      </c>
      <c r="AF305">
        <f>'Cross Section Analysis'!B415</f>
        <v>-132.9293035064708</v>
      </c>
      <c r="AG305">
        <f>'Cross Section Analysis'!C415</f>
        <v>179.03297210200674</v>
      </c>
      <c r="AH305">
        <f>'Cross Section Analysis'!$B$118</f>
        <v>1576.3696</v>
      </c>
      <c r="AJ305">
        <f t="shared" si="29"/>
        <v>132.929303506471</v>
      </c>
      <c r="AK305">
        <f t="shared" si="30"/>
        <v>1241.2570624456362</v>
      </c>
    </row>
    <row r="306" spans="1:37" x14ac:dyDescent="0.25">
      <c r="A306">
        <v>-262.89275442715609</v>
      </c>
      <c r="B306">
        <v>-57.113887924139945</v>
      </c>
      <c r="C306">
        <v>-105.28486400000003</v>
      </c>
      <c r="E306">
        <f t="shared" si="27"/>
        <v>262.89275442715609</v>
      </c>
      <c r="F306">
        <f t="shared" si="28"/>
        <v>-114.83325874179127</v>
      </c>
      <c r="AF306">
        <f>'Cross Section Analysis'!B416</f>
        <v>-140.39861150881885</v>
      </c>
      <c r="AG306">
        <f>'Cross Section Analysis'!C416</f>
        <v>176.68425033856579</v>
      </c>
      <c r="AH306">
        <f>'Cross Section Analysis'!$B$118</f>
        <v>1576.3696</v>
      </c>
      <c r="AJ306">
        <f t="shared" si="29"/>
        <v>140.39861150881904</v>
      </c>
      <c r="AK306">
        <f t="shared" si="30"/>
        <v>1239.5962653595868</v>
      </c>
    </row>
    <row r="307" spans="1:37" x14ac:dyDescent="0.25">
      <c r="A307">
        <v>-254.32698658274609</v>
      </c>
      <c r="B307">
        <v>-70.240660361929599</v>
      </c>
      <c r="C307">
        <v>-105.28486400000003</v>
      </c>
      <c r="E307">
        <f t="shared" si="27"/>
        <v>254.32698658274609</v>
      </c>
      <c r="F307">
        <f t="shared" si="28"/>
        <v>-124.11528854764501</v>
      </c>
      <c r="AF307">
        <f>'Cross Section Analysis'!B417</f>
        <v>-147.30264339372482</v>
      </c>
      <c r="AG307">
        <f>'Cross Section Analysis'!C417</f>
        <v>174.40051199695782</v>
      </c>
      <c r="AH307">
        <f>'Cross Section Analysis'!$B$118</f>
        <v>1576.3696</v>
      </c>
      <c r="AJ307">
        <f t="shared" si="29"/>
        <v>147.30264339372502</v>
      </c>
      <c r="AK307">
        <f t="shared" si="30"/>
        <v>1237.98141849178</v>
      </c>
    </row>
    <row r="308" spans="1:37" x14ac:dyDescent="0.25">
      <c r="A308">
        <v>-247.93364101913812</v>
      </c>
      <c r="B308">
        <v>-80.575170030247079</v>
      </c>
      <c r="C308">
        <v>-105.28486400000003</v>
      </c>
      <c r="E308">
        <f t="shared" si="27"/>
        <v>247.93364101913812</v>
      </c>
      <c r="F308">
        <f t="shared" si="28"/>
        <v>-131.42289041435023</v>
      </c>
      <c r="AF308">
        <f>'Cross Section Analysis'!B418</f>
        <v>-153.7351473324938</v>
      </c>
      <c r="AG308">
        <f>'Cross Section Analysis'!C418</f>
        <v>172.06469630256771</v>
      </c>
      <c r="AH308">
        <f>'Cross Section Analysis'!$B$118</f>
        <v>1576.3696</v>
      </c>
      <c r="AJ308">
        <f t="shared" si="29"/>
        <v>153.73514733249399</v>
      </c>
      <c r="AK308">
        <f t="shared" si="30"/>
        <v>1236.3297473746748</v>
      </c>
    </row>
    <row r="309" spans="1:37" x14ac:dyDescent="0.25">
      <c r="A309">
        <v>-242.61689197129115</v>
      </c>
      <c r="B309">
        <v>-88.901885963263709</v>
      </c>
      <c r="C309">
        <v>-105.28486400000003</v>
      </c>
      <c r="E309">
        <f t="shared" si="27"/>
        <v>242.61689197129115</v>
      </c>
      <c r="F309">
        <f t="shared" si="28"/>
        <v>-137.31076771560038</v>
      </c>
      <c r="AF309">
        <f>'Cross Section Analysis'!B419</f>
        <v>-159.74953112323564</v>
      </c>
      <c r="AG309">
        <f>'Cross Section Analysis'!C419</f>
        <v>169.68832859489723</v>
      </c>
      <c r="AH309">
        <f>'Cross Section Analysis'!$B$118</f>
        <v>1576.3696</v>
      </c>
      <c r="AJ309">
        <f t="shared" si="29"/>
        <v>159.74953112323584</v>
      </c>
      <c r="AK309">
        <f t="shared" si="30"/>
        <v>1234.6494016539882</v>
      </c>
    </row>
    <row r="310" spans="1:37" x14ac:dyDescent="0.25">
      <c r="A310">
        <v>-237.87311379991894</v>
      </c>
      <c r="B310">
        <v>-96.225933012966436</v>
      </c>
      <c r="C310">
        <v>-105.28486400000003</v>
      </c>
      <c r="E310">
        <f t="shared" si="27"/>
        <v>237.87311379991894</v>
      </c>
      <c r="F310">
        <f t="shared" si="28"/>
        <v>-142.48965105017447</v>
      </c>
      <c r="AF310">
        <f>'Cross Section Analysis'!B420</f>
        <v>-165.3842109935899</v>
      </c>
      <c r="AG310">
        <f>'Cross Section Analysis'!C420</f>
        <v>167.36688191894382</v>
      </c>
      <c r="AH310">
        <f>'Cross Section Analysis'!$B$118</f>
        <v>1576.3696</v>
      </c>
      <c r="AJ310">
        <f t="shared" si="29"/>
        <v>165.3842109935901</v>
      </c>
      <c r="AK310">
        <f t="shared" si="30"/>
        <v>1233.0078909672586</v>
      </c>
    </row>
    <row r="311" spans="1:37" x14ac:dyDescent="0.25">
      <c r="A311">
        <v>-233.38052301940809</v>
      </c>
      <c r="B311">
        <v>-103.08769721974809</v>
      </c>
      <c r="C311">
        <v>-105.28486400000003</v>
      </c>
      <c r="E311">
        <f t="shared" si="27"/>
        <v>233.38052301940809</v>
      </c>
      <c r="F311">
        <f t="shared" si="28"/>
        <v>-147.34165105169293</v>
      </c>
      <c r="AF311">
        <f>'Cross Section Analysis'!B421</f>
        <v>-170.68550053360283</v>
      </c>
      <c r="AG311">
        <f>'Cross Section Analysis'!C421</f>
        <v>165.09420197518884</v>
      </c>
      <c r="AH311">
        <f>'Cross Section Analysis'!$B$118</f>
        <v>1576.3696</v>
      </c>
      <c r="AJ311">
        <f t="shared" si="29"/>
        <v>170.68550053360303</v>
      </c>
      <c r="AK311">
        <f t="shared" si="30"/>
        <v>1231.4008635675627</v>
      </c>
    </row>
    <row r="312" spans="1:37" x14ac:dyDescent="0.25">
      <c r="A312">
        <v>-225.6538413434707</v>
      </c>
      <c r="B312">
        <v>-110.53383384405701</v>
      </c>
      <c r="C312">
        <v>-105.28486400000003</v>
      </c>
      <c r="E312">
        <f t="shared" si="27"/>
        <v>225.6538413434707</v>
      </c>
      <c r="F312">
        <f t="shared" si="28"/>
        <v>-152.60686475238327</v>
      </c>
      <c r="AF312">
        <f>'Cross Section Analysis'!B422</f>
        <v>-175.69244111666254</v>
      </c>
      <c r="AG312">
        <f>'Cross Section Analysis'!C422</f>
        <v>162.86472109032565</v>
      </c>
      <c r="AH312">
        <f>'Cross Section Analysis'!$B$118</f>
        <v>1576.3696</v>
      </c>
      <c r="AJ312">
        <f t="shared" si="29"/>
        <v>175.69244111666274</v>
      </c>
      <c r="AK312">
        <f t="shared" si="30"/>
        <v>1229.8243825153504</v>
      </c>
    </row>
    <row r="313" spans="1:37" x14ac:dyDescent="0.25">
      <c r="A313">
        <v>-216.13938250710649</v>
      </c>
      <c r="B313">
        <v>-118.45858053650576</v>
      </c>
      <c r="C313">
        <v>-105.28486400000003</v>
      </c>
      <c r="E313">
        <f t="shared" si="27"/>
        <v>216.13938250710649</v>
      </c>
      <c r="F313">
        <f t="shared" si="28"/>
        <v>-158.21050687779945</v>
      </c>
      <c r="AF313">
        <f>'Cross Section Analysis'!B423</f>
        <v>-180.43820905875648</v>
      </c>
      <c r="AG313">
        <f>'Cross Section Analysis'!C423</f>
        <v>160.67336616272132</v>
      </c>
      <c r="AH313">
        <f>'Cross Section Analysis'!$B$118</f>
        <v>1576.3696</v>
      </c>
      <c r="AJ313">
        <f t="shared" si="29"/>
        <v>180.43820905875668</v>
      </c>
      <c r="AK313">
        <f t="shared" si="30"/>
        <v>1228.2748605860547</v>
      </c>
    </row>
    <row r="314" spans="1:37" x14ac:dyDescent="0.25">
      <c r="A314">
        <v>-206.42236787364644</v>
      </c>
      <c r="B314">
        <v>-126.77888775261297</v>
      </c>
      <c r="C314">
        <v>-105.28486400000003</v>
      </c>
      <c r="E314">
        <f t="shared" si="27"/>
        <v>206.42236787364644</v>
      </c>
      <c r="F314">
        <f t="shared" si="28"/>
        <v>-164.09385253186423</v>
      </c>
      <c r="AF314">
        <f>'Cross Section Analysis'!B424</f>
        <v>-184.95120573287628</v>
      </c>
      <c r="AG314">
        <f>'Cross Section Analysis'!C424</f>
        <v>158.51548131024893</v>
      </c>
      <c r="AH314">
        <f>'Cross Section Analysis'!$B$118</f>
        <v>1576.3696</v>
      </c>
      <c r="AJ314">
        <f t="shared" si="29"/>
        <v>184.95120573287647</v>
      </c>
      <c r="AK314">
        <f t="shared" si="30"/>
        <v>1226.7490055738517</v>
      </c>
    </row>
    <row r="315" spans="1:37" x14ac:dyDescent="0.25">
      <c r="A315">
        <v>-196.55713479256579</v>
      </c>
      <c r="B315">
        <v>-134.36732262922465</v>
      </c>
      <c r="C315">
        <v>-105.28486400000003</v>
      </c>
      <c r="E315">
        <f t="shared" si="27"/>
        <v>196.55713479256579</v>
      </c>
      <c r="F315">
        <f t="shared" si="28"/>
        <v>-169.45968629170883</v>
      </c>
      <c r="AF315">
        <f>'Cross Section Analysis'!B425</f>
        <v>-189.2559119991441</v>
      </c>
      <c r="AG315">
        <f>'Cross Section Analysis'!C425</f>
        <v>156.38676348956963</v>
      </c>
      <c r="AH315">
        <f>'Cross Section Analysis'!$B$118</f>
        <v>1576.3696</v>
      </c>
      <c r="AJ315">
        <f t="shared" si="29"/>
        <v>189.2559119991443</v>
      </c>
      <c r="AK315">
        <f t="shared" si="30"/>
        <v>1225.2437747676167</v>
      </c>
    </row>
    <row r="316" spans="1:37" x14ac:dyDescent="0.25">
      <c r="A316">
        <v>-186.31524259348697</v>
      </c>
      <c r="B316">
        <v>-138.98586908378735</v>
      </c>
      <c r="C316">
        <v>-105.28486400000003</v>
      </c>
      <c r="E316">
        <f t="shared" si="27"/>
        <v>186.31524259348697</v>
      </c>
      <c r="F316">
        <f t="shared" si="28"/>
        <v>-172.72549180895521</v>
      </c>
      <c r="AF316">
        <f>'Cross Section Analysis'!B426</f>
        <v>-193.3735646164323</v>
      </c>
      <c r="AG316">
        <f>'Cross Section Analysis'!C426</f>
        <v>154.28320813638629</v>
      </c>
      <c r="AH316">
        <f>'Cross Section Analysis'!$B$118</f>
        <v>1576.3696</v>
      </c>
      <c r="AJ316">
        <f t="shared" si="29"/>
        <v>193.3735646164325</v>
      </c>
      <c r="AK316">
        <f t="shared" si="30"/>
        <v>1223.7563365127796</v>
      </c>
    </row>
    <row r="317" spans="1:37" x14ac:dyDescent="0.25">
      <c r="A317">
        <v>-168.12228705397112</v>
      </c>
      <c r="B317">
        <v>-144.51203254674027</v>
      </c>
      <c r="C317">
        <v>-105.28486400000003</v>
      </c>
      <c r="E317">
        <f t="shared" si="27"/>
        <v>168.12228705397112</v>
      </c>
      <c r="F317">
        <f t="shared" si="28"/>
        <v>-176.63307946755458</v>
      </c>
      <c r="AF317">
        <f>'Cross Section Analysis'!B427</f>
        <v>-197.32269677525616</v>
      </c>
      <c r="AG317">
        <f>'Cross Section Analysis'!C427</f>
        <v>152.2010628204622</v>
      </c>
      <c r="AH317">
        <f>'Cross Section Analysis'!$B$118</f>
        <v>1576.3696</v>
      </c>
      <c r="AJ317">
        <f t="shared" si="29"/>
        <v>197.32269677525636</v>
      </c>
      <c r="AK317">
        <f t="shared" si="30"/>
        <v>1222.2840374404739</v>
      </c>
    </row>
    <row r="318" spans="1:37" x14ac:dyDescent="0.25">
      <c r="A318">
        <v>-148.42248837650851</v>
      </c>
      <c r="B318">
        <v>-151.62671159300712</v>
      </c>
      <c r="C318">
        <v>-105.28486400000003</v>
      </c>
      <c r="E318">
        <f t="shared" si="27"/>
        <v>148.42248837650851</v>
      </c>
      <c r="F318">
        <f t="shared" si="28"/>
        <v>-181.66391726713567</v>
      </c>
      <c r="AF318">
        <f>'Cross Section Analysis'!B428</f>
        <v>-201.11957363993855</v>
      </c>
      <c r="AG318">
        <f>'Cross Section Analysis'!C428</f>
        <v>150.13678715939105</v>
      </c>
      <c r="AH318">
        <f>'Cross Section Analysis'!$B$118</f>
        <v>1576.3696</v>
      </c>
      <c r="AJ318">
        <f t="shared" si="29"/>
        <v>201.11957363993875</v>
      </c>
      <c r="AK318">
        <f t="shared" si="30"/>
        <v>1220.8243741222921</v>
      </c>
    </row>
    <row r="319" spans="1:37" x14ac:dyDescent="0.25">
      <c r="A319">
        <v>-119.45135234663118</v>
      </c>
      <c r="B319">
        <v>-160.21065355043294</v>
      </c>
      <c r="C319">
        <v>-105.28486400000003</v>
      </c>
      <c r="E319">
        <f t="shared" si="27"/>
        <v>119.45135234663117</v>
      </c>
      <c r="F319">
        <f t="shared" si="28"/>
        <v>-187.73368083454321</v>
      </c>
      <c r="AF319">
        <f>'Cross Section Analysis'!B429</f>
        <v>-204.66188134394167</v>
      </c>
      <c r="AG319">
        <f>'Cross Section Analysis'!C429</f>
        <v>148.05743263475998</v>
      </c>
      <c r="AH319">
        <f>'Cross Section Analysis'!$B$118</f>
        <v>1576.3696</v>
      </c>
      <c r="AJ319">
        <f t="shared" si="29"/>
        <v>204.66188134394187</v>
      </c>
      <c r="AK319">
        <f t="shared" si="30"/>
        <v>1219.3540484374346</v>
      </c>
    </row>
    <row r="320" spans="1:37" x14ac:dyDescent="0.25">
      <c r="A320">
        <v>-73.304445462003258</v>
      </c>
      <c r="B320">
        <v>-167.50453872422821</v>
      </c>
      <c r="C320">
        <v>-105.28486400000003</v>
      </c>
      <c r="E320">
        <f t="shared" si="27"/>
        <v>73.304445462003244</v>
      </c>
      <c r="F320">
        <f t="shared" si="28"/>
        <v>-192.89123650212986</v>
      </c>
      <c r="AF320">
        <f>'Cross Section Analysis'!B430</f>
        <v>-208.0347203146865</v>
      </c>
      <c r="AG320">
        <f>'Cross Section Analysis'!C430</f>
        <v>145.98072911235957</v>
      </c>
      <c r="AH320">
        <f>'Cross Section Analysis'!$B$118</f>
        <v>1576.3696</v>
      </c>
      <c r="AJ320">
        <f t="shared" si="29"/>
        <v>208.03472031468669</v>
      </c>
      <c r="AK320">
        <f t="shared" si="30"/>
        <v>1217.8855972942313</v>
      </c>
    </row>
    <row r="321" spans="1:37" x14ac:dyDescent="0.25">
      <c r="A321">
        <v>7.9602750209615432E-14</v>
      </c>
      <c r="B321">
        <v>-175.10946199797053</v>
      </c>
      <c r="C321">
        <v>-105.28486400000003</v>
      </c>
      <c r="E321">
        <f t="shared" si="27"/>
        <v>-9.2501709055101857E-14</v>
      </c>
      <c r="F321">
        <f t="shared" si="28"/>
        <v>-198.26872931939644</v>
      </c>
      <c r="AF321">
        <f>'Cross Section Analysis'!B431</f>
        <v>-211.29059495848563</v>
      </c>
      <c r="AG321">
        <f>'Cross Section Analysis'!C431</f>
        <v>143.9143567135188</v>
      </c>
      <c r="AH321">
        <f>'Cross Section Analysis'!$B$118</f>
        <v>1576.3696</v>
      </c>
      <c r="AJ321">
        <f t="shared" si="29"/>
        <v>211.29059495848583</v>
      </c>
      <c r="AK321">
        <f t="shared" si="30"/>
        <v>1216.4244513585543</v>
      </c>
    </row>
    <row r="322" spans="1:37" x14ac:dyDescent="0.25">
      <c r="A322">
        <v>73.304445462003116</v>
      </c>
      <c r="B322">
        <v>-167.50453872422827</v>
      </c>
      <c r="C322">
        <v>-105.28486400000003</v>
      </c>
      <c r="E322">
        <f t="shared" si="27"/>
        <v>-73.30444546200313</v>
      </c>
      <c r="F322">
        <f t="shared" si="28"/>
        <v>-192.89123650212991</v>
      </c>
      <c r="AF322">
        <f>'Cross Section Analysis'!B432</f>
        <v>-214.43988299918428</v>
      </c>
      <c r="AG322">
        <f>'Cross Section Analysis'!C432</f>
        <v>141.85532291474854</v>
      </c>
      <c r="AH322">
        <f>'Cross Section Analysis'!$B$118</f>
        <v>1576.3696</v>
      </c>
      <c r="AJ322">
        <f t="shared" si="29"/>
        <v>214.43988299918448</v>
      </c>
      <c r="AK322">
        <f t="shared" si="30"/>
        <v>1214.9684945967515</v>
      </c>
    </row>
    <row r="323" spans="1:37" x14ac:dyDescent="0.25">
      <c r="A323">
        <v>119.45135234663125</v>
      </c>
      <c r="B323">
        <v>-160.21065355043299</v>
      </c>
      <c r="C323">
        <v>-105.28486400000003</v>
      </c>
      <c r="E323">
        <f t="shared" si="27"/>
        <v>-119.45135234663127</v>
      </c>
      <c r="F323">
        <f t="shared" si="28"/>
        <v>-187.73368083454324</v>
      </c>
      <c r="AF323">
        <f>'Cross Section Analysis'!B433</f>
        <v>-217.49190794910427</v>
      </c>
      <c r="AG323">
        <f>'Cross Section Analysis'!C433</f>
        <v>139.80070931539117</v>
      </c>
      <c r="AH323">
        <f>'Cross Section Analysis'!$B$118</f>
        <v>1576.3696</v>
      </c>
      <c r="AJ323">
        <f t="shared" si="29"/>
        <v>217.49190794910447</v>
      </c>
      <c r="AK323">
        <f t="shared" si="30"/>
        <v>1213.5156633879278</v>
      </c>
    </row>
    <row r="324" spans="1:37" x14ac:dyDescent="0.25">
      <c r="A324">
        <v>148.42248837650845</v>
      </c>
      <c r="B324">
        <v>-151.626711593007</v>
      </c>
      <c r="C324">
        <v>-105.28486400000003</v>
      </c>
      <c r="E324">
        <f t="shared" si="27"/>
        <v>-148.42248837650845</v>
      </c>
      <c r="F324">
        <f t="shared" si="28"/>
        <v>-181.66391726713556</v>
      </c>
      <c r="AF324">
        <f>'Cross Section Analysis'!B434</f>
        <v>-220.45508181140949</v>
      </c>
      <c r="AG324">
        <f>'Cross Section Analysis'!C434</f>
        <v>137.74765115919672</v>
      </c>
      <c r="AH324">
        <f>'Cross Section Analysis'!$B$118</f>
        <v>1576.3696</v>
      </c>
      <c r="AJ324">
        <f t="shared" si="29"/>
        <v>220.45508181140968</v>
      </c>
      <c r="AK324">
        <f t="shared" si="30"/>
        <v>1212.0639320435123</v>
      </c>
    </row>
    <row r="325" spans="1:37" x14ac:dyDescent="0.25">
      <c r="A325">
        <v>168.12228705397112</v>
      </c>
      <c r="B325">
        <v>-144.5120325467403</v>
      </c>
      <c r="C325">
        <v>-105.28486400000003</v>
      </c>
      <c r="E325">
        <f t="shared" si="27"/>
        <v>-168.12228705397112</v>
      </c>
      <c r="F325">
        <f t="shared" si="28"/>
        <v>-176.63307946755455</v>
      </c>
      <c r="AF325">
        <f>'Cross Section Analysis'!B435</f>
        <v>-222.14994147921672</v>
      </c>
      <c r="AG325">
        <f>'Cross Section Analysis'!C435</f>
        <v>136.49262453757646</v>
      </c>
      <c r="AH325">
        <f>'Cross Section Analysis'!$B$118</f>
        <v>1576.3696</v>
      </c>
      <c r="AJ325">
        <f t="shared" si="29"/>
        <v>222.14994147921692</v>
      </c>
      <c r="AK325">
        <f t="shared" si="30"/>
        <v>1211.176494208795</v>
      </c>
    </row>
    <row r="326" spans="1:37" x14ac:dyDescent="0.25">
      <c r="A326">
        <v>186.31524259348689</v>
      </c>
      <c r="B326">
        <v>-138.98586908378735</v>
      </c>
      <c r="C326">
        <v>-105.28486400000003</v>
      </c>
      <c r="E326">
        <f t="shared" si="27"/>
        <v>-186.31524259348689</v>
      </c>
      <c r="F326">
        <f t="shared" si="28"/>
        <v>-172.72549180895518</v>
      </c>
      <c r="AF326">
        <f>'Cross Section Analysis'!B436</f>
        <v>-224.99202346835267</v>
      </c>
      <c r="AG326">
        <f>'Cross Section Analysis'!C436</f>
        <v>134.40891513365483</v>
      </c>
      <c r="AH326">
        <f>'Cross Section Analysis'!$B$118</f>
        <v>1576.3696</v>
      </c>
      <c r="AJ326">
        <f t="shared" si="29"/>
        <v>224.99202346835287</v>
      </c>
      <c r="AK326">
        <f t="shared" si="30"/>
        <v>1209.7030891592599</v>
      </c>
    </row>
    <row r="327" spans="1:37" x14ac:dyDescent="0.25">
      <c r="A327">
        <v>196.55713479256565</v>
      </c>
      <c r="B327">
        <v>-134.36732262922462</v>
      </c>
      <c r="C327">
        <v>-105.28486400000003</v>
      </c>
      <c r="E327">
        <f t="shared" si="27"/>
        <v>-196.55713479256565</v>
      </c>
      <c r="F327">
        <f t="shared" si="28"/>
        <v>-169.45968629170881</v>
      </c>
      <c r="AF327">
        <f>'Cross Section Analysis'!B437</f>
        <v>-227.76516595602888</v>
      </c>
      <c r="AG327">
        <f>'Cross Section Analysis'!C437</f>
        <v>132.31807058565641</v>
      </c>
      <c r="AH327">
        <f>'Cross Section Analysis'!$B$118</f>
        <v>1576.3696</v>
      </c>
      <c r="AJ327">
        <f t="shared" si="29"/>
        <v>227.76516595602908</v>
      </c>
      <c r="AK327">
        <f t="shared" si="30"/>
        <v>1208.2246388009632</v>
      </c>
    </row>
    <row r="328" spans="1:37" x14ac:dyDescent="0.25">
      <c r="A328">
        <v>206.42236787364644</v>
      </c>
      <c r="B328">
        <v>-126.7788877526131</v>
      </c>
      <c r="C328">
        <v>-105.28486400000003</v>
      </c>
      <c r="E328">
        <f t="shared" si="27"/>
        <v>-206.42236787364644</v>
      </c>
      <c r="F328">
        <f t="shared" si="28"/>
        <v>-164.09385253186429</v>
      </c>
      <c r="AF328">
        <f>'Cross Section Analysis'!B438</f>
        <v>-230.47525707769785</v>
      </c>
      <c r="AG328">
        <f>'Cross Section Analysis'!C438</f>
        <v>130.21721853940971</v>
      </c>
      <c r="AH328">
        <f>'Cross Section Analysis'!$B$118</f>
        <v>1576.3696</v>
      </c>
      <c r="AJ328">
        <f t="shared" si="29"/>
        <v>230.47525707769805</v>
      </c>
      <c r="AK328">
        <f t="shared" si="30"/>
        <v>1206.7391120727925</v>
      </c>
    </row>
    <row r="329" spans="1:37" x14ac:dyDescent="0.25">
      <c r="A329">
        <v>216.13938250710638</v>
      </c>
      <c r="B329">
        <v>-118.45858053650574</v>
      </c>
      <c r="C329">
        <v>-105.28486400000003</v>
      </c>
      <c r="E329">
        <f t="shared" si="27"/>
        <v>-216.13938250710638</v>
      </c>
      <c r="F329">
        <f t="shared" si="28"/>
        <v>-158.21050687779939</v>
      </c>
      <c r="AF329">
        <f>'Cross Section Analysis'!B439</f>
        <v>-233.1277175054274</v>
      </c>
      <c r="AG329">
        <f>'Cross Section Analysis'!C439</f>
        <v>128.10344829380591</v>
      </c>
      <c r="AH329">
        <f>'Cross Section Analysis'!$B$118</f>
        <v>1576.3696</v>
      </c>
      <c r="AJ329">
        <f t="shared" si="29"/>
        <v>233.1277175054276</v>
      </c>
      <c r="AK329">
        <f t="shared" si="30"/>
        <v>1205.2444507982557</v>
      </c>
    </row>
    <row r="330" spans="1:37" x14ac:dyDescent="0.25">
      <c r="A330">
        <v>225.65384134347082</v>
      </c>
      <c r="B330">
        <v>-110.53383384405707</v>
      </c>
      <c r="C330">
        <v>-105.28486400000003</v>
      </c>
      <c r="E330">
        <f t="shared" si="27"/>
        <v>-225.65384134347082</v>
      </c>
      <c r="F330">
        <f t="shared" si="28"/>
        <v>-152.60686475238327</v>
      </c>
      <c r="AF330">
        <f>'Cross Section Analysis'!B440</f>
        <v>-235.7275577070842</v>
      </c>
      <c r="AG330">
        <f>'Cross Section Analysis'!C440</f>
        <v>125.97379265899312</v>
      </c>
      <c r="AH330">
        <f>'Cross Section Analysis'!$B$118</f>
        <v>1576.3696</v>
      </c>
      <c r="AJ330">
        <f t="shared" si="29"/>
        <v>235.7275577070844</v>
      </c>
      <c r="AK330">
        <f t="shared" si="30"/>
        <v>1203.7385568572874</v>
      </c>
    </row>
    <row r="331" spans="1:37" x14ac:dyDescent="0.25">
      <c r="A331">
        <v>233.38052301940792</v>
      </c>
      <c r="B331">
        <v>-103.08769721974807</v>
      </c>
      <c r="C331">
        <v>-105.28486400000003</v>
      </c>
      <c r="E331">
        <f t="shared" si="27"/>
        <v>-233.38052301940792</v>
      </c>
      <c r="F331">
        <f t="shared" si="28"/>
        <v>-147.34165105169288</v>
      </c>
      <c r="AF331">
        <f>'Cross Section Analysis'!B441</f>
        <v>-238.27942746379253</v>
      </c>
      <c r="AG331">
        <f>'Cross Section Analysis'!C441</f>
        <v>123.8252090778267</v>
      </c>
      <c r="AH331">
        <f>'Cross Section Analysis'!$B$118</f>
        <v>1576.3696</v>
      </c>
      <c r="AJ331">
        <f t="shared" si="29"/>
        <v>238.27942746379273</v>
      </c>
      <c r="AK331">
        <f t="shared" si="30"/>
        <v>1202.2192788370985</v>
      </c>
    </row>
    <row r="332" spans="1:37" x14ac:dyDescent="0.25">
      <c r="A332">
        <v>237.87311379991883</v>
      </c>
      <c r="B332">
        <v>-96.225933012966436</v>
      </c>
      <c r="C332">
        <v>-105.28486400000003</v>
      </c>
      <c r="E332">
        <f t="shared" si="27"/>
        <v>-237.87311379991883</v>
      </c>
      <c r="F332">
        <f t="shared" si="28"/>
        <v>-142.48965105017447</v>
      </c>
      <c r="AF332">
        <f>'Cross Section Analysis'!B442</f>
        <v>-240.78766099846075</v>
      </c>
      <c r="AG332">
        <f>'Cross Section Analysis'!C442</f>
        <v>121.65456064344907</v>
      </c>
      <c r="AH332">
        <f>'Cross Section Analysis'!$B$118</f>
        <v>1576.3696</v>
      </c>
      <c r="AJ332">
        <f t="shared" si="29"/>
        <v>240.78766099846095</v>
      </c>
      <c r="AK332">
        <f t="shared" si="30"/>
        <v>1200.6843986095782</v>
      </c>
    </row>
    <row r="333" spans="1:37" x14ac:dyDescent="0.25">
      <c r="A333">
        <v>242.6168919712911</v>
      </c>
      <c r="B333">
        <v>-88.901885963263751</v>
      </c>
      <c r="C333">
        <v>-105.28486400000003</v>
      </c>
      <c r="E333">
        <f t="shared" si="27"/>
        <v>-242.6168919712911</v>
      </c>
      <c r="F333">
        <f t="shared" si="28"/>
        <v>-137.31076771560035</v>
      </c>
      <c r="AF333">
        <f>'Cross Section Analysis'!B443</f>
        <v>-242.46939401266678</v>
      </c>
      <c r="AG333">
        <f>'Cross Section Analysis'!C443</f>
        <v>120.2886379132175</v>
      </c>
      <c r="AH333">
        <f>'Cross Section Analysis'!$B$118</f>
        <v>1576.3696</v>
      </c>
      <c r="AJ333">
        <f t="shared" si="29"/>
        <v>242.46939401266698</v>
      </c>
      <c r="AK333">
        <f t="shared" si="30"/>
        <v>1199.7185453844547</v>
      </c>
    </row>
    <row r="334" spans="1:37" x14ac:dyDescent="0.25">
      <c r="A334">
        <v>247.93364101913801</v>
      </c>
      <c r="B334">
        <v>-80.575170030247037</v>
      </c>
      <c r="C334">
        <v>-105.28486400000003</v>
      </c>
      <c r="E334">
        <f t="shared" si="27"/>
        <v>-247.93364101913801</v>
      </c>
      <c r="F334">
        <f t="shared" si="28"/>
        <v>-131.42289041435015</v>
      </c>
      <c r="AF334">
        <f>'Cross Section Analysis'!B444</f>
        <v>-244.87367246139638</v>
      </c>
      <c r="AG334">
        <f>'Cross Section Analysis'!C444</f>
        <v>118.09216181177972</v>
      </c>
      <c r="AH334">
        <f>'Cross Section Analysis'!$B$118</f>
        <v>1576.3696</v>
      </c>
      <c r="AJ334">
        <f t="shared" si="29"/>
        <v>244.87367246139658</v>
      </c>
      <c r="AK334">
        <f t="shared" si="30"/>
        <v>1198.1654022384139</v>
      </c>
    </row>
    <row r="335" spans="1:37" x14ac:dyDescent="0.25">
      <c r="A335">
        <v>254.32698658274597</v>
      </c>
      <c r="B335">
        <v>-70.240660361929557</v>
      </c>
      <c r="C335">
        <v>-105.28486400000003</v>
      </c>
      <c r="E335">
        <f t="shared" si="27"/>
        <v>-254.32698658274597</v>
      </c>
      <c r="F335">
        <f t="shared" si="28"/>
        <v>-124.11528854764494</v>
      </c>
      <c r="AF335">
        <f>'Cross Section Analysis'!B445</f>
        <v>-247.24624918330548</v>
      </c>
      <c r="AG335">
        <f>'Cross Section Analysis'!C445</f>
        <v>115.86398369618813</v>
      </c>
      <c r="AH335">
        <f>'Cross Section Analysis'!$B$118</f>
        <v>1576.3696</v>
      </c>
      <c r="AJ335">
        <f t="shared" si="29"/>
        <v>247.24624918330568</v>
      </c>
      <c r="AK335">
        <f t="shared" si="30"/>
        <v>1196.5898423831875</v>
      </c>
    </row>
    <row r="336" spans="1:37" x14ac:dyDescent="0.25">
      <c r="A336">
        <v>262.89275442715598</v>
      </c>
      <c r="B336">
        <v>-57.113887924139917</v>
      </c>
      <c r="C336">
        <v>-105.28486400000003</v>
      </c>
      <c r="E336">
        <f t="shared" si="27"/>
        <v>-262.89275442715598</v>
      </c>
      <c r="F336">
        <f t="shared" si="28"/>
        <v>-114.83325874179121</v>
      </c>
      <c r="AF336">
        <f>'Cross Section Analysis'!B446</f>
        <v>-249.59049051750617</v>
      </c>
      <c r="AG336">
        <f>'Cross Section Analysis'!C446</f>
        <v>113.60041550117485</v>
      </c>
      <c r="AH336">
        <f>'Cross Section Analysis'!$B$118</f>
        <v>1576.3696</v>
      </c>
      <c r="AJ336">
        <f t="shared" si="29"/>
        <v>249.59049051750637</v>
      </c>
      <c r="AK336">
        <f t="shared" si="30"/>
        <v>1194.9892579628154</v>
      </c>
    </row>
    <row r="337" spans="1:37" x14ac:dyDescent="0.25">
      <c r="A337">
        <v>267.75015929872825</v>
      </c>
      <c r="B337">
        <v>-39.407075549402848</v>
      </c>
      <c r="C337">
        <v>-105.28486400000003</v>
      </c>
      <c r="E337">
        <f t="shared" si="27"/>
        <v>-267.75015929872825</v>
      </c>
      <c r="F337">
        <f t="shared" si="28"/>
        <v>-102.31265163841675</v>
      </c>
      <c r="AF337">
        <f>'Cross Section Analysis'!B447</f>
        <v>-251.90960377369677</v>
      </c>
      <c r="AG337">
        <f>'Cross Section Analysis'!C447</f>
        <v>111.2975564800778</v>
      </c>
      <c r="AH337">
        <f>'Cross Section Analysis'!$B$118</f>
        <v>1576.3696</v>
      </c>
      <c r="AJ337">
        <f t="shared" si="29"/>
        <v>251.90960377369697</v>
      </c>
      <c r="AK337">
        <f t="shared" si="30"/>
        <v>1193.360890732881</v>
      </c>
    </row>
    <row r="338" spans="1:37" x14ac:dyDescent="0.25">
      <c r="A338">
        <v>270.64432544300206</v>
      </c>
      <c r="B338">
        <v>-20.599452685130707</v>
      </c>
      <c r="C338">
        <v>-105.28486400000003</v>
      </c>
      <c r="E338">
        <f t="shared" si="27"/>
        <v>-270.64432544300206</v>
      </c>
      <c r="F338">
        <f t="shared" si="28"/>
        <v>-89.013653973090769</v>
      </c>
      <c r="AF338">
        <f>'Cross Section Analysis'!B448</f>
        <v>-254.20666095757065</v>
      </c>
      <c r="AG338">
        <f>'Cross Section Analysis'!C448</f>
        <v>108.95126236350318</v>
      </c>
      <c r="AH338">
        <f>'Cross Section Analysis'!$B$118</f>
        <v>1576.3696</v>
      </c>
      <c r="AJ338">
        <f t="shared" si="29"/>
        <v>254.20666095757085</v>
      </c>
      <c r="AK338">
        <f t="shared" si="30"/>
        <v>1191.701810252393</v>
      </c>
    </row>
    <row r="339" spans="1:37" x14ac:dyDescent="0.25">
      <c r="A339">
        <v>272.33821780085435</v>
      </c>
      <c r="B339">
        <v>0</v>
      </c>
      <c r="C339">
        <v>-105.28486400000003</v>
      </c>
      <c r="E339">
        <f t="shared" si="27"/>
        <v>-272.33821780085435</v>
      </c>
      <c r="F339">
        <f t="shared" si="28"/>
        <v>-74.447641290703402</v>
      </c>
      <c r="AF339">
        <f>'Cross Section Analysis'!B449</f>
        <v>-256.48461676512972</v>
      </c>
      <c r="AG339">
        <f>'Cross Section Analysis'!C449</f>
        <v>106.55710981828332</v>
      </c>
      <c r="AH339">
        <f>'Cross Section Analysis'!$B$118</f>
        <v>1576.3696</v>
      </c>
      <c r="AJ339">
        <f t="shared" si="29"/>
        <v>256.48461676512989</v>
      </c>
      <c r="AK339">
        <f t="shared" si="30"/>
        <v>1190.008888752473</v>
      </c>
    </row>
    <row r="340" spans="1:37" x14ac:dyDescent="0.25">
      <c r="A340">
        <v>270.64432544300212</v>
      </c>
      <c r="B340">
        <v>20.599452685130707</v>
      </c>
      <c r="C340">
        <v>-105.28486400000003</v>
      </c>
      <c r="E340">
        <f t="shared" ref="E340:E403" si="31">($I$2*A340)+($K$2*B340)+($M$2*C340)</f>
        <v>-270.64432544300212</v>
      </c>
      <c r="F340">
        <f t="shared" ref="F340:F403" si="32">($J$2*A340)+($L$2*B340)+($N$2*C340)</f>
        <v>-59.881628608316049</v>
      </c>
      <c r="AF340">
        <f>'Cross Section Analysis'!B450</f>
        <v>-258.74633009155195</v>
      </c>
      <c r="AG340">
        <f>'Cross Section Analysis'!C450</f>
        <v>104.11035795825269</v>
      </c>
      <c r="AH340">
        <f>'Cross Section Analysis'!$B$118</f>
        <v>1576.3696</v>
      </c>
      <c r="AJ340">
        <f t="shared" ref="AJ340:AJ380" si="33">($I$2*AF340)+($K$2*AG340)+($M$2*AH340)</f>
        <v>258.74633009155212</v>
      </c>
      <c r="AK340">
        <f t="shared" ref="AK340:AK380" si="34">($J$2*AF340)+($L$2*AG340)+($N$2*AH340)</f>
        <v>1188.2787739203645</v>
      </c>
    </row>
    <row r="341" spans="1:37" x14ac:dyDescent="0.25">
      <c r="A341">
        <v>267.75015929872848</v>
      </c>
      <c r="B341">
        <v>39.407075549402762</v>
      </c>
      <c r="C341">
        <v>-105.28486400000003</v>
      </c>
      <c r="E341">
        <f t="shared" si="31"/>
        <v>-267.75015929872848</v>
      </c>
      <c r="F341">
        <f t="shared" si="32"/>
        <v>-46.582630942990122</v>
      </c>
      <c r="AF341">
        <f>'Cross Section Analysis'!B451</f>
        <v>-260.99458107179669</v>
      </c>
      <c r="AG341">
        <f>'Cross Section Analysis'!C451</f>
        <v>101.60590383566571</v>
      </c>
      <c r="AH341">
        <f>'Cross Section Analysis'!$B$118</f>
        <v>1576.3696</v>
      </c>
      <c r="AJ341">
        <f t="shared" si="33"/>
        <v>260.99458107179686</v>
      </c>
      <c r="AK341">
        <f t="shared" si="34"/>
        <v>1186.5078574271129</v>
      </c>
    </row>
    <row r="342" spans="1:37" x14ac:dyDescent="0.25">
      <c r="A342">
        <v>262.89275442715598</v>
      </c>
      <c r="B342">
        <v>57.113887924139931</v>
      </c>
      <c r="C342">
        <v>-105.28486400000003</v>
      </c>
      <c r="E342">
        <f t="shared" si="31"/>
        <v>-262.89275442715598</v>
      </c>
      <c r="F342">
        <f t="shared" si="32"/>
        <v>-34.062023839615591</v>
      </c>
      <c r="AF342">
        <f>'Cross Section Analysis'!B452</f>
        <v>-263.23208831620258</v>
      </c>
      <c r="AG342">
        <f>'Cross Section Analysis'!C452</f>
        <v>99.038232171078391</v>
      </c>
      <c r="AH342">
        <f>'Cross Section Analysis'!$B$118</f>
        <v>1576.3696</v>
      </c>
      <c r="AJ342">
        <f t="shared" si="33"/>
        <v>263.23208831620275</v>
      </c>
      <c r="AK342">
        <f t="shared" si="34"/>
        <v>1184.6922393812224</v>
      </c>
    </row>
    <row r="343" spans="1:37" x14ac:dyDescent="0.25">
      <c r="A343">
        <v>254.32698658274597</v>
      </c>
      <c r="B343">
        <v>70.240660361929585</v>
      </c>
      <c r="C343">
        <v>-105.28486400000003</v>
      </c>
      <c r="E343">
        <f t="shared" si="31"/>
        <v>-254.32698658274597</v>
      </c>
      <c r="F343">
        <f t="shared" si="32"/>
        <v>-24.779994033761859</v>
      </c>
      <c r="AF343">
        <f>'Cross Section Analysis'!B453</f>
        <v>-265.46152537112431</v>
      </c>
      <c r="AG343">
        <f>'Cross Section Analysis'!C453</f>
        <v>96.401357840516624</v>
      </c>
      <c r="AH343">
        <f>'Cross Section Analysis'!$B$118</f>
        <v>1576.3696</v>
      </c>
      <c r="AJ343">
        <f t="shared" si="33"/>
        <v>265.46152537112448</v>
      </c>
      <c r="AK343">
        <f t="shared" si="34"/>
        <v>1182.8276876609455</v>
      </c>
    </row>
    <row r="344" spans="1:37" x14ac:dyDescent="0.25">
      <c r="A344">
        <v>247.93364101913824</v>
      </c>
      <c r="B344">
        <v>80.575170030247094</v>
      </c>
      <c r="C344">
        <v>-105.28486400000003</v>
      </c>
      <c r="E344">
        <f t="shared" si="31"/>
        <v>-247.93364101913824</v>
      </c>
      <c r="F344">
        <f t="shared" si="32"/>
        <v>-17.472392167056611</v>
      </c>
      <c r="AF344">
        <f>'Cross Section Analysis'!B454</f>
        <v>-267.68553734677965</v>
      </c>
      <c r="AG344">
        <f>'Cross Section Analysis'!C454</f>
        <v>93.688759843467679</v>
      </c>
      <c r="AH344">
        <f>'Cross Section Analysis'!$B$118</f>
        <v>1576.3696</v>
      </c>
      <c r="AJ344">
        <f t="shared" si="33"/>
        <v>267.68553734677982</v>
      </c>
      <c r="AK344">
        <f t="shared" si="34"/>
        <v>1180.9095912225991</v>
      </c>
    </row>
    <row r="345" spans="1:37" x14ac:dyDescent="0.25">
      <c r="A345">
        <v>242.6168919712913</v>
      </c>
      <c r="B345">
        <v>88.901885963263794</v>
      </c>
      <c r="C345">
        <v>-105.28486400000003</v>
      </c>
      <c r="E345">
        <f t="shared" si="31"/>
        <v>-242.6168919712913</v>
      </c>
      <c r="F345">
        <f t="shared" si="32"/>
        <v>-11.584514865806433</v>
      </c>
      <c r="AF345">
        <f>'Cross Section Analysis'!B455</f>
        <v>-269.82244665973838</v>
      </c>
      <c r="AG345">
        <f>'Cross Section Analysis'!C455</f>
        <v>90.915770445905963</v>
      </c>
      <c r="AH345">
        <f>'Cross Section Analysis'!$B$118</f>
        <v>1576.3696</v>
      </c>
      <c r="AJ345">
        <f t="shared" si="33"/>
        <v>269.82244665973855</v>
      </c>
      <c r="AK345">
        <f t="shared" si="34"/>
        <v>1178.9487916154249</v>
      </c>
    </row>
    <row r="346" spans="1:37" x14ac:dyDescent="0.25">
      <c r="A346">
        <v>237.87311379991871</v>
      </c>
      <c r="B346">
        <v>96.225933012966379</v>
      </c>
      <c r="C346">
        <v>-105.28486400000003</v>
      </c>
      <c r="E346">
        <f t="shared" si="31"/>
        <v>-237.87311379991871</v>
      </c>
      <c r="F346">
        <f t="shared" si="32"/>
        <v>-6.4056315312324159</v>
      </c>
      <c r="AF346">
        <f>'Cross Section Analysis'!B456</f>
        <v>-271.70284879347889</v>
      </c>
      <c r="AG346">
        <f>'Cross Section Analysis'!C456</f>
        <v>88.123361694556166</v>
      </c>
      <c r="AH346">
        <f>'Cross Section Analysis'!$B$118</f>
        <v>1576.3696</v>
      </c>
      <c r="AJ346">
        <f t="shared" si="33"/>
        <v>271.70284879347906</v>
      </c>
      <c r="AK346">
        <f t="shared" si="34"/>
        <v>1176.9742604515009</v>
      </c>
    </row>
    <row r="347" spans="1:37" x14ac:dyDescent="0.25">
      <c r="A347">
        <v>233.38052301940797</v>
      </c>
      <c r="B347">
        <v>103.08769721974807</v>
      </c>
      <c r="C347">
        <v>-105.28486400000003</v>
      </c>
      <c r="E347">
        <f t="shared" si="31"/>
        <v>-233.38052301940797</v>
      </c>
      <c r="F347">
        <f t="shared" si="32"/>
        <v>-1.5536315297139538</v>
      </c>
      <c r="AF347">
        <f>'Cross Section Analysis'!B457</f>
        <v>-273.58138183572254</v>
      </c>
      <c r="AG347">
        <f>'Cross Section Analysis'!C457</f>
        <v>85.237788940340437</v>
      </c>
      <c r="AH347">
        <f>'Cross Section Analysis'!$B$118</f>
        <v>1576.3696</v>
      </c>
      <c r="AJ347">
        <f t="shared" si="33"/>
        <v>273.58138183572271</v>
      </c>
      <c r="AK347">
        <f t="shared" si="34"/>
        <v>1174.9338523893878</v>
      </c>
    </row>
    <row r="348" spans="1:37" x14ac:dyDescent="0.25">
      <c r="A348">
        <v>225.65384134347079</v>
      </c>
      <c r="B348">
        <v>110.53383384405707</v>
      </c>
      <c r="C348">
        <v>-105.28486400000003</v>
      </c>
      <c r="E348">
        <f t="shared" si="31"/>
        <v>-225.65384134347079</v>
      </c>
      <c r="F348">
        <f t="shared" si="32"/>
        <v>3.711582170976456</v>
      </c>
      <c r="AF348">
        <f>'Cross Section Analysis'!B458</f>
        <v>-275.46059532995497</v>
      </c>
      <c r="AG348">
        <f>'Cross Section Analysis'!C458</f>
        <v>82.249907573850038</v>
      </c>
      <c r="AH348">
        <f>'Cross Section Analysis'!$B$118</f>
        <v>1576.3696</v>
      </c>
      <c r="AJ348">
        <f t="shared" si="33"/>
        <v>275.46059532995514</v>
      </c>
      <c r="AK348">
        <f t="shared" si="34"/>
        <v>1172.8211012137615</v>
      </c>
    </row>
    <row r="349" spans="1:37" x14ac:dyDescent="0.25">
      <c r="A349">
        <v>216.1393825071064</v>
      </c>
      <c r="B349">
        <v>118.45858053650568</v>
      </c>
      <c r="C349">
        <v>-105.28486400000003</v>
      </c>
      <c r="E349">
        <f t="shared" si="31"/>
        <v>-216.1393825071064</v>
      </c>
      <c r="F349">
        <f t="shared" si="32"/>
        <v>9.3152242963925289</v>
      </c>
      <c r="AF349">
        <f>'Cross Section Analysis'!B459</f>
        <v>-277.34307899917604</v>
      </c>
      <c r="AG349">
        <f>'Cross Section Analysis'!C459</f>
        <v>79.149555612848303</v>
      </c>
      <c r="AH349">
        <f>'Cross Section Analysis'!$B$118</f>
        <v>1576.3696</v>
      </c>
      <c r="AJ349">
        <f t="shared" si="33"/>
        <v>277.34307899917621</v>
      </c>
      <c r="AK349">
        <f t="shared" si="34"/>
        <v>1170.6288213180721</v>
      </c>
    </row>
    <row r="350" spans="1:37" x14ac:dyDescent="0.25">
      <c r="A350">
        <v>206.42236787364641</v>
      </c>
      <c r="B350">
        <v>126.77888775261306</v>
      </c>
      <c r="C350">
        <v>-105.28486400000003</v>
      </c>
      <c r="E350">
        <f t="shared" si="31"/>
        <v>-206.42236787364641</v>
      </c>
      <c r="F350">
        <f t="shared" si="32"/>
        <v>15.198569950457426</v>
      </c>
      <c r="AF350">
        <f>'Cross Section Analysis'!B460</f>
        <v>-279.19280383077466</v>
      </c>
      <c r="AG350">
        <f>'Cross Section Analysis'!C460</f>
        <v>75.992847300627929</v>
      </c>
      <c r="AH350">
        <f>'Cross Section Analysis'!$B$118</f>
        <v>1576.3696</v>
      </c>
      <c r="AJ350">
        <f t="shared" si="33"/>
        <v>279.19280383077484</v>
      </c>
      <c r="AK350">
        <f t="shared" si="34"/>
        <v>1168.3966914642731</v>
      </c>
    </row>
    <row r="351" spans="1:37" x14ac:dyDescent="0.25">
      <c r="A351">
        <v>196.55713479256573</v>
      </c>
      <c r="B351">
        <v>134.36732262922462</v>
      </c>
      <c r="C351">
        <v>-105.28486400000003</v>
      </c>
      <c r="E351">
        <f t="shared" si="31"/>
        <v>-196.55713479256573</v>
      </c>
      <c r="F351">
        <f t="shared" si="32"/>
        <v>20.56440371030196</v>
      </c>
      <c r="AF351">
        <f>'Cross Section Analysis'!B461</f>
        <v>-280.94662678160387</v>
      </c>
      <c r="AG351">
        <f>'Cross Section Analysis'!C461</f>
        <v>72.890536229062775</v>
      </c>
      <c r="AH351">
        <f>'Cross Section Analysis'!$B$118</f>
        <v>1576.3696</v>
      </c>
      <c r="AJ351">
        <f t="shared" si="33"/>
        <v>280.94662678160404</v>
      </c>
      <c r="AK351">
        <f t="shared" si="34"/>
        <v>1166.2030262682192</v>
      </c>
    </row>
    <row r="352" spans="1:37" x14ac:dyDescent="0.25">
      <c r="A352">
        <v>186.315242593487</v>
      </c>
      <c r="B352">
        <v>138.98586908378732</v>
      </c>
      <c r="C352">
        <v>-105.28486400000003</v>
      </c>
      <c r="E352">
        <f t="shared" si="31"/>
        <v>-186.315242593487</v>
      </c>
      <c r="F352">
        <f t="shared" si="32"/>
        <v>23.830209227548337</v>
      </c>
      <c r="AF352">
        <f>'Cross Section Analysis'!B462</f>
        <v>-282.60885518153515</v>
      </c>
      <c r="AG352">
        <f>'Cross Section Analysis'!C462</f>
        <v>69.841326325630305</v>
      </c>
      <c r="AH352">
        <f>'Cross Section Analysis'!$B$118</f>
        <v>1576.3696</v>
      </c>
      <c r="AJ352">
        <f t="shared" si="33"/>
        <v>282.60885518153532</v>
      </c>
      <c r="AK352">
        <f t="shared" si="34"/>
        <v>1164.0469092682411</v>
      </c>
    </row>
    <row r="353" spans="1:37" x14ac:dyDescent="0.25">
      <c r="A353">
        <v>168.12228705397118</v>
      </c>
      <c r="B353">
        <v>144.51203254674022</v>
      </c>
      <c r="C353">
        <v>-105.28486400000003</v>
      </c>
      <c r="E353">
        <f t="shared" si="31"/>
        <v>-168.12228705397118</v>
      </c>
      <c r="F353">
        <f t="shared" si="32"/>
        <v>27.737796886147663</v>
      </c>
      <c r="AF353">
        <f>'Cross Section Analysis'!B463</f>
        <v>-284.18460306522365</v>
      </c>
      <c r="AG353">
        <f>'Cross Section Analysis'!C463</f>
        <v>66.841971869992491</v>
      </c>
      <c r="AH353">
        <f>'Cross Section Analysis'!$B$118</f>
        <v>1576.3696</v>
      </c>
      <c r="AJ353">
        <f t="shared" si="33"/>
        <v>284.18460306522383</v>
      </c>
      <c r="AK353">
        <f t="shared" si="34"/>
        <v>1161.9260453934774</v>
      </c>
    </row>
    <row r="354" spans="1:37" x14ac:dyDescent="0.25">
      <c r="A354">
        <v>148.4224883765084</v>
      </c>
      <c r="B354">
        <v>151.62671159300712</v>
      </c>
      <c r="C354">
        <v>-105.28486400000003</v>
      </c>
      <c r="E354">
        <f t="shared" si="31"/>
        <v>-148.4224883765084</v>
      </c>
      <c r="F354">
        <f t="shared" si="32"/>
        <v>32.768634685728827</v>
      </c>
      <c r="AF354">
        <f>'Cross Section Analysis'!B464</f>
        <v>-285.67857632623446</v>
      </c>
      <c r="AG354">
        <f>'Cross Section Analysis'!C464</f>
        <v>63.889395514686946</v>
      </c>
      <c r="AH354">
        <f>'Cross Section Analysis'!$B$118</f>
        <v>1576.3696</v>
      </c>
      <c r="AJ354">
        <f t="shared" si="33"/>
        <v>285.67857632623463</v>
      </c>
      <c r="AK354">
        <f t="shared" si="34"/>
        <v>1159.8382586306698</v>
      </c>
    </row>
    <row r="355" spans="1:37" x14ac:dyDescent="0.25">
      <c r="A355">
        <v>119.45135234663115</v>
      </c>
      <c r="B355">
        <v>160.21065355043294</v>
      </c>
      <c r="C355">
        <v>-105.28486400000003</v>
      </c>
      <c r="E355">
        <f t="shared" si="31"/>
        <v>-119.45135234663117</v>
      </c>
      <c r="F355">
        <f t="shared" si="32"/>
        <v>38.838398253136347</v>
      </c>
      <c r="AF355">
        <f>'Cross Section Analysis'!B465</f>
        <v>-287.0951083253687</v>
      </c>
      <c r="AG355">
        <f>'Cross Section Analysis'!C465</f>
        <v>60.980674311662803</v>
      </c>
      <c r="AH355">
        <f>'Cross Section Analysis'!$B$118</f>
        <v>1576.3696</v>
      </c>
      <c r="AJ355">
        <f t="shared" si="33"/>
        <v>287.09510832536887</v>
      </c>
      <c r="AK355">
        <f t="shared" si="34"/>
        <v>1157.7814821434304</v>
      </c>
    </row>
    <row r="356" spans="1:37" x14ac:dyDescent="0.25">
      <c r="A356">
        <v>73.304445462003073</v>
      </c>
      <c r="B356">
        <v>167.5045387242283</v>
      </c>
      <c r="C356">
        <v>-105.28486400000003</v>
      </c>
      <c r="E356">
        <f t="shared" si="31"/>
        <v>-73.304445462003088</v>
      </c>
      <c r="F356">
        <f t="shared" si="32"/>
        <v>43.995953920723053</v>
      </c>
      <c r="AF356">
        <f>'Cross Section Analysis'!B466</f>
        <v>-288.43819174634262</v>
      </c>
      <c r="AG356">
        <f>'Cross Section Analysis'!C466</f>
        <v>58.113026910731129</v>
      </c>
      <c r="AH356">
        <f>'Cross Section Analysis'!$B$118</f>
        <v>1576.3696</v>
      </c>
      <c r="AJ356">
        <f t="shared" si="33"/>
        <v>288.4381917463428</v>
      </c>
      <c r="AK356">
        <f t="shared" si="34"/>
        <v>1155.7537492201795</v>
      </c>
    </row>
    <row r="357" spans="1:37" x14ac:dyDescent="0.25">
      <c r="A357">
        <v>8.3652843803448005E-14</v>
      </c>
      <c r="B357">
        <v>175.1094619979705</v>
      </c>
      <c r="C357">
        <v>-105.28486400000003</v>
      </c>
      <c r="E357">
        <f t="shared" si="31"/>
        <v>-9.655180264893443E-14</v>
      </c>
      <c r="F357">
        <f t="shared" si="32"/>
        <v>49.373446737989568</v>
      </c>
      <c r="AF357">
        <f>'Cross Section Analysis'!B467</f>
        <v>-289.71150713733101</v>
      </c>
      <c r="AG357">
        <f>'Cross Section Analysis'!C467</f>
        <v>55.283801804885591</v>
      </c>
      <c r="AH357">
        <f>'Cross Section Analysis'!$B$118</f>
        <v>1576.3696</v>
      </c>
      <c r="AJ357">
        <f t="shared" si="33"/>
        <v>289.71150713733118</v>
      </c>
      <c r="AK357">
        <f t="shared" si="34"/>
        <v>1153.7531849623331</v>
      </c>
    </row>
    <row r="358" spans="1:37" x14ac:dyDescent="0.25">
      <c r="A358">
        <v>-73.304445462003059</v>
      </c>
      <c r="B358">
        <v>167.50453872422818</v>
      </c>
      <c r="C358">
        <v>-105.28486400000003</v>
      </c>
      <c r="E358">
        <f t="shared" si="31"/>
        <v>73.304445462003045</v>
      </c>
      <c r="F358">
        <f t="shared" si="32"/>
        <v>43.995953920722968</v>
      </c>
      <c r="AF358">
        <f>'Cross Section Analysis'!B468</f>
        <v>-290.91844851879375</v>
      </c>
      <c r="AG358">
        <f>'Cross Section Analysis'!C468</f>
        <v>52.490466511499299</v>
      </c>
      <c r="AH358">
        <f>'Cross Section Analysis'!$B$118</f>
        <v>1576.3696</v>
      </c>
      <c r="AJ358">
        <f t="shared" si="33"/>
        <v>290.91844851879392</v>
      </c>
      <c r="AK358">
        <f t="shared" si="34"/>
        <v>1151.7779986342518</v>
      </c>
    </row>
    <row r="359" spans="1:37" x14ac:dyDescent="0.25">
      <c r="A359">
        <v>-119.4513523466311</v>
      </c>
      <c r="B359">
        <v>160.21065355043299</v>
      </c>
      <c r="C359">
        <v>-105.28486400000003</v>
      </c>
      <c r="E359">
        <f t="shared" si="31"/>
        <v>119.45135234663108</v>
      </c>
      <c r="F359">
        <f t="shared" si="32"/>
        <v>38.838398253136361</v>
      </c>
      <c r="AF359">
        <f>'Cross Section Analysis'!B469</f>
        <v>-292.06214638338292</v>
      </c>
      <c r="AG359">
        <f>'Cross Section Analysis'!C469</f>
        <v>49.730597590578242</v>
      </c>
      <c r="AH359">
        <f>'Cross Section Analysis'!$B$118</f>
        <v>1576.3696</v>
      </c>
      <c r="AJ359">
        <f t="shared" si="33"/>
        <v>292.06214638338309</v>
      </c>
      <c r="AK359">
        <f t="shared" si="34"/>
        <v>1149.8264766050825</v>
      </c>
    </row>
    <row r="360" spans="1:37" x14ac:dyDescent="0.25">
      <c r="A360">
        <v>-148.42248837650843</v>
      </c>
      <c r="B360">
        <v>151.62671159300714</v>
      </c>
      <c r="C360">
        <v>-105.28486400000003</v>
      </c>
      <c r="E360">
        <f t="shared" si="31"/>
        <v>148.42248837650843</v>
      </c>
      <c r="F360">
        <f t="shared" si="32"/>
        <v>32.768634685728813</v>
      </c>
      <c r="AF360">
        <f>'Cross Section Analysis'!B470</f>
        <v>-293.14548837008192</v>
      </c>
      <c r="AG360">
        <f>'Cross Section Analysis'!C470</f>
        <v>47.001871411889994</v>
      </c>
      <c r="AH360">
        <f>'Cross Section Analysis'!$B$118</f>
        <v>1576.3696</v>
      </c>
      <c r="AJ360">
        <f t="shared" si="33"/>
        <v>293.14548837008209</v>
      </c>
      <c r="AK360">
        <f t="shared" si="34"/>
        <v>1147.8969758201308</v>
      </c>
    </row>
    <row r="361" spans="1:37" x14ac:dyDescent="0.25">
      <c r="A361">
        <v>-168.12228705397101</v>
      </c>
      <c r="B361">
        <v>144.51203254674027</v>
      </c>
      <c r="C361">
        <v>-105.28486400000003</v>
      </c>
      <c r="E361">
        <f t="shared" si="31"/>
        <v>168.12228705397101</v>
      </c>
      <c r="F361">
        <f t="shared" si="32"/>
        <v>27.737796886147677</v>
      </c>
      <c r="AF361">
        <f>'Cross Section Analysis'!B471</f>
        <v>-294.17117008350675</v>
      </c>
      <c r="AG361">
        <f>'Cross Section Analysis'!C471</f>
        <v>44.302055920497736</v>
      </c>
      <c r="AH361">
        <f>'Cross Section Analysis'!$B$118</f>
        <v>1576.3696</v>
      </c>
      <c r="AJ361">
        <f t="shared" si="33"/>
        <v>294.17117008350692</v>
      </c>
      <c r="AK361">
        <f t="shared" si="34"/>
        <v>1145.9879179782149</v>
      </c>
    </row>
    <row r="362" spans="1:37" x14ac:dyDescent="0.25">
      <c r="A362">
        <v>-186.31524259348697</v>
      </c>
      <c r="B362">
        <v>138.98586908378738</v>
      </c>
      <c r="C362">
        <v>-105.28486400000003</v>
      </c>
      <c r="E362">
        <f t="shared" si="31"/>
        <v>186.31524259348697</v>
      </c>
      <c r="F362">
        <f t="shared" si="32"/>
        <v>23.830209227548337</v>
      </c>
      <c r="AF362">
        <f>'Cross Section Analysis'!B472</f>
        <v>-294.65574366264849</v>
      </c>
      <c r="AG362">
        <f>'Cross Section Analysis'!C472</f>
        <v>43.068628101862892</v>
      </c>
      <c r="AH362">
        <f>'Cross Section Analysis'!$B$118</f>
        <v>1576.3696</v>
      </c>
      <c r="AJ362">
        <f t="shared" si="33"/>
        <v>294.65574366264866</v>
      </c>
      <c r="AK362">
        <f t="shared" si="34"/>
        <v>1145.115752803554</v>
      </c>
    </row>
    <row r="363" spans="1:37" x14ac:dyDescent="0.25">
      <c r="A363">
        <v>-196.55713479256565</v>
      </c>
      <c r="B363">
        <v>134.36732262922456</v>
      </c>
      <c r="C363">
        <v>-105.28486400000003</v>
      </c>
      <c r="E363">
        <f t="shared" si="31"/>
        <v>196.55713479256565</v>
      </c>
      <c r="F363">
        <f t="shared" si="32"/>
        <v>20.564403710301889</v>
      </c>
      <c r="AF363">
        <f>'Cross Section Analysis'!B473</f>
        <v>-295.5725138457546</v>
      </c>
      <c r="AG363">
        <f>'Cross Section Analysis'!C473</f>
        <v>40.419859757055391</v>
      </c>
      <c r="AH363">
        <f>'Cross Section Analysis'!$B$118</f>
        <v>1576.3696</v>
      </c>
      <c r="AJ363">
        <f t="shared" si="33"/>
        <v>295.57251384575477</v>
      </c>
      <c r="AK363">
        <f t="shared" si="34"/>
        <v>1143.2427907451483</v>
      </c>
    </row>
    <row r="364" spans="1:37" x14ac:dyDescent="0.25">
      <c r="A364">
        <v>-206.42236787364644</v>
      </c>
      <c r="B364">
        <v>126.778887752613</v>
      </c>
      <c r="C364">
        <v>-105.28486400000003</v>
      </c>
      <c r="E364">
        <f t="shared" si="31"/>
        <v>206.42236787364644</v>
      </c>
      <c r="F364">
        <f t="shared" si="32"/>
        <v>15.198569950457355</v>
      </c>
      <c r="AF364">
        <f>'Cross Section Analysis'!B474</f>
        <v>-296.43840071446982</v>
      </c>
      <c r="AG364">
        <f>'Cross Section Analysis'!C474</f>
        <v>37.79376616411264</v>
      </c>
      <c r="AH364">
        <f>'Cross Section Analysis'!$B$118</f>
        <v>1576.3696</v>
      </c>
      <c r="AJ364">
        <f t="shared" si="33"/>
        <v>296.43840071446999</v>
      </c>
      <c r="AK364">
        <f t="shared" si="34"/>
        <v>1141.385862157548</v>
      </c>
    </row>
    <row r="365" spans="1:37" x14ac:dyDescent="0.25">
      <c r="A365">
        <v>-216.13938250710643</v>
      </c>
      <c r="B365">
        <v>118.45858053650574</v>
      </c>
      <c r="C365">
        <v>-105.28486400000003</v>
      </c>
      <c r="E365">
        <f t="shared" si="31"/>
        <v>216.13938250710643</v>
      </c>
      <c r="F365">
        <f t="shared" si="32"/>
        <v>9.3152242963925431</v>
      </c>
      <c r="AF365">
        <f>'Cross Section Analysis'!B475</f>
        <v>-297.25532119708282</v>
      </c>
      <c r="AG365">
        <f>'Cross Section Analysis'!C475</f>
        <v>35.188405001122725</v>
      </c>
      <c r="AH365">
        <f>'Cross Section Analysis'!$B$118</f>
        <v>1576.3696</v>
      </c>
      <c r="AJ365">
        <f t="shared" si="33"/>
        <v>297.25532119708299</v>
      </c>
      <c r="AK365">
        <f t="shared" si="34"/>
        <v>1139.5435936117578</v>
      </c>
    </row>
    <row r="366" spans="1:37" x14ac:dyDescent="0.25">
      <c r="A366">
        <v>-225.6538413434707</v>
      </c>
      <c r="B366">
        <v>110.53383384405701</v>
      </c>
      <c r="C366">
        <v>-105.28486400000003</v>
      </c>
      <c r="E366">
        <f t="shared" si="31"/>
        <v>225.6538413434707</v>
      </c>
      <c r="F366">
        <f t="shared" si="32"/>
        <v>3.711582170976385</v>
      </c>
      <c r="AF366">
        <f>'Cross Section Analysis'!B476</f>
        <v>-298.02503817251801</v>
      </c>
      <c r="AG366">
        <f>'Cross Section Analysis'!C476</f>
        <v>32.601890172535299</v>
      </c>
      <c r="AH366">
        <f>'Cross Section Analysis'!$B$118</f>
        <v>1576.3696</v>
      </c>
      <c r="AJ366">
        <f t="shared" si="33"/>
        <v>298.02503817251818</v>
      </c>
      <c r="AK366">
        <f t="shared" si="34"/>
        <v>1137.7146514368242</v>
      </c>
    </row>
    <row r="367" spans="1:37" x14ac:dyDescent="0.25">
      <c r="A367">
        <v>-233.38052301940809</v>
      </c>
      <c r="B367">
        <v>103.08769721974809</v>
      </c>
      <c r="C367">
        <v>-105.28486400000003</v>
      </c>
      <c r="E367">
        <f t="shared" si="31"/>
        <v>233.38052301940809</v>
      </c>
      <c r="F367">
        <f t="shared" si="32"/>
        <v>-1.5536315297139538</v>
      </c>
      <c r="AF367">
        <f>'Cross Section Analysis'!B477</f>
        <v>-298.74916758640711</v>
      </c>
      <c r="AG367">
        <f>'Cross Section Analysis'!C477</f>
        <v>30.032385970237986</v>
      </c>
      <c r="AH367">
        <f>'Cross Section Analysis'!$B$118</f>
        <v>1576.3696</v>
      </c>
      <c r="AJ367">
        <f t="shared" si="33"/>
        <v>298.74916758640728</v>
      </c>
      <c r="AK367">
        <f t="shared" si="34"/>
        <v>1135.8977375910922</v>
      </c>
    </row>
    <row r="368" spans="1:37" x14ac:dyDescent="0.25">
      <c r="A368">
        <v>-237.87311379991883</v>
      </c>
      <c r="B368">
        <v>96.225933012966451</v>
      </c>
      <c r="C368">
        <v>-105.28486400000003</v>
      </c>
      <c r="E368">
        <f t="shared" si="31"/>
        <v>237.87311379991883</v>
      </c>
      <c r="F368">
        <f t="shared" si="32"/>
        <v>-6.4056315312323875</v>
      </c>
      <c r="AF368">
        <f>'Cross Section Analysis'!B478</f>
        <v>-299.42918918081193</v>
      </c>
      <c r="AG368">
        <f>'Cross Section Analysis'!C478</f>
        <v>27.47810157426348</v>
      </c>
      <c r="AH368">
        <f>'Cross Section Analysis'!$B$118</f>
        <v>1576.3696</v>
      </c>
      <c r="AJ368">
        <f t="shared" si="33"/>
        <v>299.4291891808121</v>
      </c>
      <c r="AK368">
        <f t="shared" si="34"/>
        <v>1134.0915857736197</v>
      </c>
    </row>
    <row r="369" spans="1:37" x14ac:dyDescent="0.25">
      <c r="A369">
        <v>-242.61689197129118</v>
      </c>
      <c r="B369">
        <v>88.901885963263751</v>
      </c>
      <c r="C369">
        <v>-105.28486400000003</v>
      </c>
      <c r="E369">
        <f t="shared" si="31"/>
        <v>242.61689197129118</v>
      </c>
      <c r="F369">
        <f t="shared" si="32"/>
        <v>-11.584514865806504</v>
      </c>
      <c r="AF369">
        <f>'Cross Section Analysis'!B479</f>
        <v>-300.06645396661588</v>
      </c>
      <c r="AG369">
        <f>'Cross Section Analysis'!C479</f>
        <v>24.937285789162292</v>
      </c>
      <c r="AH369">
        <f>'Cross Section Analysis'!$B$118</f>
        <v>1576.3696</v>
      </c>
      <c r="AJ369">
        <f t="shared" si="33"/>
        <v>300.06645396661605</v>
      </c>
      <c r="AK369">
        <f t="shared" si="34"/>
        <v>1132.2949577022289</v>
      </c>
    </row>
    <row r="370" spans="1:37" x14ac:dyDescent="0.25">
      <c r="A370">
        <v>-247.93364101913818</v>
      </c>
      <c r="B370">
        <v>80.575170030247165</v>
      </c>
      <c r="C370">
        <v>-105.28486400000003</v>
      </c>
      <c r="E370">
        <f t="shared" si="31"/>
        <v>247.93364101913818</v>
      </c>
      <c r="F370">
        <f t="shared" si="32"/>
        <v>-17.472392167056604</v>
      </c>
      <c r="AF370">
        <f>'Cross Section Analysis'!B480</f>
        <v>-300.66219142140005</v>
      </c>
      <c r="AG370">
        <f>'Cross Section Analysis'!C480</f>
        <v>22.408222009887997</v>
      </c>
      <c r="AH370">
        <f>'Cross Section Analysis'!$B$118</f>
        <v>1576.3696</v>
      </c>
      <c r="AJ370">
        <f t="shared" si="33"/>
        <v>300.66219142140022</v>
      </c>
      <c r="AK370">
        <f t="shared" si="34"/>
        <v>1130.5066395538508</v>
      </c>
    </row>
    <row r="371" spans="1:37" x14ac:dyDescent="0.25">
      <c r="A371">
        <v>-254.32698658274597</v>
      </c>
      <c r="B371">
        <v>70.240660361929685</v>
      </c>
      <c r="C371">
        <v>-105.28486400000003</v>
      </c>
      <c r="E371">
        <f t="shared" si="31"/>
        <v>254.32698658274597</v>
      </c>
      <c r="F371">
        <f t="shared" si="32"/>
        <v>-24.779994033761831</v>
      </c>
      <c r="AF371">
        <f>'Cross Section Analysis'!B481</f>
        <v>-301.21751591924988</v>
      </c>
      <c r="AG371">
        <f>'Cross Section Analysis'!C481</f>
        <v>19.889223379767383</v>
      </c>
      <c r="AH371">
        <f>'Cross Section Analysis'!$B$118</f>
        <v>1576.3696</v>
      </c>
      <c r="AJ371">
        <f t="shared" si="33"/>
        <v>301.21751591925005</v>
      </c>
      <c r="AK371">
        <f t="shared" si="34"/>
        <v>1128.7254385406927</v>
      </c>
    </row>
    <row r="372" spans="1:37" x14ac:dyDescent="0.25">
      <c r="A372">
        <v>-262.89275442715609</v>
      </c>
      <c r="B372">
        <v>57.113887924139839</v>
      </c>
      <c r="C372">
        <v>-105.28486400000003</v>
      </c>
      <c r="E372">
        <f t="shared" si="31"/>
        <v>262.89275442715609</v>
      </c>
      <c r="F372">
        <f t="shared" si="32"/>
        <v>-34.062023839615698</v>
      </c>
      <c r="AF372">
        <f>'Cross Section Analysis'!B482</f>
        <v>-301.73343246078895</v>
      </c>
      <c r="AG372">
        <f>'Cross Section Analysis'!C482</f>
        <v>17.378628110519223</v>
      </c>
      <c r="AH372">
        <f>'Cross Section Analysis'!$B$118</f>
        <v>1576.3696</v>
      </c>
      <c r="AJ372">
        <f t="shared" si="33"/>
        <v>301.73343246078912</v>
      </c>
      <c r="AK372">
        <f t="shared" si="34"/>
        <v>1126.9501796009927</v>
      </c>
    </row>
    <row r="373" spans="1:37" x14ac:dyDescent="0.25">
      <c r="A373">
        <v>-267.75015929872831</v>
      </c>
      <c r="B373">
        <v>39.407075549402776</v>
      </c>
      <c r="C373">
        <v>-105.28486400000003</v>
      </c>
      <c r="E373">
        <f t="shared" si="31"/>
        <v>267.75015929872831</v>
      </c>
      <c r="F373">
        <f t="shared" si="32"/>
        <v>-46.582630942990157</v>
      </c>
      <c r="AF373">
        <f>'Cross Section Analysis'!B483</f>
        <v>-302.21084176424904</v>
      </c>
      <c r="AG373">
        <f>'Cross Section Analysis'!C483</f>
        <v>14.874794935808863</v>
      </c>
      <c r="AH373">
        <f>'Cross Section Analysis'!$B$118</f>
        <v>1576.3696</v>
      </c>
      <c r="AJ373">
        <f t="shared" si="33"/>
        <v>302.21084176424921</v>
      </c>
      <c r="AK373">
        <f t="shared" si="34"/>
        <v>1125.1797021841951</v>
      </c>
    </row>
    <row r="374" spans="1:37" x14ac:dyDescent="0.25">
      <c r="A374">
        <v>-334.91008200965211</v>
      </c>
      <c r="B374">
        <v>-2.824168770706265E-14</v>
      </c>
      <c r="C374">
        <v>-25.206080000000028</v>
      </c>
      <c r="E374">
        <f t="shared" si="31"/>
        <v>334.91008200965211</v>
      </c>
      <c r="F374">
        <f t="shared" si="32"/>
        <v>-17.82339009513068</v>
      </c>
      <c r="AF374">
        <f>'Cross Section Analysis'!B484</f>
        <v>-302.65054467975023</v>
      </c>
      <c r="AG374">
        <f>'Cross Section Analysis'!C484</f>
        <v>12.376098670342218</v>
      </c>
      <c r="AH374">
        <f>'Cross Section Analysis'!$B$118</f>
        <v>1576.3696</v>
      </c>
      <c r="AJ374">
        <f t="shared" si="33"/>
        <v>302.6505446797504</v>
      </c>
      <c r="AK374">
        <f t="shared" si="34"/>
        <v>1123.4128571107581</v>
      </c>
    </row>
    <row r="375" spans="1:37" x14ac:dyDescent="0.25">
      <c r="A375">
        <v>-333.96434075152672</v>
      </c>
      <c r="B375">
        <v>-19.708231203578158</v>
      </c>
      <c r="C375">
        <v>-25.206080000000028</v>
      </c>
      <c r="E375">
        <f t="shared" si="31"/>
        <v>333.96434075152672</v>
      </c>
      <c r="F375">
        <f t="shared" si="32"/>
        <v>-31.759214024373087</v>
      </c>
      <c r="AF375">
        <f>'Cross Section Analysis'!B485</f>
        <v>-303.05324619571485</v>
      </c>
      <c r="AG375">
        <f>'Cross Section Analysis'!C485</f>
        <v>9.8809258498795458</v>
      </c>
      <c r="AH375">
        <f>'Cross Section Analysis'!$B$118</f>
        <v>1576.3696</v>
      </c>
      <c r="AJ375">
        <f t="shared" si="33"/>
        <v>303.05324619571502</v>
      </c>
      <c r="AK375">
        <f t="shared" si="34"/>
        <v>1121.6485034891766</v>
      </c>
    </row>
    <row r="376" spans="1:37" x14ac:dyDescent="0.25">
      <c r="A376">
        <v>-330.32054901805645</v>
      </c>
      <c r="B376">
        <v>-37.328505514634607</v>
      </c>
      <c r="C376">
        <v>-25.206080000000028</v>
      </c>
      <c r="E376">
        <f t="shared" si="31"/>
        <v>330.32054901805645</v>
      </c>
      <c r="F376">
        <f t="shared" si="32"/>
        <v>-44.218629476088225</v>
      </c>
      <c r="AF376">
        <f>'Cross Section Analysis'!B486</f>
        <v>-303.41955858134855</v>
      </c>
      <c r="AG376">
        <f>'Cross Section Analysis'!C486</f>
        <v>7.3876704227121941</v>
      </c>
      <c r="AH376">
        <f>'Cross Section Analysis'!$B$118</f>
        <v>1576.3696</v>
      </c>
      <c r="AJ376">
        <f t="shared" si="33"/>
        <v>303.41955858134872</v>
      </c>
      <c r="AK376">
        <f t="shared" si="34"/>
        <v>1119.8855056693965</v>
      </c>
    </row>
    <row r="377" spans="1:37" x14ac:dyDescent="0.25">
      <c r="A377">
        <v>-320.31929756348262</v>
      </c>
      <c r="B377">
        <v>-60.242737622465008</v>
      </c>
      <c r="C377">
        <v>-25.206080000000028</v>
      </c>
      <c r="E377">
        <f t="shared" si="31"/>
        <v>320.31929756348262</v>
      </c>
      <c r="F377">
        <f t="shared" si="32"/>
        <v>-60.421438385217627</v>
      </c>
      <c r="AF377">
        <f>'Cross Section Analysis'!B487</f>
        <v>-303.75000503496034</v>
      </c>
      <c r="AG377">
        <f>'Cross Section Analysis'!C487</f>
        <v>4.8947294768441916</v>
      </c>
      <c r="AH377">
        <f>'Cross Section Analysis'!$B$118</f>
        <v>1576.3696</v>
      </c>
      <c r="AJ377">
        <f t="shared" si="33"/>
        <v>303.75000503496051</v>
      </c>
      <c r="AK377">
        <f t="shared" si="34"/>
        <v>1118.1227302214754</v>
      </c>
    </row>
    <row r="378" spans="1:37" x14ac:dyDescent="0.25">
      <c r="A378">
        <v>-311.07784208698575</v>
      </c>
      <c r="B378">
        <v>-79.261196839864269</v>
      </c>
      <c r="C378">
        <v>-25.206080000000028</v>
      </c>
      <c r="E378">
        <f t="shared" si="31"/>
        <v>311.07784208698575</v>
      </c>
      <c r="F378">
        <f t="shared" si="32"/>
        <v>-73.869519865560434</v>
      </c>
      <c r="AF378">
        <f>'Cross Section Analysis'!B488</f>
        <v>-304.04316241020854</v>
      </c>
      <c r="AG378">
        <f>'Cross Section Analysis'!C488</f>
        <v>2.401386889028148</v>
      </c>
      <c r="AH378">
        <f>'Cross Section Analysis'!$B$118</f>
        <v>1576.3696</v>
      </c>
      <c r="AJ378">
        <f t="shared" si="33"/>
        <v>304.04316241020871</v>
      </c>
      <c r="AK378">
        <f t="shared" si="34"/>
        <v>1116.3596707698096</v>
      </c>
    </row>
    <row r="379" spans="1:37" x14ac:dyDescent="0.25">
      <c r="A379">
        <v>-303.85513981942336</v>
      </c>
      <c r="B379">
        <v>-92.403696085151168</v>
      </c>
      <c r="C379">
        <v>-25.206080000000028</v>
      </c>
      <c r="E379">
        <f t="shared" si="31"/>
        <v>303.85513981942336</v>
      </c>
      <c r="F379">
        <f t="shared" si="32"/>
        <v>-83.162670203641895</v>
      </c>
      <c r="AF379">
        <f>'Cross Section Analysis'!B489</f>
        <v>-304.10279228703155</v>
      </c>
      <c r="AG379">
        <f>'Cross Section Analysis'!C489</f>
        <v>3.3408333458351464E-14</v>
      </c>
      <c r="AH379">
        <f>'Cross Section Analysis'!$B$118</f>
        <v>1576.3696</v>
      </c>
      <c r="AJ379">
        <f t="shared" si="33"/>
        <v>304.10279228703172</v>
      </c>
      <c r="AK379">
        <f t="shared" si="34"/>
        <v>1114.6616338163253</v>
      </c>
    </row>
    <row r="380" spans="1:37" x14ac:dyDescent="0.25">
      <c r="A380">
        <v>-297.68621221928714</v>
      </c>
      <c r="B380">
        <v>-102.68602522960749</v>
      </c>
      <c r="C380">
        <v>-25.206080000000028</v>
      </c>
      <c r="E380">
        <f t="shared" si="31"/>
        <v>297.68621221928714</v>
      </c>
      <c r="F380">
        <f t="shared" si="32"/>
        <v>-90.433374868079028</v>
      </c>
      <c r="AF380">
        <f>'Cross Section Analysis'!B490</f>
        <v>-304.10279228703126</v>
      </c>
      <c r="AG380">
        <f>'Cross Section Analysis'!C490</f>
        <v>-3.2638578827944657E-14</v>
      </c>
      <c r="AH380">
        <f>'Cross Section Analysis'!$B$118</f>
        <v>1576.3696</v>
      </c>
      <c r="AJ380">
        <f t="shared" si="33"/>
        <v>304.10279228703143</v>
      </c>
      <c r="AK380">
        <f t="shared" si="34"/>
        <v>1114.6616338163253</v>
      </c>
    </row>
    <row r="381" spans="1:37" x14ac:dyDescent="0.25">
      <c r="A381">
        <v>-288.62544516338704</v>
      </c>
      <c r="B381">
        <v>-112.29593161077999</v>
      </c>
      <c r="C381">
        <v>-25.206080000000028</v>
      </c>
      <c r="E381">
        <f t="shared" si="31"/>
        <v>288.62544516338704</v>
      </c>
      <c r="F381">
        <f t="shared" si="32"/>
        <v>-97.228604836773982</v>
      </c>
    </row>
    <row r="382" spans="1:37" x14ac:dyDescent="0.25">
      <c r="A382">
        <v>-278.02056321724803</v>
      </c>
      <c r="B382">
        <v>-121.41274880385429</v>
      </c>
      <c r="C382">
        <v>-25.206080000000028</v>
      </c>
      <c r="E382">
        <f t="shared" si="31"/>
        <v>278.02056321724803</v>
      </c>
      <c r="F382">
        <f t="shared" si="32"/>
        <v>-103.67516809683492</v>
      </c>
    </row>
    <row r="383" spans="1:37" x14ac:dyDescent="0.25">
      <c r="A383">
        <v>-267.9401667785724</v>
      </c>
      <c r="B383">
        <v>-129.97417440646899</v>
      </c>
      <c r="C383">
        <v>-25.206080000000028</v>
      </c>
      <c r="E383">
        <f t="shared" si="31"/>
        <v>267.9401667785724</v>
      </c>
      <c r="F383">
        <f t="shared" si="32"/>
        <v>-109.72901019706791</v>
      </c>
    </row>
    <row r="384" spans="1:37" x14ac:dyDescent="0.25">
      <c r="A384">
        <v>-257.93910307953882</v>
      </c>
      <c r="B384">
        <v>-138.42991947669736</v>
      </c>
      <c r="C384">
        <v>-25.206080000000028</v>
      </c>
      <c r="E384">
        <f t="shared" si="31"/>
        <v>257.93910307953882</v>
      </c>
      <c r="F384">
        <f t="shared" si="32"/>
        <v>-115.7081248762111</v>
      </c>
    </row>
    <row r="385" spans="1:6" x14ac:dyDescent="0.25">
      <c r="A385">
        <v>-245.17843725031113</v>
      </c>
      <c r="B385">
        <v>-145.78054416743132</v>
      </c>
      <c r="C385">
        <v>-25.206080000000028</v>
      </c>
      <c r="E385">
        <f t="shared" si="31"/>
        <v>245.17843725031113</v>
      </c>
      <c r="F385">
        <f t="shared" si="32"/>
        <v>-120.90580144098634</v>
      </c>
    </row>
    <row r="386" spans="1:6" x14ac:dyDescent="0.25">
      <c r="A386">
        <v>-226.99769560403874</v>
      </c>
      <c r="B386">
        <v>-155.78863912841143</v>
      </c>
      <c r="C386">
        <v>-25.206080000000028</v>
      </c>
      <c r="E386">
        <f t="shared" si="31"/>
        <v>226.99769560403874</v>
      </c>
      <c r="F386">
        <f t="shared" si="32"/>
        <v>-127.98259325465429</v>
      </c>
    </row>
    <row r="387" spans="1:6" x14ac:dyDescent="0.25">
      <c r="A387">
        <v>-207.3433278613561</v>
      </c>
      <c r="B387">
        <v>-167.90009497725546</v>
      </c>
      <c r="C387">
        <v>-25.206080000000028</v>
      </c>
      <c r="E387">
        <f t="shared" si="31"/>
        <v>207.3433278613561</v>
      </c>
      <c r="F387">
        <f t="shared" si="32"/>
        <v>-136.54668581541338</v>
      </c>
    </row>
    <row r="388" spans="1:6" x14ac:dyDescent="0.25">
      <c r="A388">
        <v>-188.90647579326853</v>
      </c>
      <c r="B388">
        <v>-176.12915676663874</v>
      </c>
      <c r="C388">
        <v>-25.206080000000028</v>
      </c>
      <c r="E388">
        <f t="shared" si="31"/>
        <v>188.90647579326853</v>
      </c>
      <c r="F388">
        <f t="shared" si="32"/>
        <v>-142.3655112094894</v>
      </c>
    </row>
    <row r="389" spans="1:6" x14ac:dyDescent="0.25">
      <c r="A389">
        <v>-164.4604487577945</v>
      </c>
      <c r="B389">
        <v>-183.93707450129219</v>
      </c>
      <c r="C389">
        <v>-25.206080000000028</v>
      </c>
      <c r="E389">
        <f t="shared" si="31"/>
        <v>164.4604487577945</v>
      </c>
      <c r="F389">
        <f t="shared" si="32"/>
        <v>-147.88654278660957</v>
      </c>
    </row>
    <row r="390" spans="1:6" x14ac:dyDescent="0.25">
      <c r="A390">
        <v>-130.3642726316169</v>
      </c>
      <c r="B390">
        <v>-195.26859734964151</v>
      </c>
      <c r="C390">
        <v>-25.206080000000028</v>
      </c>
      <c r="E390">
        <f t="shared" si="31"/>
        <v>130.3642726316169</v>
      </c>
      <c r="F390">
        <f t="shared" si="32"/>
        <v>-155.89913943384767</v>
      </c>
    </row>
    <row r="391" spans="1:6" x14ac:dyDescent="0.25">
      <c r="A391">
        <v>-70.713140490272508</v>
      </c>
      <c r="B391">
        <v>-206.48147759316035</v>
      </c>
      <c r="C391">
        <v>-25.206080000000028</v>
      </c>
      <c r="E391">
        <f t="shared" si="31"/>
        <v>70.713140490272508</v>
      </c>
      <c r="F391">
        <f t="shared" si="32"/>
        <v>-163.8278430906725</v>
      </c>
    </row>
    <row r="392" spans="1:6" x14ac:dyDescent="0.25">
      <c r="A392">
        <v>6.0415495642081097E-14</v>
      </c>
      <c r="B392">
        <v>-211.98848179287958</v>
      </c>
      <c r="C392">
        <v>-25.206080000000028</v>
      </c>
      <c r="E392">
        <f t="shared" si="31"/>
        <v>-6.3503614638711405E-14</v>
      </c>
      <c r="F392">
        <f t="shared" si="32"/>
        <v>-167.72188310431676</v>
      </c>
    </row>
    <row r="393" spans="1:6" x14ac:dyDescent="0.25">
      <c r="A393">
        <v>70.713140490272352</v>
      </c>
      <c r="B393">
        <v>-206.48147759316035</v>
      </c>
      <c r="C393">
        <v>-25.206080000000028</v>
      </c>
      <c r="E393">
        <f t="shared" si="31"/>
        <v>-70.713140490272352</v>
      </c>
      <c r="F393">
        <f t="shared" si="32"/>
        <v>-163.8278430906725</v>
      </c>
    </row>
    <row r="394" spans="1:6" x14ac:dyDescent="0.25">
      <c r="A394">
        <v>130.36427263161696</v>
      </c>
      <c r="B394">
        <v>-195.26859734964148</v>
      </c>
      <c r="C394">
        <v>-25.206080000000028</v>
      </c>
      <c r="E394">
        <f t="shared" si="31"/>
        <v>-130.36427263161696</v>
      </c>
      <c r="F394">
        <f t="shared" si="32"/>
        <v>-155.89913943384764</v>
      </c>
    </row>
    <row r="395" spans="1:6" x14ac:dyDescent="0.25">
      <c r="A395">
        <v>164.46044875779447</v>
      </c>
      <c r="B395">
        <v>-183.93707450129213</v>
      </c>
      <c r="C395">
        <v>-25.206080000000028</v>
      </c>
      <c r="E395">
        <f t="shared" si="31"/>
        <v>-164.46044875779447</v>
      </c>
      <c r="F395">
        <f t="shared" si="32"/>
        <v>-147.88654278660948</v>
      </c>
    </row>
    <row r="396" spans="1:6" x14ac:dyDescent="0.25">
      <c r="A396">
        <v>188.9064757932685</v>
      </c>
      <c r="B396">
        <v>-176.12915676663863</v>
      </c>
      <c r="C396">
        <v>-25.206080000000028</v>
      </c>
      <c r="E396">
        <f t="shared" si="31"/>
        <v>-188.9064757932685</v>
      </c>
      <c r="F396">
        <f t="shared" si="32"/>
        <v>-142.36551120948928</v>
      </c>
    </row>
    <row r="397" spans="1:6" x14ac:dyDescent="0.25">
      <c r="A397">
        <v>207.34332786135613</v>
      </c>
      <c r="B397">
        <v>-167.90009497725546</v>
      </c>
      <c r="C397">
        <v>-25.206080000000028</v>
      </c>
      <c r="E397">
        <f t="shared" si="31"/>
        <v>-207.34332786135613</v>
      </c>
      <c r="F397">
        <f t="shared" si="32"/>
        <v>-136.54668581541335</v>
      </c>
    </row>
    <row r="398" spans="1:6" x14ac:dyDescent="0.25">
      <c r="A398">
        <v>226.99769560403868</v>
      </c>
      <c r="B398">
        <v>-155.78863912841155</v>
      </c>
      <c r="C398">
        <v>-25.206080000000028</v>
      </c>
      <c r="E398">
        <f t="shared" si="31"/>
        <v>-226.99769560403868</v>
      </c>
      <c r="F398">
        <f t="shared" si="32"/>
        <v>-127.98259325465435</v>
      </c>
    </row>
    <row r="399" spans="1:6" x14ac:dyDescent="0.25">
      <c r="A399">
        <v>245.17843725031105</v>
      </c>
      <c r="B399">
        <v>-145.78054416743132</v>
      </c>
      <c r="C399">
        <v>-25.206080000000028</v>
      </c>
      <c r="E399">
        <f t="shared" si="31"/>
        <v>-245.17843725031105</v>
      </c>
      <c r="F399">
        <f t="shared" si="32"/>
        <v>-120.90580144098631</v>
      </c>
    </row>
    <row r="400" spans="1:6" x14ac:dyDescent="0.25">
      <c r="A400">
        <v>257.93910307953882</v>
      </c>
      <c r="B400">
        <v>-138.42991947669742</v>
      </c>
      <c r="C400">
        <v>-25.206080000000028</v>
      </c>
      <c r="E400">
        <f t="shared" si="31"/>
        <v>-257.93910307953882</v>
      </c>
      <c r="F400">
        <f t="shared" si="32"/>
        <v>-115.70812487621109</v>
      </c>
    </row>
    <row r="401" spans="1:6" x14ac:dyDescent="0.25">
      <c r="A401">
        <v>267.94016677857246</v>
      </c>
      <c r="B401">
        <v>-129.97417440646902</v>
      </c>
      <c r="C401">
        <v>-25.206080000000028</v>
      </c>
      <c r="E401">
        <f t="shared" si="31"/>
        <v>-267.94016677857246</v>
      </c>
      <c r="F401">
        <f t="shared" si="32"/>
        <v>-109.72901019706786</v>
      </c>
    </row>
    <row r="402" spans="1:6" x14ac:dyDescent="0.25">
      <c r="A402">
        <v>278.02056321724803</v>
      </c>
      <c r="B402">
        <v>-121.41274880385431</v>
      </c>
      <c r="C402">
        <v>-25.206080000000028</v>
      </c>
      <c r="E402">
        <f t="shared" si="31"/>
        <v>-278.02056321724803</v>
      </c>
      <c r="F402">
        <f t="shared" si="32"/>
        <v>-103.67516809683488</v>
      </c>
    </row>
    <row r="403" spans="1:6" x14ac:dyDescent="0.25">
      <c r="A403">
        <v>288.6254451633871</v>
      </c>
      <c r="B403">
        <v>-112.29593161078</v>
      </c>
      <c r="C403">
        <v>-25.206080000000028</v>
      </c>
      <c r="E403">
        <f t="shared" si="31"/>
        <v>-288.6254451633871</v>
      </c>
      <c r="F403">
        <f t="shared" si="32"/>
        <v>-97.228604836773926</v>
      </c>
    </row>
    <row r="404" spans="1:6" x14ac:dyDescent="0.25">
      <c r="A404">
        <v>297.68621221928709</v>
      </c>
      <c r="B404">
        <v>-102.68602522960745</v>
      </c>
      <c r="C404">
        <v>-25.206080000000028</v>
      </c>
      <c r="E404">
        <f t="shared" ref="E404:E467" si="35">($I$2*A404)+($K$2*B404)+($M$2*C404)</f>
        <v>-297.68621221928709</v>
      </c>
      <c r="F404">
        <f t="shared" ref="F404:F467" si="36">($J$2*A404)+($L$2*B404)+($N$2*C404)</f>
        <v>-90.433374868078943</v>
      </c>
    </row>
    <row r="405" spans="1:6" x14ac:dyDescent="0.25">
      <c r="A405">
        <v>303.85513981942341</v>
      </c>
      <c r="B405">
        <v>-92.403696085151168</v>
      </c>
      <c r="C405">
        <v>-25.206080000000028</v>
      </c>
      <c r="E405">
        <f t="shared" si="35"/>
        <v>-303.85513981942341</v>
      </c>
      <c r="F405">
        <f t="shared" si="36"/>
        <v>-83.162670203641838</v>
      </c>
    </row>
    <row r="406" spans="1:6" x14ac:dyDescent="0.25">
      <c r="A406">
        <v>311.07784208698575</v>
      </c>
      <c r="B406">
        <v>-79.26119683986424</v>
      </c>
      <c r="C406">
        <v>-25.206080000000028</v>
      </c>
      <c r="E406">
        <f t="shared" si="35"/>
        <v>-311.07784208698575</v>
      </c>
      <c r="F406">
        <f t="shared" si="36"/>
        <v>-73.869519865560363</v>
      </c>
    </row>
    <row r="407" spans="1:6" x14ac:dyDescent="0.25">
      <c r="A407">
        <v>320.31929756348262</v>
      </c>
      <c r="B407">
        <v>-60.242737622464993</v>
      </c>
      <c r="C407">
        <v>-25.206080000000028</v>
      </c>
      <c r="E407">
        <f t="shared" si="35"/>
        <v>-320.31929756348262</v>
      </c>
      <c r="F407">
        <f t="shared" si="36"/>
        <v>-60.421438385217556</v>
      </c>
    </row>
    <row r="408" spans="1:6" x14ac:dyDescent="0.25">
      <c r="A408">
        <v>330.3205490180564</v>
      </c>
      <c r="B408">
        <v>-37.328505514634671</v>
      </c>
      <c r="C408">
        <v>-25.206080000000028</v>
      </c>
      <c r="E408">
        <f t="shared" si="35"/>
        <v>-330.3205490180564</v>
      </c>
      <c r="F408">
        <f t="shared" si="36"/>
        <v>-44.218629476088211</v>
      </c>
    </row>
    <row r="409" spans="1:6" x14ac:dyDescent="0.25">
      <c r="A409">
        <v>333.96434075152678</v>
      </c>
      <c r="B409">
        <v>-19.708231203578126</v>
      </c>
      <c r="C409">
        <v>-25.206080000000028</v>
      </c>
      <c r="E409">
        <f t="shared" si="35"/>
        <v>-333.96434075152678</v>
      </c>
      <c r="F409">
        <f t="shared" si="36"/>
        <v>-31.759214024373009</v>
      </c>
    </row>
    <row r="410" spans="1:6" x14ac:dyDescent="0.25">
      <c r="A410">
        <v>334.91008200965211</v>
      </c>
      <c r="B410">
        <v>0</v>
      </c>
      <c r="C410">
        <v>-25.206080000000028</v>
      </c>
      <c r="E410">
        <f t="shared" si="35"/>
        <v>-334.91008200965211</v>
      </c>
      <c r="F410">
        <f t="shared" si="36"/>
        <v>-17.823390095130602</v>
      </c>
    </row>
    <row r="411" spans="1:6" x14ac:dyDescent="0.25">
      <c r="A411">
        <v>333.96434075152678</v>
      </c>
      <c r="B411">
        <v>19.708231203578137</v>
      </c>
      <c r="C411">
        <v>-25.206080000000028</v>
      </c>
      <c r="E411">
        <f t="shared" si="35"/>
        <v>-333.96434075152678</v>
      </c>
      <c r="F411">
        <f t="shared" si="36"/>
        <v>-3.8875661658881864</v>
      </c>
    </row>
    <row r="412" spans="1:6" x14ac:dyDescent="0.25">
      <c r="A412">
        <v>330.32054901805645</v>
      </c>
      <c r="B412">
        <v>37.32850551463455</v>
      </c>
      <c r="C412">
        <v>-25.206080000000028</v>
      </c>
      <c r="E412">
        <f t="shared" si="35"/>
        <v>-330.32054901805645</v>
      </c>
      <c r="F412">
        <f t="shared" si="36"/>
        <v>8.5718492858269251</v>
      </c>
    </row>
    <row r="413" spans="1:6" x14ac:dyDescent="0.25">
      <c r="A413">
        <v>320.31929756348262</v>
      </c>
      <c r="B413">
        <v>60.242737622465022</v>
      </c>
      <c r="C413">
        <v>-25.206080000000028</v>
      </c>
      <c r="E413">
        <f t="shared" si="35"/>
        <v>-320.31929756348262</v>
      </c>
      <c r="F413">
        <f t="shared" si="36"/>
        <v>24.77465819495637</v>
      </c>
    </row>
    <row r="414" spans="1:6" x14ac:dyDescent="0.25">
      <c r="A414">
        <v>311.07784208698575</v>
      </c>
      <c r="B414">
        <v>79.261196839864255</v>
      </c>
      <c r="C414">
        <v>-25.206080000000028</v>
      </c>
      <c r="E414">
        <f t="shared" si="35"/>
        <v>-311.07784208698575</v>
      </c>
      <c r="F414">
        <f t="shared" si="36"/>
        <v>38.222739675299167</v>
      </c>
    </row>
    <row r="415" spans="1:6" x14ac:dyDescent="0.25">
      <c r="A415">
        <v>303.8551398194233</v>
      </c>
      <c r="B415">
        <v>92.403696085151168</v>
      </c>
      <c r="C415">
        <v>-25.206080000000028</v>
      </c>
      <c r="E415">
        <f t="shared" si="35"/>
        <v>-303.8551398194233</v>
      </c>
      <c r="F415">
        <f t="shared" si="36"/>
        <v>47.515890013380627</v>
      </c>
    </row>
    <row r="416" spans="1:6" x14ac:dyDescent="0.25">
      <c r="A416">
        <v>297.68621221928692</v>
      </c>
      <c r="B416">
        <v>102.68602522960742</v>
      </c>
      <c r="C416">
        <v>-25.206080000000028</v>
      </c>
      <c r="E416">
        <f t="shared" si="35"/>
        <v>-297.68621221928692</v>
      </c>
      <c r="F416">
        <f t="shared" si="36"/>
        <v>54.786594677817718</v>
      </c>
    </row>
    <row r="417" spans="1:6" x14ac:dyDescent="0.25">
      <c r="A417">
        <v>288.62544516338704</v>
      </c>
      <c r="B417">
        <v>112.29593161077989</v>
      </c>
      <c r="C417">
        <v>-25.206080000000028</v>
      </c>
      <c r="E417">
        <f t="shared" si="35"/>
        <v>-288.62544516338704</v>
      </c>
      <c r="F417">
        <f t="shared" si="36"/>
        <v>61.581824646512644</v>
      </c>
    </row>
    <row r="418" spans="1:6" x14ac:dyDescent="0.25">
      <c r="A418">
        <v>278.02056321724797</v>
      </c>
      <c r="B418">
        <v>121.41274880385427</v>
      </c>
      <c r="C418">
        <v>-25.206080000000028</v>
      </c>
      <c r="E418">
        <f t="shared" si="35"/>
        <v>-278.02056321724797</v>
      </c>
      <c r="F418">
        <f t="shared" si="36"/>
        <v>68.028387906573641</v>
      </c>
    </row>
    <row r="419" spans="1:6" x14ac:dyDescent="0.25">
      <c r="A419">
        <v>267.9401667785724</v>
      </c>
      <c r="B419">
        <v>129.97417440646899</v>
      </c>
      <c r="C419">
        <v>-25.206080000000028</v>
      </c>
      <c r="E419">
        <f t="shared" si="35"/>
        <v>-267.9401667785724</v>
      </c>
      <c r="F419">
        <f t="shared" si="36"/>
        <v>74.08223000680664</v>
      </c>
    </row>
    <row r="420" spans="1:6" x14ac:dyDescent="0.25">
      <c r="A420">
        <v>257.93910307953882</v>
      </c>
      <c r="B420">
        <v>138.42991947669734</v>
      </c>
      <c r="C420">
        <v>-25.206080000000028</v>
      </c>
      <c r="E420">
        <f t="shared" si="35"/>
        <v>-257.93910307953882</v>
      </c>
      <c r="F420">
        <f t="shared" si="36"/>
        <v>80.06134468594982</v>
      </c>
    </row>
    <row r="421" spans="1:6" x14ac:dyDescent="0.25">
      <c r="A421">
        <v>245.17843725031108</v>
      </c>
      <c r="B421">
        <v>145.78054416743129</v>
      </c>
      <c r="C421">
        <v>-25.206080000000028</v>
      </c>
      <c r="E421">
        <f t="shared" si="35"/>
        <v>-245.17843725031108</v>
      </c>
      <c r="F421">
        <f t="shared" si="36"/>
        <v>85.259021250725056</v>
      </c>
    </row>
    <row r="422" spans="1:6" x14ac:dyDescent="0.25">
      <c r="A422">
        <v>226.99769560403885</v>
      </c>
      <c r="B422">
        <v>155.78863912841157</v>
      </c>
      <c r="C422">
        <v>-25.206080000000028</v>
      </c>
      <c r="E422">
        <f t="shared" si="35"/>
        <v>-226.99769560403885</v>
      </c>
      <c r="F422">
        <f t="shared" si="36"/>
        <v>92.335813064393122</v>
      </c>
    </row>
    <row r="423" spans="1:6" x14ac:dyDescent="0.25">
      <c r="A423">
        <v>207.34332786135622</v>
      </c>
      <c r="B423">
        <v>167.90009497725532</v>
      </c>
      <c r="C423">
        <v>-25.206080000000028</v>
      </c>
      <c r="E423">
        <f t="shared" si="35"/>
        <v>-207.34332786135622</v>
      </c>
      <c r="F423">
        <f t="shared" si="36"/>
        <v>100.89990562515202</v>
      </c>
    </row>
    <row r="424" spans="1:6" x14ac:dyDescent="0.25">
      <c r="A424">
        <v>188.90647579326861</v>
      </c>
      <c r="B424">
        <v>176.12915676663863</v>
      </c>
      <c r="C424">
        <v>-25.206080000000028</v>
      </c>
      <c r="E424">
        <f t="shared" si="35"/>
        <v>-188.90647579326861</v>
      </c>
      <c r="F424">
        <f t="shared" si="36"/>
        <v>106.71873101922806</v>
      </c>
    </row>
    <row r="425" spans="1:6" x14ac:dyDescent="0.25">
      <c r="A425">
        <v>164.46044875779435</v>
      </c>
      <c r="B425">
        <v>183.93707450129216</v>
      </c>
      <c r="C425">
        <v>-25.206080000000028</v>
      </c>
      <c r="E425">
        <f t="shared" si="35"/>
        <v>-164.46044875779435</v>
      </c>
      <c r="F425">
        <f t="shared" si="36"/>
        <v>112.2397625963483</v>
      </c>
    </row>
    <row r="426" spans="1:6" x14ac:dyDescent="0.25">
      <c r="A426">
        <v>130.36427263161681</v>
      </c>
      <c r="B426">
        <v>195.26859734964154</v>
      </c>
      <c r="C426">
        <v>-25.206080000000028</v>
      </c>
      <c r="E426">
        <f t="shared" si="35"/>
        <v>-130.36427263161681</v>
      </c>
      <c r="F426">
        <f t="shared" si="36"/>
        <v>120.2523592435864</v>
      </c>
    </row>
    <row r="427" spans="1:6" x14ac:dyDescent="0.25">
      <c r="A427">
        <v>70.713140490272323</v>
      </c>
      <c r="B427">
        <v>206.48147759316035</v>
      </c>
      <c r="C427">
        <v>-25.206080000000028</v>
      </c>
      <c r="E427">
        <f t="shared" si="35"/>
        <v>-70.713140490272323</v>
      </c>
      <c r="F427">
        <f t="shared" si="36"/>
        <v>128.18106290041123</v>
      </c>
    </row>
    <row r="428" spans="1:6" x14ac:dyDescent="0.25">
      <c r="A428">
        <v>6.553140333955381E-14</v>
      </c>
      <c r="B428">
        <v>211.98848179287955</v>
      </c>
      <c r="C428">
        <v>-25.206080000000028</v>
      </c>
      <c r="E428">
        <f t="shared" si="35"/>
        <v>-6.8619522336184118E-14</v>
      </c>
      <c r="F428">
        <f t="shared" si="36"/>
        <v>132.07510291405546</v>
      </c>
    </row>
    <row r="429" spans="1:6" x14ac:dyDescent="0.25">
      <c r="A429">
        <v>-70.713140490272281</v>
      </c>
      <c r="B429">
        <v>206.48147759316041</v>
      </c>
      <c r="C429">
        <v>-25.206080000000028</v>
      </c>
      <c r="E429">
        <f t="shared" si="35"/>
        <v>70.713140490272281</v>
      </c>
      <c r="F429">
        <f t="shared" si="36"/>
        <v>128.18106290041126</v>
      </c>
    </row>
    <row r="430" spans="1:6" x14ac:dyDescent="0.25">
      <c r="A430">
        <v>-130.36427263161679</v>
      </c>
      <c r="B430">
        <v>195.26859734964145</v>
      </c>
      <c r="C430">
        <v>-25.206080000000028</v>
      </c>
      <c r="E430">
        <f t="shared" si="35"/>
        <v>130.36427263161679</v>
      </c>
      <c r="F430">
        <f t="shared" si="36"/>
        <v>120.25235924358634</v>
      </c>
    </row>
    <row r="431" spans="1:6" x14ac:dyDescent="0.25">
      <c r="A431">
        <v>-164.46044875779441</v>
      </c>
      <c r="B431">
        <v>183.93707450129222</v>
      </c>
      <c r="C431">
        <v>-25.206080000000028</v>
      </c>
      <c r="E431">
        <f t="shared" si="35"/>
        <v>164.46044875779441</v>
      </c>
      <c r="F431">
        <f t="shared" si="36"/>
        <v>112.23976259634827</v>
      </c>
    </row>
    <row r="432" spans="1:6" x14ac:dyDescent="0.25">
      <c r="A432">
        <v>-188.90647579326836</v>
      </c>
      <c r="B432">
        <v>176.12915676663869</v>
      </c>
      <c r="C432">
        <v>-25.206080000000028</v>
      </c>
      <c r="E432">
        <f t="shared" si="35"/>
        <v>188.90647579326836</v>
      </c>
      <c r="F432">
        <f t="shared" si="36"/>
        <v>106.71873101922807</v>
      </c>
    </row>
    <row r="433" spans="1:6" x14ac:dyDescent="0.25">
      <c r="A433">
        <v>-207.34332786135602</v>
      </c>
      <c r="B433">
        <v>167.90009497725552</v>
      </c>
      <c r="C433">
        <v>-25.206080000000028</v>
      </c>
      <c r="E433">
        <f t="shared" si="35"/>
        <v>207.34332786135602</v>
      </c>
      <c r="F433">
        <f t="shared" si="36"/>
        <v>100.89990562515213</v>
      </c>
    </row>
    <row r="434" spans="1:6" x14ac:dyDescent="0.25">
      <c r="A434">
        <v>-226.99769560403874</v>
      </c>
      <c r="B434">
        <v>155.78863912841152</v>
      </c>
      <c r="C434">
        <v>-25.206080000000028</v>
      </c>
      <c r="E434">
        <f t="shared" si="35"/>
        <v>226.99769560403874</v>
      </c>
      <c r="F434">
        <f t="shared" si="36"/>
        <v>92.335813064393065</v>
      </c>
    </row>
    <row r="435" spans="1:6" x14ac:dyDescent="0.25">
      <c r="A435">
        <v>-245.17843725031111</v>
      </c>
      <c r="B435">
        <v>145.78054416743132</v>
      </c>
      <c r="C435">
        <v>-25.206080000000028</v>
      </c>
      <c r="E435">
        <f t="shared" si="35"/>
        <v>245.17843725031111</v>
      </c>
      <c r="F435">
        <f t="shared" si="36"/>
        <v>85.259021250725041</v>
      </c>
    </row>
    <row r="436" spans="1:6" x14ac:dyDescent="0.25">
      <c r="A436">
        <v>-257.93910307953882</v>
      </c>
      <c r="B436">
        <v>138.42991947669745</v>
      </c>
      <c r="C436">
        <v>-25.206080000000028</v>
      </c>
      <c r="E436">
        <f t="shared" si="35"/>
        <v>257.93910307953882</v>
      </c>
      <c r="F436">
        <f t="shared" si="36"/>
        <v>80.061344685949848</v>
      </c>
    </row>
    <row r="437" spans="1:6" x14ac:dyDescent="0.25">
      <c r="A437">
        <v>-267.94016677857235</v>
      </c>
      <c r="B437">
        <v>129.97417440646893</v>
      </c>
      <c r="C437">
        <v>-25.206080000000028</v>
      </c>
      <c r="E437">
        <f t="shared" si="35"/>
        <v>267.94016677857235</v>
      </c>
      <c r="F437">
        <f t="shared" si="36"/>
        <v>74.08223000680654</v>
      </c>
    </row>
    <row r="438" spans="1:6" x14ac:dyDescent="0.25">
      <c r="A438">
        <v>-278.02056321724803</v>
      </c>
      <c r="B438">
        <v>121.41274880385437</v>
      </c>
      <c r="C438">
        <v>-25.206080000000028</v>
      </c>
      <c r="E438">
        <f t="shared" si="35"/>
        <v>278.02056321724803</v>
      </c>
      <c r="F438">
        <f t="shared" si="36"/>
        <v>68.028387906573656</v>
      </c>
    </row>
    <row r="439" spans="1:6" x14ac:dyDescent="0.25">
      <c r="A439">
        <v>-288.6254451633871</v>
      </c>
      <c r="B439">
        <v>112.29593161078</v>
      </c>
      <c r="C439">
        <v>-25.206080000000028</v>
      </c>
      <c r="E439">
        <f t="shared" si="35"/>
        <v>288.6254451633871</v>
      </c>
      <c r="F439">
        <f t="shared" si="36"/>
        <v>61.581824646512658</v>
      </c>
    </row>
    <row r="440" spans="1:6" x14ac:dyDescent="0.25">
      <c r="A440">
        <v>-297.68621221928714</v>
      </c>
      <c r="B440">
        <v>102.68602522960755</v>
      </c>
      <c r="C440">
        <v>-25.206080000000028</v>
      </c>
      <c r="E440">
        <f t="shared" si="35"/>
        <v>297.68621221928714</v>
      </c>
      <c r="F440">
        <f t="shared" si="36"/>
        <v>54.786594677817746</v>
      </c>
    </row>
    <row r="441" spans="1:6" x14ac:dyDescent="0.25">
      <c r="A441">
        <v>-303.85513981942336</v>
      </c>
      <c r="B441">
        <v>92.403696085151267</v>
      </c>
      <c r="C441">
        <v>-25.206080000000028</v>
      </c>
      <c r="E441">
        <f t="shared" si="35"/>
        <v>303.85513981942336</v>
      </c>
      <c r="F441">
        <f t="shared" si="36"/>
        <v>47.515890013380641</v>
      </c>
    </row>
    <row r="442" spans="1:6" x14ac:dyDescent="0.25">
      <c r="A442">
        <v>-311.07784208698587</v>
      </c>
      <c r="B442">
        <v>79.261196839864411</v>
      </c>
      <c r="C442">
        <v>-25.206080000000028</v>
      </c>
      <c r="E442">
        <f t="shared" si="35"/>
        <v>311.07784208698587</v>
      </c>
      <c r="F442">
        <f t="shared" si="36"/>
        <v>38.222739675299223</v>
      </c>
    </row>
    <row r="443" spans="1:6" x14ac:dyDescent="0.25">
      <c r="A443">
        <v>-320.31929756348262</v>
      </c>
      <c r="B443">
        <v>60.242737622464865</v>
      </c>
      <c r="C443">
        <v>-25.206080000000028</v>
      </c>
      <c r="E443">
        <f t="shared" si="35"/>
        <v>320.31929756348262</v>
      </c>
      <c r="F443">
        <f t="shared" si="36"/>
        <v>24.774658194956199</v>
      </c>
    </row>
    <row r="444" spans="1:6" x14ac:dyDescent="0.25">
      <c r="A444">
        <v>-330.32054901805645</v>
      </c>
      <c r="B444">
        <v>37.328505514634607</v>
      </c>
      <c r="C444">
        <v>-25.206080000000028</v>
      </c>
      <c r="E444">
        <f t="shared" si="35"/>
        <v>330.32054901805645</v>
      </c>
      <c r="F444">
        <f t="shared" si="36"/>
        <v>8.5718492858269073</v>
      </c>
    </row>
    <row r="445" spans="1:6" x14ac:dyDescent="0.25">
      <c r="A445">
        <v>-395.86778439269955</v>
      </c>
      <c r="B445">
        <v>-3.1446654781439053E-14</v>
      </c>
      <c r="C445">
        <v>54.87270399999997</v>
      </c>
      <c r="E445">
        <f t="shared" si="35"/>
        <v>395.86778439269955</v>
      </c>
      <c r="F445">
        <f t="shared" si="36"/>
        <v>38.800861100442113</v>
      </c>
    </row>
    <row r="446" spans="1:6" x14ac:dyDescent="0.25">
      <c r="A446">
        <v>-393.54928369770641</v>
      </c>
      <c r="B446">
        <v>-18.393787548270986</v>
      </c>
      <c r="C446">
        <v>54.87270399999997</v>
      </c>
      <c r="E446">
        <f t="shared" si="35"/>
        <v>393.54928369770641</v>
      </c>
      <c r="F446">
        <f t="shared" si="36"/>
        <v>25.794489193355041</v>
      </c>
    </row>
    <row r="447" spans="1:6" x14ac:dyDescent="0.25">
      <c r="A447">
        <v>-385.56612605649701</v>
      </c>
      <c r="B447">
        <v>-41.387032208355073</v>
      </c>
      <c r="C447">
        <v>54.87270399999997</v>
      </c>
      <c r="E447">
        <f t="shared" si="35"/>
        <v>385.56612605649701</v>
      </c>
      <c r="F447">
        <f t="shared" si="36"/>
        <v>9.5358099727282095</v>
      </c>
    </row>
    <row r="448" spans="1:6" x14ac:dyDescent="0.25">
      <c r="A448">
        <v>-375.89155685251927</v>
      </c>
      <c r="B448">
        <v>-61.943515488887172</v>
      </c>
      <c r="C448">
        <v>54.87270399999997</v>
      </c>
      <c r="E448">
        <f t="shared" si="35"/>
        <v>375.89155685251927</v>
      </c>
      <c r="F448">
        <f t="shared" si="36"/>
        <v>-4.9998187522839288</v>
      </c>
    </row>
    <row r="449" spans="1:6" x14ac:dyDescent="0.25">
      <c r="A449">
        <v>-365.15421900578804</v>
      </c>
      <c r="B449">
        <v>-81.808913296700226</v>
      </c>
      <c r="C449">
        <v>54.87270399999997</v>
      </c>
      <c r="E449">
        <f t="shared" si="35"/>
        <v>365.15421900578804</v>
      </c>
      <c r="F449">
        <f t="shared" si="36"/>
        <v>-19.046776253156906</v>
      </c>
    </row>
    <row r="450" spans="1:6" x14ac:dyDescent="0.25">
      <c r="A450">
        <v>-355.89624613576888</v>
      </c>
      <c r="B450">
        <v>-97.409424376624258</v>
      </c>
      <c r="C450">
        <v>54.87270399999997</v>
      </c>
      <c r="E450">
        <f t="shared" si="35"/>
        <v>355.89624613576888</v>
      </c>
      <c r="F450">
        <f t="shared" si="36"/>
        <v>-30.078003427747056</v>
      </c>
    </row>
    <row r="451" spans="1:6" x14ac:dyDescent="0.25">
      <c r="A451">
        <v>-342.30759818257843</v>
      </c>
      <c r="B451">
        <v>-111.82417196553106</v>
      </c>
      <c r="C451">
        <v>54.87270399999997</v>
      </c>
      <c r="E451">
        <f t="shared" si="35"/>
        <v>342.30759818257843</v>
      </c>
      <c r="F451">
        <f t="shared" si="36"/>
        <v>-40.270769196955506</v>
      </c>
    </row>
    <row r="452" spans="1:6" x14ac:dyDescent="0.25">
      <c r="A452">
        <v>-322.85828701327938</v>
      </c>
      <c r="B452">
        <v>-121.12568078402485</v>
      </c>
      <c r="C452">
        <v>54.87270399999997</v>
      </c>
      <c r="E452">
        <f t="shared" si="35"/>
        <v>322.85828701327938</v>
      </c>
      <c r="F452">
        <f t="shared" si="36"/>
        <v>-46.847929157778928</v>
      </c>
    </row>
    <row r="453" spans="1:6" x14ac:dyDescent="0.25">
      <c r="A453">
        <v>-306.23123442260589</v>
      </c>
      <c r="B453">
        <v>-129.21334181572098</v>
      </c>
      <c r="C453">
        <v>54.87270399999997</v>
      </c>
      <c r="E453">
        <f t="shared" si="35"/>
        <v>306.23123442260589</v>
      </c>
      <c r="F453">
        <f t="shared" si="36"/>
        <v>-52.566769117229448</v>
      </c>
    </row>
    <row r="454" spans="1:6" x14ac:dyDescent="0.25">
      <c r="A454">
        <v>-291.56187973082535</v>
      </c>
      <c r="B454">
        <v>-136.91376869435558</v>
      </c>
      <c r="C454">
        <v>54.87270399999997</v>
      </c>
      <c r="E454">
        <f t="shared" si="35"/>
        <v>291.56187973082535</v>
      </c>
      <c r="F454">
        <f t="shared" si="36"/>
        <v>-58.01179318114314</v>
      </c>
    </row>
    <row r="455" spans="1:6" x14ac:dyDescent="0.25">
      <c r="A455">
        <v>-274.93398882661148</v>
      </c>
      <c r="B455">
        <v>-145.90543506617732</v>
      </c>
      <c r="C455">
        <v>54.87270399999997</v>
      </c>
      <c r="E455">
        <f t="shared" si="35"/>
        <v>274.93398882661148</v>
      </c>
      <c r="F455">
        <f t="shared" si="36"/>
        <v>-64.369861446825325</v>
      </c>
    </row>
    <row r="456" spans="1:6" x14ac:dyDescent="0.25">
      <c r="A456">
        <v>-256.60331186940914</v>
      </c>
      <c r="B456">
        <v>-156.3660134550357</v>
      </c>
      <c r="C456">
        <v>54.87270399999997</v>
      </c>
      <c r="E456">
        <f t="shared" si="35"/>
        <v>256.60331186940914</v>
      </c>
      <c r="F456">
        <f t="shared" si="36"/>
        <v>-71.766607360720542</v>
      </c>
    </row>
    <row r="457" spans="1:6" x14ac:dyDescent="0.25">
      <c r="A457">
        <v>-238.42975078322931</v>
      </c>
      <c r="B457">
        <v>-167.06542595638666</v>
      </c>
      <c r="C457">
        <v>54.87270399999997</v>
      </c>
      <c r="E457">
        <f t="shared" si="35"/>
        <v>238.42975078322931</v>
      </c>
      <c r="F457">
        <f t="shared" si="36"/>
        <v>-79.332234495137925</v>
      </c>
    </row>
    <row r="458" spans="1:6" x14ac:dyDescent="0.25">
      <c r="A458">
        <v>-219.32245354269722</v>
      </c>
      <c r="B458">
        <v>-178.86653699521284</v>
      </c>
      <c r="C458">
        <v>54.87270399999997</v>
      </c>
      <c r="E458">
        <f t="shared" si="35"/>
        <v>219.32245354269722</v>
      </c>
      <c r="F458">
        <f t="shared" si="36"/>
        <v>-87.676880136227339</v>
      </c>
    </row>
    <row r="459" spans="1:6" x14ac:dyDescent="0.25">
      <c r="A459">
        <v>-197.30339130977501</v>
      </c>
      <c r="B459">
        <v>-194.0300139667219</v>
      </c>
      <c r="C459">
        <v>54.87270399999997</v>
      </c>
      <c r="E459">
        <f t="shared" si="35"/>
        <v>197.30339130977501</v>
      </c>
      <c r="F459">
        <f t="shared" si="36"/>
        <v>-98.399077529147434</v>
      </c>
    </row>
    <row r="460" spans="1:6" x14ac:dyDescent="0.25">
      <c r="A460">
        <v>-175.14000577585963</v>
      </c>
      <c r="B460">
        <v>-209.50341408287409</v>
      </c>
      <c r="C460">
        <v>54.87270399999997</v>
      </c>
      <c r="E460">
        <f t="shared" si="35"/>
        <v>175.14000577585963</v>
      </c>
      <c r="F460">
        <f t="shared" si="36"/>
        <v>-109.34042367929138</v>
      </c>
    </row>
    <row r="461" spans="1:6" x14ac:dyDescent="0.25">
      <c r="A461">
        <v>-137.20739452530759</v>
      </c>
      <c r="B461">
        <v>-229.17297016507038</v>
      </c>
      <c r="C461">
        <v>54.87270399999997</v>
      </c>
      <c r="E461">
        <f t="shared" si="35"/>
        <v>137.20739452530759</v>
      </c>
      <c r="F461">
        <f t="shared" si="36"/>
        <v>-123.24890016794143</v>
      </c>
    </row>
    <row r="462" spans="1:6" x14ac:dyDescent="0.25">
      <c r="A462">
        <v>-68.484394621347008</v>
      </c>
      <c r="B462">
        <v>-244.71855611976844</v>
      </c>
      <c r="C462">
        <v>54.87270399999997</v>
      </c>
      <c r="E462">
        <f t="shared" si="35"/>
        <v>68.484394621347008</v>
      </c>
      <c r="F462">
        <f t="shared" si="36"/>
        <v>-134.2412894140268</v>
      </c>
    </row>
    <row r="463" spans="1:6" x14ac:dyDescent="0.25">
      <c r="A463">
        <v>6.812718450232432E-14</v>
      </c>
      <c r="B463">
        <v>-248.65752274291532</v>
      </c>
      <c r="C463">
        <v>54.87270399999997</v>
      </c>
      <c r="E463">
        <f t="shared" si="35"/>
        <v>-6.1404463650098524E-14</v>
      </c>
      <c r="F463">
        <f t="shared" si="36"/>
        <v>-137.02655942412142</v>
      </c>
    </row>
    <row r="464" spans="1:6" x14ac:dyDescent="0.25">
      <c r="A464">
        <v>68.484394621346837</v>
      </c>
      <c r="B464">
        <v>-244.71855611976844</v>
      </c>
      <c r="C464">
        <v>54.87270399999997</v>
      </c>
      <c r="E464">
        <f t="shared" si="35"/>
        <v>-68.484394621346837</v>
      </c>
      <c r="F464">
        <f t="shared" si="36"/>
        <v>-134.2412894140268</v>
      </c>
    </row>
    <row r="465" spans="1:6" x14ac:dyDescent="0.25">
      <c r="A465">
        <v>137.20739452530771</v>
      </c>
      <c r="B465">
        <v>-229.17297016507052</v>
      </c>
      <c r="C465">
        <v>54.87270399999997</v>
      </c>
      <c r="E465">
        <f t="shared" si="35"/>
        <v>-137.20739452530771</v>
      </c>
      <c r="F465">
        <f t="shared" si="36"/>
        <v>-123.24890016794154</v>
      </c>
    </row>
    <row r="466" spans="1:6" x14ac:dyDescent="0.25">
      <c r="A466">
        <v>175.14000577585969</v>
      </c>
      <c r="B466">
        <v>-209.50341408287412</v>
      </c>
      <c r="C466">
        <v>54.87270399999997</v>
      </c>
      <c r="E466">
        <f t="shared" si="35"/>
        <v>-175.14000577585969</v>
      </c>
      <c r="F466">
        <f t="shared" si="36"/>
        <v>-109.34042367929132</v>
      </c>
    </row>
    <row r="467" spans="1:6" x14ac:dyDescent="0.25">
      <c r="A467">
        <v>197.30339130977492</v>
      </c>
      <c r="B467">
        <v>-194.03001396672184</v>
      </c>
      <c r="C467">
        <v>54.87270399999997</v>
      </c>
      <c r="E467">
        <f t="shared" si="35"/>
        <v>-197.30339130977492</v>
      </c>
      <c r="F467">
        <f t="shared" si="36"/>
        <v>-98.399077529147348</v>
      </c>
    </row>
    <row r="468" spans="1:6" x14ac:dyDescent="0.25">
      <c r="A468">
        <v>219.32245354269725</v>
      </c>
      <c r="B468">
        <v>-178.86653699521295</v>
      </c>
      <c r="C468">
        <v>54.87270399999997</v>
      </c>
      <c r="E468">
        <f t="shared" ref="E468:E531" si="37">($I$2*A468)+($K$2*B468)+($M$2*C468)</f>
        <v>-219.32245354269725</v>
      </c>
      <c r="F468">
        <f t="shared" ref="F468:F531" si="38">($J$2*A468)+($L$2*B468)+($N$2*C468)</f>
        <v>-87.676880136227368</v>
      </c>
    </row>
    <row r="469" spans="1:6" x14ac:dyDescent="0.25">
      <c r="A469">
        <v>238.42975078322911</v>
      </c>
      <c r="B469">
        <v>-167.06542595638669</v>
      </c>
      <c r="C469">
        <v>54.87270399999997</v>
      </c>
      <c r="E469">
        <f t="shared" si="37"/>
        <v>-238.42975078322911</v>
      </c>
      <c r="F469">
        <f t="shared" si="38"/>
        <v>-79.332234495137897</v>
      </c>
    </row>
    <row r="470" spans="1:6" x14ac:dyDescent="0.25">
      <c r="A470">
        <v>256.60331186940903</v>
      </c>
      <c r="B470">
        <v>-156.36601345503578</v>
      </c>
      <c r="C470">
        <v>54.87270399999997</v>
      </c>
      <c r="E470">
        <f t="shared" si="37"/>
        <v>-256.60331186940903</v>
      </c>
      <c r="F470">
        <f t="shared" si="38"/>
        <v>-71.766607360720542</v>
      </c>
    </row>
    <row r="471" spans="1:6" x14ac:dyDescent="0.25">
      <c r="A471">
        <v>274.93398882661148</v>
      </c>
      <c r="B471">
        <v>-145.90543506617729</v>
      </c>
      <c r="C471">
        <v>54.87270399999997</v>
      </c>
      <c r="E471">
        <f t="shared" si="37"/>
        <v>-274.93398882661148</v>
      </c>
      <c r="F471">
        <f t="shared" si="38"/>
        <v>-64.36986144682524</v>
      </c>
    </row>
    <row r="472" spans="1:6" x14ac:dyDescent="0.25">
      <c r="A472">
        <v>291.56187973082552</v>
      </c>
      <c r="B472">
        <v>-136.91376869435567</v>
      </c>
      <c r="C472">
        <v>54.87270399999997</v>
      </c>
      <c r="E472">
        <f t="shared" si="37"/>
        <v>-291.56187973082552</v>
      </c>
      <c r="F472">
        <f t="shared" si="38"/>
        <v>-58.01179318114314</v>
      </c>
    </row>
    <row r="473" spans="1:6" x14ac:dyDescent="0.25">
      <c r="A473">
        <v>306.23123442260584</v>
      </c>
      <c r="B473">
        <v>-129.21334181572098</v>
      </c>
      <c r="C473">
        <v>54.87270399999997</v>
      </c>
      <c r="E473">
        <f t="shared" si="37"/>
        <v>-306.23123442260584</v>
      </c>
      <c r="F473">
        <f t="shared" si="38"/>
        <v>-52.566769117229391</v>
      </c>
    </row>
    <row r="474" spans="1:6" x14ac:dyDescent="0.25">
      <c r="A474">
        <v>322.85828701327927</v>
      </c>
      <c r="B474">
        <v>-121.12568078402481</v>
      </c>
      <c r="C474">
        <v>54.87270399999997</v>
      </c>
      <c r="E474">
        <f t="shared" si="37"/>
        <v>-322.85828701327927</v>
      </c>
      <c r="F474">
        <f t="shared" si="38"/>
        <v>-46.847929157778843</v>
      </c>
    </row>
    <row r="475" spans="1:6" x14ac:dyDescent="0.25">
      <c r="A475">
        <v>342.30759818257837</v>
      </c>
      <c r="B475">
        <v>-111.82417196553104</v>
      </c>
      <c r="C475">
        <v>54.87270399999997</v>
      </c>
      <c r="E475">
        <f t="shared" si="37"/>
        <v>-342.30759818257837</v>
      </c>
      <c r="F475">
        <f t="shared" si="38"/>
        <v>-40.27076919695542</v>
      </c>
    </row>
    <row r="476" spans="1:6" x14ac:dyDescent="0.25">
      <c r="A476">
        <v>355.89624613576882</v>
      </c>
      <c r="B476">
        <v>-97.409424376624202</v>
      </c>
      <c r="C476">
        <v>54.87270399999997</v>
      </c>
      <c r="E476">
        <f t="shared" si="37"/>
        <v>-355.89624613576882</v>
      </c>
      <c r="F476">
        <f t="shared" si="38"/>
        <v>-30.078003427746971</v>
      </c>
    </row>
    <row r="477" spans="1:6" x14ac:dyDescent="0.25">
      <c r="A477">
        <v>365.15421900578798</v>
      </c>
      <c r="B477">
        <v>-81.808913296700212</v>
      </c>
      <c r="C477">
        <v>54.87270399999997</v>
      </c>
      <c r="E477">
        <f t="shared" si="37"/>
        <v>-365.15421900578798</v>
      </c>
      <c r="F477">
        <f t="shared" si="38"/>
        <v>-19.046776253156843</v>
      </c>
    </row>
    <row r="478" spans="1:6" x14ac:dyDescent="0.25">
      <c r="A478">
        <v>375.89155685251922</v>
      </c>
      <c r="B478">
        <v>-61.943515488887144</v>
      </c>
      <c r="C478">
        <v>54.87270399999997</v>
      </c>
      <c r="E478">
        <f t="shared" si="37"/>
        <v>-375.89155685251922</v>
      </c>
      <c r="F478">
        <f t="shared" si="38"/>
        <v>-4.9998187522838364</v>
      </c>
    </row>
    <row r="479" spans="1:6" x14ac:dyDescent="0.25">
      <c r="A479">
        <v>385.56612605649701</v>
      </c>
      <c r="B479">
        <v>-41.387032208355166</v>
      </c>
      <c r="C479">
        <v>54.87270399999997</v>
      </c>
      <c r="E479">
        <f t="shared" si="37"/>
        <v>-385.56612605649701</v>
      </c>
      <c r="F479">
        <f t="shared" si="38"/>
        <v>9.5358099727282095</v>
      </c>
    </row>
    <row r="480" spans="1:6" x14ac:dyDescent="0.25">
      <c r="A480">
        <v>393.54928369770624</v>
      </c>
      <c r="B480">
        <v>-18.393787548270922</v>
      </c>
      <c r="C480">
        <v>54.87270399999997</v>
      </c>
      <c r="E480">
        <f t="shared" si="37"/>
        <v>-393.54928369770624</v>
      </c>
      <c r="F480">
        <f t="shared" si="38"/>
        <v>25.794489193355155</v>
      </c>
    </row>
    <row r="481" spans="1:6" x14ac:dyDescent="0.25">
      <c r="A481">
        <v>395.86778439269955</v>
      </c>
      <c r="B481">
        <v>0</v>
      </c>
      <c r="C481">
        <v>54.87270399999997</v>
      </c>
      <c r="E481">
        <f t="shared" si="37"/>
        <v>-395.86778439269955</v>
      </c>
      <c r="F481">
        <f t="shared" si="38"/>
        <v>38.800861100442205</v>
      </c>
    </row>
    <row r="482" spans="1:6" x14ac:dyDescent="0.25">
      <c r="A482">
        <v>393.54928369770624</v>
      </c>
      <c r="B482">
        <v>18.393787548270939</v>
      </c>
      <c r="C482">
        <v>54.87270399999997</v>
      </c>
      <c r="E482">
        <f t="shared" si="37"/>
        <v>-393.54928369770624</v>
      </c>
      <c r="F482">
        <f t="shared" si="38"/>
        <v>51.807233007529263</v>
      </c>
    </row>
    <row r="483" spans="1:6" x14ac:dyDescent="0.25">
      <c r="A483">
        <v>385.56612605649713</v>
      </c>
      <c r="B483">
        <v>41.387032208355073</v>
      </c>
      <c r="C483">
        <v>54.87270399999997</v>
      </c>
      <c r="E483">
        <f t="shared" si="37"/>
        <v>-385.56612605649713</v>
      </c>
      <c r="F483">
        <f t="shared" si="38"/>
        <v>68.065912228156122</v>
      </c>
    </row>
    <row r="484" spans="1:6" x14ac:dyDescent="0.25">
      <c r="A484">
        <v>375.89155685251939</v>
      </c>
      <c r="B484">
        <v>61.943515488887144</v>
      </c>
      <c r="C484">
        <v>54.87270399999997</v>
      </c>
      <c r="E484">
        <f t="shared" si="37"/>
        <v>-375.89155685251939</v>
      </c>
      <c r="F484">
        <f t="shared" si="38"/>
        <v>82.601540953168239</v>
      </c>
    </row>
    <row r="485" spans="1:6" x14ac:dyDescent="0.25">
      <c r="A485">
        <v>365.15421900578798</v>
      </c>
      <c r="B485">
        <v>81.808913296700212</v>
      </c>
      <c r="C485">
        <v>54.87270399999997</v>
      </c>
      <c r="E485">
        <f t="shared" si="37"/>
        <v>-365.15421900578798</v>
      </c>
      <c r="F485">
        <f t="shared" si="38"/>
        <v>96.648498454041231</v>
      </c>
    </row>
    <row r="486" spans="1:6" x14ac:dyDescent="0.25">
      <c r="A486">
        <v>355.89624613576882</v>
      </c>
      <c r="B486">
        <v>97.409424376624202</v>
      </c>
      <c r="C486">
        <v>54.87270399999997</v>
      </c>
      <c r="E486">
        <f t="shared" si="37"/>
        <v>-355.89624613576882</v>
      </c>
      <c r="F486">
        <f t="shared" si="38"/>
        <v>107.67972562863136</v>
      </c>
    </row>
    <row r="487" spans="1:6" x14ac:dyDescent="0.25">
      <c r="A487">
        <v>342.30759818257837</v>
      </c>
      <c r="B487">
        <v>111.82417196553104</v>
      </c>
      <c r="C487">
        <v>54.87270399999997</v>
      </c>
      <c r="E487">
        <f t="shared" si="37"/>
        <v>-342.30759818257837</v>
      </c>
      <c r="F487">
        <f t="shared" si="38"/>
        <v>117.87249139783981</v>
      </c>
    </row>
    <row r="488" spans="1:6" x14ac:dyDescent="0.25">
      <c r="A488">
        <v>322.85828701327955</v>
      </c>
      <c r="B488">
        <v>121.12568078402482</v>
      </c>
      <c r="C488">
        <v>54.87270399999997</v>
      </c>
      <c r="E488">
        <f t="shared" si="37"/>
        <v>-322.85828701327955</v>
      </c>
      <c r="F488">
        <f t="shared" si="38"/>
        <v>124.44965135866326</v>
      </c>
    </row>
    <row r="489" spans="1:6" x14ac:dyDescent="0.25">
      <c r="A489">
        <v>306.23123442260595</v>
      </c>
      <c r="B489">
        <v>129.21334181572098</v>
      </c>
      <c r="C489">
        <v>54.87270399999997</v>
      </c>
      <c r="E489">
        <f t="shared" si="37"/>
        <v>-306.23123442260595</v>
      </c>
      <c r="F489">
        <f t="shared" si="38"/>
        <v>130.16849131811378</v>
      </c>
    </row>
    <row r="490" spans="1:6" x14ac:dyDescent="0.25">
      <c r="A490">
        <v>291.56187973082541</v>
      </c>
      <c r="B490">
        <v>136.91376869435558</v>
      </c>
      <c r="C490">
        <v>54.87270399999997</v>
      </c>
      <c r="E490">
        <f t="shared" si="37"/>
        <v>-291.56187973082541</v>
      </c>
      <c r="F490">
        <f t="shared" si="38"/>
        <v>135.61351538202749</v>
      </c>
    </row>
    <row r="491" spans="1:6" x14ac:dyDescent="0.25">
      <c r="A491">
        <v>274.93398882661148</v>
      </c>
      <c r="B491">
        <v>145.90543506617723</v>
      </c>
      <c r="C491">
        <v>54.87270399999997</v>
      </c>
      <c r="E491">
        <f t="shared" si="37"/>
        <v>-274.93398882661148</v>
      </c>
      <c r="F491">
        <f t="shared" si="38"/>
        <v>141.97158364770962</v>
      </c>
    </row>
    <row r="492" spans="1:6" x14ac:dyDescent="0.25">
      <c r="A492">
        <v>256.6033118694092</v>
      </c>
      <c r="B492">
        <v>156.36601345503576</v>
      </c>
      <c r="C492">
        <v>54.87270399999997</v>
      </c>
      <c r="E492">
        <f t="shared" si="37"/>
        <v>-256.6033118694092</v>
      </c>
      <c r="F492">
        <f t="shared" si="38"/>
        <v>149.36832956160492</v>
      </c>
    </row>
    <row r="493" spans="1:6" x14ac:dyDescent="0.25">
      <c r="A493">
        <v>238.42975078322937</v>
      </c>
      <c r="B493">
        <v>167.0654259563866</v>
      </c>
      <c r="C493">
        <v>54.87270399999997</v>
      </c>
      <c r="E493">
        <f t="shared" si="37"/>
        <v>-238.42975078322937</v>
      </c>
      <c r="F493">
        <f t="shared" si="38"/>
        <v>156.93395669602222</v>
      </c>
    </row>
    <row r="494" spans="1:6" x14ac:dyDescent="0.25">
      <c r="A494">
        <v>219.32245354269739</v>
      </c>
      <c r="B494">
        <v>178.86653699521284</v>
      </c>
      <c r="C494">
        <v>54.87270399999997</v>
      </c>
      <c r="E494">
        <f t="shared" si="37"/>
        <v>-219.32245354269739</v>
      </c>
      <c r="F494">
        <f t="shared" si="38"/>
        <v>165.27860233711166</v>
      </c>
    </row>
    <row r="495" spans="1:6" x14ac:dyDescent="0.25">
      <c r="A495">
        <v>197.30339130977512</v>
      </c>
      <c r="B495">
        <v>194.03001396672181</v>
      </c>
      <c r="C495">
        <v>54.87270399999997</v>
      </c>
      <c r="E495">
        <f t="shared" si="37"/>
        <v>-197.30339130977512</v>
      </c>
      <c r="F495">
        <f t="shared" si="38"/>
        <v>176.00079973003173</v>
      </c>
    </row>
    <row r="496" spans="1:6" x14ac:dyDescent="0.25">
      <c r="A496">
        <v>175.14000577585961</v>
      </c>
      <c r="B496">
        <v>209.50341408287409</v>
      </c>
      <c r="C496">
        <v>54.87270399999997</v>
      </c>
      <c r="E496">
        <f t="shared" si="37"/>
        <v>-175.14000577585961</v>
      </c>
      <c r="F496">
        <f t="shared" si="38"/>
        <v>186.94214588017573</v>
      </c>
    </row>
    <row r="497" spans="1:6" x14ac:dyDescent="0.25">
      <c r="A497">
        <v>137.20739452530751</v>
      </c>
      <c r="B497">
        <v>229.17297016507058</v>
      </c>
      <c r="C497">
        <v>54.87270399999997</v>
      </c>
      <c r="E497">
        <f t="shared" si="37"/>
        <v>-137.20739452530751</v>
      </c>
      <c r="F497">
        <f t="shared" si="38"/>
        <v>200.85062236882592</v>
      </c>
    </row>
    <row r="498" spans="1:6" x14ac:dyDescent="0.25">
      <c r="A498">
        <v>68.484394621346837</v>
      </c>
      <c r="B498">
        <v>244.71855611976849</v>
      </c>
      <c r="C498">
        <v>54.87270399999997</v>
      </c>
      <c r="E498">
        <f t="shared" si="37"/>
        <v>-68.484394621346837</v>
      </c>
      <c r="F498">
        <f t="shared" si="38"/>
        <v>211.84301161491118</v>
      </c>
    </row>
    <row r="499" spans="1:6" x14ac:dyDescent="0.25">
      <c r="A499">
        <v>7.2976638673886973E-14</v>
      </c>
      <c r="B499">
        <v>248.6575227429154</v>
      </c>
      <c r="C499">
        <v>54.87270399999997</v>
      </c>
      <c r="E499">
        <f t="shared" si="37"/>
        <v>-6.6253917821661177E-14</v>
      </c>
      <c r="F499">
        <f t="shared" si="38"/>
        <v>214.62828162500583</v>
      </c>
    </row>
    <row r="500" spans="1:6" x14ac:dyDescent="0.25">
      <c r="A500">
        <v>-68.48439462134678</v>
      </c>
      <c r="B500">
        <v>244.71855611976832</v>
      </c>
      <c r="C500">
        <v>54.87270399999997</v>
      </c>
      <c r="E500">
        <f t="shared" si="37"/>
        <v>68.48439462134678</v>
      </c>
      <c r="F500">
        <f t="shared" si="38"/>
        <v>211.84301161491106</v>
      </c>
    </row>
    <row r="501" spans="1:6" x14ac:dyDescent="0.25">
      <c r="A501">
        <v>-137.20739452530745</v>
      </c>
      <c r="B501">
        <v>229.17297016507058</v>
      </c>
      <c r="C501">
        <v>54.87270399999997</v>
      </c>
      <c r="E501">
        <f t="shared" si="37"/>
        <v>137.20739452530745</v>
      </c>
      <c r="F501">
        <f t="shared" si="38"/>
        <v>200.85062236882592</v>
      </c>
    </row>
    <row r="502" spans="1:6" x14ac:dyDescent="0.25">
      <c r="A502">
        <v>-175.14000577585961</v>
      </c>
      <c r="B502">
        <v>209.50341408287412</v>
      </c>
      <c r="C502">
        <v>54.87270399999997</v>
      </c>
      <c r="E502">
        <f t="shared" si="37"/>
        <v>175.14000577585961</v>
      </c>
      <c r="F502">
        <f t="shared" si="38"/>
        <v>186.94214588017567</v>
      </c>
    </row>
    <row r="503" spans="1:6" x14ac:dyDescent="0.25">
      <c r="A503">
        <v>-197.30339130977484</v>
      </c>
      <c r="B503">
        <v>194.03001396672198</v>
      </c>
      <c r="C503">
        <v>54.87270399999997</v>
      </c>
      <c r="E503">
        <f t="shared" si="37"/>
        <v>197.30339130977484</v>
      </c>
      <c r="F503">
        <f t="shared" si="38"/>
        <v>176.00079973003179</v>
      </c>
    </row>
    <row r="504" spans="1:6" x14ac:dyDescent="0.25">
      <c r="A504">
        <v>-219.3224535426971</v>
      </c>
      <c r="B504">
        <v>178.86653699521298</v>
      </c>
      <c r="C504">
        <v>54.87270399999997</v>
      </c>
      <c r="E504">
        <f t="shared" si="37"/>
        <v>219.3224535426971</v>
      </c>
      <c r="F504">
        <f t="shared" si="38"/>
        <v>165.27860233711175</v>
      </c>
    </row>
    <row r="505" spans="1:6" x14ac:dyDescent="0.25">
      <c r="A505">
        <v>-238.42975078322931</v>
      </c>
      <c r="B505">
        <v>167.06542595638669</v>
      </c>
      <c r="C505">
        <v>54.87270399999997</v>
      </c>
      <c r="E505">
        <f t="shared" si="37"/>
        <v>238.42975078322931</v>
      </c>
      <c r="F505">
        <f t="shared" si="38"/>
        <v>156.93395669602225</v>
      </c>
    </row>
    <row r="506" spans="1:6" x14ac:dyDescent="0.25">
      <c r="A506">
        <v>-256.60331186940914</v>
      </c>
      <c r="B506">
        <v>156.3660134550357</v>
      </c>
      <c r="C506">
        <v>54.87270399999997</v>
      </c>
      <c r="E506">
        <f t="shared" si="37"/>
        <v>256.60331186940914</v>
      </c>
      <c r="F506">
        <f t="shared" si="38"/>
        <v>149.36832956160481</v>
      </c>
    </row>
    <row r="507" spans="1:6" x14ac:dyDescent="0.25">
      <c r="A507">
        <v>-274.93398882661143</v>
      </c>
      <c r="B507">
        <v>145.90543506617732</v>
      </c>
      <c r="C507">
        <v>54.87270399999997</v>
      </c>
      <c r="E507">
        <f t="shared" si="37"/>
        <v>274.93398882661143</v>
      </c>
      <c r="F507">
        <f t="shared" si="38"/>
        <v>141.97158364770962</v>
      </c>
    </row>
    <row r="508" spans="1:6" x14ac:dyDescent="0.25">
      <c r="A508">
        <v>-291.56187973082547</v>
      </c>
      <c r="B508">
        <v>136.91376869435555</v>
      </c>
      <c r="C508">
        <v>54.87270399999997</v>
      </c>
      <c r="E508">
        <f t="shared" si="37"/>
        <v>291.56187973082547</v>
      </c>
      <c r="F508">
        <f t="shared" si="38"/>
        <v>135.6135153820274</v>
      </c>
    </row>
    <row r="509" spans="1:6" x14ac:dyDescent="0.25">
      <c r="A509">
        <v>-306.23123442260578</v>
      </c>
      <c r="B509">
        <v>129.21334181572098</v>
      </c>
      <c r="C509">
        <v>54.87270399999997</v>
      </c>
      <c r="E509">
        <f t="shared" si="37"/>
        <v>306.23123442260578</v>
      </c>
      <c r="F509">
        <f t="shared" si="38"/>
        <v>130.16849131811372</v>
      </c>
    </row>
    <row r="510" spans="1:6" x14ac:dyDescent="0.25">
      <c r="A510">
        <v>-322.85828701327938</v>
      </c>
      <c r="B510">
        <v>121.12568078402487</v>
      </c>
      <c r="C510">
        <v>54.87270399999997</v>
      </c>
      <c r="E510">
        <f t="shared" si="37"/>
        <v>322.85828701327938</v>
      </c>
      <c r="F510">
        <f t="shared" si="38"/>
        <v>124.44965135866323</v>
      </c>
    </row>
    <row r="511" spans="1:6" x14ac:dyDescent="0.25">
      <c r="A511">
        <v>-342.30759818257837</v>
      </c>
      <c r="B511">
        <v>111.82417196553111</v>
      </c>
      <c r="C511">
        <v>54.87270399999997</v>
      </c>
      <c r="E511">
        <f t="shared" si="37"/>
        <v>342.30759818257837</v>
      </c>
      <c r="F511">
        <f t="shared" si="38"/>
        <v>117.87249139783981</v>
      </c>
    </row>
    <row r="512" spans="1:6" x14ac:dyDescent="0.25">
      <c r="A512">
        <v>-355.89624613576882</v>
      </c>
      <c r="B512">
        <v>97.409424376624358</v>
      </c>
      <c r="C512">
        <v>54.87270399999997</v>
      </c>
      <c r="E512">
        <f t="shared" si="37"/>
        <v>355.89624613576882</v>
      </c>
      <c r="F512">
        <f t="shared" si="38"/>
        <v>107.67972562863142</v>
      </c>
    </row>
    <row r="513" spans="1:6" x14ac:dyDescent="0.25">
      <c r="A513">
        <v>-365.15421900578815</v>
      </c>
      <c r="B513">
        <v>81.808913296700368</v>
      </c>
      <c r="C513">
        <v>54.87270399999997</v>
      </c>
      <c r="E513">
        <f t="shared" si="37"/>
        <v>365.15421900578815</v>
      </c>
      <c r="F513">
        <f t="shared" si="38"/>
        <v>96.648498454041288</v>
      </c>
    </row>
    <row r="514" spans="1:6" x14ac:dyDescent="0.25">
      <c r="A514">
        <v>-375.89155685251944</v>
      </c>
      <c r="B514">
        <v>61.943515488887073</v>
      </c>
      <c r="C514">
        <v>54.87270399999997</v>
      </c>
      <c r="E514">
        <f t="shared" si="37"/>
        <v>375.89155685251944</v>
      </c>
      <c r="F514">
        <f t="shared" si="38"/>
        <v>82.601540953168126</v>
      </c>
    </row>
    <row r="515" spans="1:6" x14ac:dyDescent="0.25">
      <c r="A515">
        <v>-385.56612605649713</v>
      </c>
      <c r="B515">
        <v>41.387032208355073</v>
      </c>
      <c r="C515">
        <v>54.87270399999997</v>
      </c>
      <c r="E515">
        <f t="shared" si="37"/>
        <v>385.56612605649713</v>
      </c>
      <c r="F515">
        <f t="shared" si="38"/>
        <v>68.065912228156066</v>
      </c>
    </row>
    <row r="516" spans="1:6" x14ac:dyDescent="0.25">
      <c r="A516">
        <v>-449.43721720266967</v>
      </c>
      <c r="B516">
        <v>-3.8009705565185659E-14</v>
      </c>
      <c r="C516">
        <v>134.95148799999998</v>
      </c>
      <c r="E516">
        <f t="shared" si="37"/>
        <v>449.43721720266967</v>
      </c>
      <c r="F516">
        <f t="shared" si="38"/>
        <v>95.425112296014902</v>
      </c>
    </row>
    <row r="517" spans="1:6" x14ac:dyDescent="0.25">
      <c r="A517">
        <v>-442.47761679767859</v>
      </c>
      <c r="B517">
        <v>-19.879515899861115</v>
      </c>
      <c r="C517">
        <v>134.95148799999998</v>
      </c>
      <c r="E517">
        <f t="shared" si="37"/>
        <v>442.47761679767859</v>
      </c>
      <c r="F517">
        <f t="shared" si="38"/>
        <v>81.368171796517345</v>
      </c>
    </row>
    <row r="518" spans="1:6" x14ac:dyDescent="0.25">
      <c r="A518">
        <v>-434.69288083825688</v>
      </c>
      <c r="B518">
        <v>-40.341995917805768</v>
      </c>
      <c r="C518">
        <v>134.95148799999998</v>
      </c>
      <c r="E518">
        <f t="shared" si="37"/>
        <v>434.69288083825688</v>
      </c>
      <c r="F518">
        <f t="shared" si="38"/>
        <v>66.899013415934462</v>
      </c>
    </row>
    <row r="519" spans="1:6" x14ac:dyDescent="0.25">
      <c r="A519">
        <v>-426.3621427246058</v>
      </c>
      <c r="B519">
        <v>-60.215751441573808</v>
      </c>
      <c r="C519">
        <v>134.95148799999998</v>
      </c>
      <c r="E519">
        <f t="shared" si="37"/>
        <v>426.3621427246058</v>
      </c>
      <c r="F519">
        <f t="shared" si="38"/>
        <v>52.846146117434472</v>
      </c>
    </row>
    <row r="520" spans="1:6" x14ac:dyDescent="0.25">
      <c r="A520">
        <v>-416.95169462772174</v>
      </c>
      <c r="B520">
        <v>-80.125273146654848</v>
      </c>
      <c r="C520">
        <v>134.95148799999998</v>
      </c>
      <c r="E520">
        <f t="shared" si="37"/>
        <v>416.95169462772174</v>
      </c>
      <c r="F520">
        <f t="shared" si="38"/>
        <v>38.767988309590912</v>
      </c>
    </row>
    <row r="521" spans="1:6" x14ac:dyDescent="0.25">
      <c r="A521">
        <v>-386.65586570004155</v>
      </c>
      <c r="B521">
        <v>-99.138953371849411</v>
      </c>
      <c r="C521">
        <v>134.95148799999998</v>
      </c>
      <c r="E521">
        <f t="shared" si="37"/>
        <v>386.65586570004155</v>
      </c>
      <c r="F521">
        <f t="shared" si="38"/>
        <v>25.323286087043286</v>
      </c>
    </row>
    <row r="522" spans="1:6" x14ac:dyDescent="0.25">
      <c r="A522">
        <v>-364.03937450878061</v>
      </c>
      <c r="B522">
        <v>-112.57729967412283</v>
      </c>
      <c r="C522">
        <v>134.95148799999998</v>
      </c>
      <c r="E522">
        <f t="shared" si="37"/>
        <v>364.03937450878061</v>
      </c>
      <c r="F522">
        <f t="shared" si="38"/>
        <v>15.820940288772576</v>
      </c>
    </row>
    <row r="523" spans="1:6" x14ac:dyDescent="0.25">
      <c r="A523">
        <v>-344.12501366334254</v>
      </c>
      <c r="B523">
        <v>-123.0124186977332</v>
      </c>
      <c r="C523">
        <v>134.95148799999998</v>
      </c>
      <c r="E523">
        <f t="shared" si="37"/>
        <v>344.12501366334254</v>
      </c>
      <c r="F523">
        <f t="shared" si="38"/>
        <v>8.4421968646889383</v>
      </c>
    </row>
    <row r="524" spans="1:6" x14ac:dyDescent="0.25">
      <c r="A524">
        <v>-326.49710486667345</v>
      </c>
      <c r="B524">
        <v>-132.29423479495065</v>
      </c>
      <c r="C524">
        <v>134.95148799999998</v>
      </c>
      <c r="E524">
        <f t="shared" si="37"/>
        <v>326.49710486667345</v>
      </c>
      <c r="F524">
        <f t="shared" si="38"/>
        <v>1.8789617606200295</v>
      </c>
    </row>
    <row r="525" spans="1:6" x14ac:dyDescent="0.25">
      <c r="A525">
        <v>-306.08288835211334</v>
      </c>
      <c r="B525">
        <v>-142.66488802503019</v>
      </c>
      <c r="C525">
        <v>134.95148799999998</v>
      </c>
      <c r="E525">
        <f t="shared" si="37"/>
        <v>306.08288835211334</v>
      </c>
      <c r="F525">
        <f t="shared" si="38"/>
        <v>-5.4541974637033945</v>
      </c>
    </row>
    <row r="526" spans="1:6" x14ac:dyDescent="0.25">
      <c r="A526">
        <v>-287.27248254009692</v>
      </c>
      <c r="B526">
        <v>-152.78153992391759</v>
      </c>
      <c r="C526">
        <v>134.95148799999998</v>
      </c>
      <c r="E526">
        <f t="shared" si="37"/>
        <v>287.27248254009692</v>
      </c>
      <c r="F526">
        <f t="shared" si="38"/>
        <v>-12.607750624310441</v>
      </c>
    </row>
    <row r="527" spans="1:6" x14ac:dyDescent="0.25">
      <c r="A527">
        <v>-269.16942942459542</v>
      </c>
      <c r="B527">
        <v>-163.30956724120588</v>
      </c>
      <c r="C527">
        <v>134.95148799999998</v>
      </c>
      <c r="E527">
        <f t="shared" si="37"/>
        <v>269.16942942459542</v>
      </c>
      <c r="F527">
        <f t="shared" si="38"/>
        <v>-20.052190132882203</v>
      </c>
    </row>
    <row r="528" spans="1:6" x14ac:dyDescent="0.25">
      <c r="A528">
        <v>-250.84549329875338</v>
      </c>
      <c r="B528">
        <v>-174.99426940149806</v>
      </c>
      <c r="C528">
        <v>134.95148799999998</v>
      </c>
      <c r="E528">
        <f t="shared" si="37"/>
        <v>250.84549329875341</v>
      </c>
      <c r="F528">
        <f t="shared" si="38"/>
        <v>-28.314522266569895</v>
      </c>
    </row>
    <row r="529" spans="1:6" x14ac:dyDescent="0.25">
      <c r="A529">
        <v>-231.04034946412892</v>
      </c>
      <c r="B529">
        <v>-188.89046433204618</v>
      </c>
      <c r="C529">
        <v>134.95148799999998</v>
      </c>
      <c r="E529">
        <f t="shared" si="37"/>
        <v>231.04034946412895</v>
      </c>
      <c r="F529">
        <f t="shared" si="38"/>
        <v>-38.140615934650597</v>
      </c>
    </row>
    <row r="530" spans="1:6" x14ac:dyDescent="0.25">
      <c r="A530">
        <v>-206.79155578127754</v>
      </c>
      <c r="B530">
        <v>-205.6377289659018</v>
      </c>
      <c r="C530">
        <v>134.95148799999998</v>
      </c>
      <c r="E530">
        <f t="shared" si="37"/>
        <v>206.79155578127757</v>
      </c>
      <c r="F530">
        <f t="shared" si="38"/>
        <v>-49.982720323575549</v>
      </c>
    </row>
    <row r="531" spans="1:6" x14ac:dyDescent="0.25">
      <c r="A531">
        <v>-175.61742728009648</v>
      </c>
      <c r="B531">
        <v>-227.25703578382857</v>
      </c>
      <c r="C531">
        <v>134.95148799999998</v>
      </c>
      <c r="E531">
        <f t="shared" si="37"/>
        <v>175.61742728009651</v>
      </c>
      <c r="F531">
        <f t="shared" si="38"/>
        <v>-65.269878779084124</v>
      </c>
    </row>
    <row r="532" spans="1:6" x14ac:dyDescent="0.25">
      <c r="A532">
        <v>-135.31257302063787</v>
      </c>
      <c r="B532">
        <v>-252.99683436163426</v>
      </c>
      <c r="C532">
        <v>134.95148799999998</v>
      </c>
      <c r="E532">
        <f t="shared" ref="E532:E595" si="39">($I$2*A532)+($K$2*B532)+($M$2*C532)</f>
        <v>135.3125730206379</v>
      </c>
      <c r="F532">
        <f t="shared" ref="F532:F595" si="40">($J$2*A532)+($L$2*B532)+($N$2*C532)</f>
        <v>-83.47066489982636</v>
      </c>
    </row>
    <row r="533" spans="1:6" x14ac:dyDescent="0.25">
      <c r="A533">
        <v>-70.639598448262362</v>
      </c>
      <c r="B533">
        <v>-279.3561988200924</v>
      </c>
      <c r="C533">
        <v>134.95148799999998</v>
      </c>
      <c r="E533">
        <f t="shared" si="39"/>
        <v>70.639598448262376</v>
      </c>
      <c r="F533">
        <f t="shared" si="40"/>
        <v>-102.10955025616978</v>
      </c>
    </row>
    <row r="534" spans="1:6" x14ac:dyDescent="0.25">
      <c r="A534">
        <v>7.5267192750548877E-14</v>
      </c>
      <c r="B534">
        <v>-284.69360329709377</v>
      </c>
      <c r="C534">
        <v>134.95148799999998</v>
      </c>
      <c r="E534">
        <f t="shared" si="39"/>
        <v>-5.8733632049466964E-14</v>
      </c>
      <c r="F534">
        <f t="shared" si="40"/>
        <v>-105.88366515579288</v>
      </c>
    </row>
    <row r="535" spans="1:6" x14ac:dyDescent="0.25">
      <c r="A535">
        <v>70.639598448262163</v>
      </c>
      <c r="B535">
        <v>-279.35619882009235</v>
      </c>
      <c r="C535">
        <v>134.95148799999998</v>
      </c>
      <c r="E535">
        <f t="shared" si="39"/>
        <v>-70.639598448262149</v>
      </c>
      <c r="F535">
        <f t="shared" si="40"/>
        <v>-102.10955025616975</v>
      </c>
    </row>
    <row r="536" spans="1:6" x14ac:dyDescent="0.25">
      <c r="A536">
        <v>135.31257302063801</v>
      </c>
      <c r="B536">
        <v>-252.99683436163431</v>
      </c>
      <c r="C536">
        <v>134.95148799999998</v>
      </c>
      <c r="E536">
        <f t="shared" si="39"/>
        <v>-135.31257302063798</v>
      </c>
      <c r="F536">
        <f t="shared" si="40"/>
        <v>-83.470664899826389</v>
      </c>
    </row>
    <row r="537" spans="1:6" x14ac:dyDescent="0.25">
      <c r="A537">
        <v>175.61742728009654</v>
      </c>
      <c r="B537">
        <v>-227.2570357838286</v>
      </c>
      <c r="C537">
        <v>134.95148799999998</v>
      </c>
      <c r="E537">
        <f t="shared" si="39"/>
        <v>-175.61742728009651</v>
      </c>
      <c r="F537">
        <f t="shared" si="40"/>
        <v>-65.269878779084095</v>
      </c>
    </row>
    <row r="538" spans="1:6" x14ac:dyDescent="0.25">
      <c r="A538">
        <v>206.79155578127742</v>
      </c>
      <c r="B538">
        <v>-205.63772896590163</v>
      </c>
      <c r="C538">
        <v>134.95148799999998</v>
      </c>
      <c r="E538">
        <f t="shared" si="39"/>
        <v>-206.7915557812774</v>
      </c>
      <c r="F538">
        <f t="shared" si="40"/>
        <v>-49.982720323575379</v>
      </c>
    </row>
    <row r="539" spans="1:6" x14ac:dyDescent="0.25">
      <c r="A539">
        <v>231.04034946412887</v>
      </c>
      <c r="B539">
        <v>-188.89046433204615</v>
      </c>
      <c r="C539">
        <v>134.95148799999998</v>
      </c>
      <c r="E539">
        <f t="shared" si="39"/>
        <v>-231.04034946412884</v>
      </c>
      <c r="F539">
        <f t="shared" si="40"/>
        <v>-38.140615934650512</v>
      </c>
    </row>
    <row r="540" spans="1:6" x14ac:dyDescent="0.25">
      <c r="A540">
        <v>250.84549329875324</v>
      </c>
      <c r="B540">
        <v>-174.99426940149814</v>
      </c>
      <c r="C540">
        <v>134.95148799999998</v>
      </c>
      <c r="E540">
        <f t="shared" si="39"/>
        <v>-250.84549329875321</v>
      </c>
      <c r="F540">
        <f t="shared" si="40"/>
        <v>-28.314522266569909</v>
      </c>
    </row>
    <row r="541" spans="1:6" x14ac:dyDescent="0.25">
      <c r="A541">
        <v>269.16942942459548</v>
      </c>
      <c r="B541">
        <v>-163.30956724120603</v>
      </c>
      <c r="C541">
        <v>134.95148799999998</v>
      </c>
      <c r="E541">
        <f t="shared" si="39"/>
        <v>-269.16942942459548</v>
      </c>
      <c r="F541">
        <f t="shared" si="40"/>
        <v>-20.052190132882245</v>
      </c>
    </row>
    <row r="542" spans="1:6" x14ac:dyDescent="0.25">
      <c r="A542">
        <v>287.27248254009697</v>
      </c>
      <c r="B542">
        <v>-152.78153992391756</v>
      </c>
      <c r="C542">
        <v>134.95148799999998</v>
      </c>
      <c r="E542">
        <f t="shared" si="39"/>
        <v>-287.27248254009697</v>
      </c>
      <c r="F542">
        <f t="shared" si="40"/>
        <v>-12.607750624310356</v>
      </c>
    </row>
    <row r="543" spans="1:6" x14ac:dyDescent="0.25">
      <c r="A543">
        <v>306.0828883521134</v>
      </c>
      <c r="B543">
        <v>-142.66488802503019</v>
      </c>
      <c r="C543">
        <v>134.95148799999998</v>
      </c>
      <c r="E543">
        <f t="shared" si="39"/>
        <v>-306.0828883521134</v>
      </c>
      <c r="F543">
        <f t="shared" si="40"/>
        <v>-5.4541974637033377</v>
      </c>
    </row>
    <row r="544" spans="1:6" x14ac:dyDescent="0.25">
      <c r="A544">
        <v>326.49710486667368</v>
      </c>
      <c r="B544">
        <v>-132.29423479495065</v>
      </c>
      <c r="C544">
        <v>134.95148799999998</v>
      </c>
      <c r="E544">
        <f t="shared" si="39"/>
        <v>-326.49710486667368</v>
      </c>
      <c r="F544">
        <f t="shared" si="40"/>
        <v>1.8789617606200864</v>
      </c>
    </row>
    <row r="545" spans="1:6" x14ac:dyDescent="0.25">
      <c r="A545">
        <v>344.12501366334254</v>
      </c>
      <c r="B545">
        <v>-123.0124186977332</v>
      </c>
      <c r="C545">
        <v>134.95148799999998</v>
      </c>
      <c r="E545">
        <f t="shared" si="39"/>
        <v>-344.12501366334254</v>
      </c>
      <c r="F545">
        <f t="shared" si="40"/>
        <v>8.4421968646889951</v>
      </c>
    </row>
    <row r="546" spans="1:6" x14ac:dyDescent="0.25">
      <c r="A546">
        <v>364.03937450878061</v>
      </c>
      <c r="B546">
        <v>-112.57729967412281</v>
      </c>
      <c r="C546">
        <v>134.95148799999998</v>
      </c>
      <c r="E546">
        <f t="shared" si="39"/>
        <v>-364.03937450878061</v>
      </c>
      <c r="F546">
        <f t="shared" si="40"/>
        <v>15.820940288772647</v>
      </c>
    </row>
    <row r="547" spans="1:6" x14ac:dyDescent="0.25">
      <c r="A547">
        <v>386.65586570004137</v>
      </c>
      <c r="B547">
        <v>-99.13895337184934</v>
      </c>
      <c r="C547">
        <v>134.95148799999998</v>
      </c>
      <c r="E547">
        <f t="shared" si="39"/>
        <v>-386.65586570004137</v>
      </c>
      <c r="F547">
        <f t="shared" si="40"/>
        <v>25.323286087043385</v>
      </c>
    </row>
    <row r="548" spans="1:6" x14ac:dyDescent="0.25">
      <c r="A548">
        <v>416.95169462772185</v>
      </c>
      <c r="B548">
        <v>-80.125273146654791</v>
      </c>
      <c r="C548">
        <v>134.95148799999998</v>
      </c>
      <c r="E548">
        <f t="shared" si="39"/>
        <v>-416.95169462772185</v>
      </c>
      <c r="F548">
        <f t="shared" si="40"/>
        <v>38.767988309591026</v>
      </c>
    </row>
    <row r="549" spans="1:6" x14ac:dyDescent="0.25">
      <c r="A549">
        <v>426.36214272460569</v>
      </c>
      <c r="B549">
        <v>-60.215751441573744</v>
      </c>
      <c r="C549">
        <v>134.95148799999998</v>
      </c>
      <c r="E549">
        <f t="shared" si="39"/>
        <v>-426.36214272460569</v>
      </c>
      <c r="F549">
        <f t="shared" si="40"/>
        <v>52.846146117434586</v>
      </c>
    </row>
    <row r="550" spans="1:6" x14ac:dyDescent="0.25">
      <c r="A550">
        <v>434.69288083825688</v>
      </c>
      <c r="B550">
        <v>-40.341995917805818</v>
      </c>
      <c r="C550">
        <v>134.95148799999998</v>
      </c>
      <c r="E550">
        <f t="shared" si="39"/>
        <v>-434.69288083825688</v>
      </c>
      <c r="F550">
        <f t="shared" si="40"/>
        <v>66.89901341593449</v>
      </c>
    </row>
    <row r="551" spans="1:6" x14ac:dyDescent="0.25">
      <c r="A551">
        <v>442.47761679767882</v>
      </c>
      <c r="B551">
        <v>-19.879515899861079</v>
      </c>
      <c r="C551">
        <v>134.95148799999998</v>
      </c>
      <c r="E551">
        <f t="shared" si="39"/>
        <v>-442.47761679767882</v>
      </c>
      <c r="F551">
        <f t="shared" si="40"/>
        <v>81.368171796517444</v>
      </c>
    </row>
    <row r="552" spans="1:6" x14ac:dyDescent="0.25">
      <c r="A552">
        <v>449.43721720266973</v>
      </c>
      <c r="B552">
        <v>0</v>
      </c>
      <c r="C552">
        <v>134.95148799999998</v>
      </c>
      <c r="E552">
        <f t="shared" si="39"/>
        <v>-449.43721720266973</v>
      </c>
      <c r="F552">
        <f t="shared" si="40"/>
        <v>95.425112296015016</v>
      </c>
    </row>
    <row r="553" spans="1:6" x14ac:dyDescent="0.25">
      <c r="A553">
        <v>442.47761679767882</v>
      </c>
      <c r="B553">
        <v>19.879515899861094</v>
      </c>
      <c r="C553">
        <v>134.95148799999998</v>
      </c>
      <c r="E553">
        <f t="shared" si="39"/>
        <v>-442.47761679767882</v>
      </c>
      <c r="F553">
        <f t="shared" si="40"/>
        <v>109.48205279551259</v>
      </c>
    </row>
    <row r="554" spans="1:6" x14ac:dyDescent="0.25">
      <c r="A554">
        <v>434.69288083825688</v>
      </c>
      <c r="B554">
        <v>40.341995917805733</v>
      </c>
      <c r="C554">
        <v>134.95148799999998</v>
      </c>
      <c r="E554">
        <f t="shared" si="39"/>
        <v>-434.69288083825688</v>
      </c>
      <c r="F554">
        <f t="shared" si="40"/>
        <v>123.95121117609547</v>
      </c>
    </row>
    <row r="555" spans="1:6" x14ac:dyDescent="0.25">
      <c r="A555">
        <v>426.3621427246058</v>
      </c>
      <c r="B555">
        <v>60.215751441573794</v>
      </c>
      <c r="C555">
        <v>134.95148799999998</v>
      </c>
      <c r="E555">
        <f t="shared" si="39"/>
        <v>-426.3621427246058</v>
      </c>
      <c r="F555">
        <f t="shared" si="40"/>
        <v>138.00407847459547</v>
      </c>
    </row>
    <row r="556" spans="1:6" x14ac:dyDescent="0.25">
      <c r="A556">
        <v>416.95169462772185</v>
      </c>
      <c r="B556">
        <v>80.12527314665482</v>
      </c>
      <c r="C556">
        <v>134.95148799999998</v>
      </c>
      <c r="E556">
        <f t="shared" si="39"/>
        <v>-416.95169462772185</v>
      </c>
      <c r="F556">
        <f t="shared" si="40"/>
        <v>152.082236282439</v>
      </c>
    </row>
    <row r="557" spans="1:6" x14ac:dyDescent="0.25">
      <c r="A557">
        <v>386.65586570004137</v>
      </c>
      <c r="B557">
        <v>99.138953371849311</v>
      </c>
      <c r="C557">
        <v>134.95148799999998</v>
      </c>
      <c r="E557">
        <f t="shared" si="39"/>
        <v>-386.65586570004137</v>
      </c>
      <c r="F557">
        <f t="shared" si="40"/>
        <v>165.52693850498659</v>
      </c>
    </row>
    <row r="558" spans="1:6" x14ac:dyDescent="0.25">
      <c r="A558">
        <v>364.03937450878067</v>
      </c>
      <c r="B558">
        <v>112.57729967412283</v>
      </c>
      <c r="C558">
        <v>134.95148799999998</v>
      </c>
      <c r="E558">
        <f t="shared" si="39"/>
        <v>-364.03937450878067</v>
      </c>
      <c r="F558">
        <f t="shared" si="40"/>
        <v>175.02928430325738</v>
      </c>
    </row>
    <row r="559" spans="1:6" x14ac:dyDescent="0.25">
      <c r="A559">
        <v>344.12501366334271</v>
      </c>
      <c r="B559">
        <v>123.01241869773318</v>
      </c>
      <c r="C559">
        <v>134.95148799999998</v>
      </c>
      <c r="E559">
        <f t="shared" si="39"/>
        <v>-344.12501366334271</v>
      </c>
      <c r="F559">
        <f t="shared" si="40"/>
        <v>182.40802772734099</v>
      </c>
    </row>
    <row r="560" spans="1:6" x14ac:dyDescent="0.25">
      <c r="A560">
        <v>326.49710486667357</v>
      </c>
      <c r="B560">
        <v>132.29423479495065</v>
      </c>
      <c r="C560">
        <v>134.95148799999998</v>
      </c>
      <c r="E560">
        <f t="shared" si="39"/>
        <v>-326.49710486667357</v>
      </c>
      <c r="F560">
        <f t="shared" si="40"/>
        <v>188.97126283140992</v>
      </c>
    </row>
    <row r="561" spans="1:6" x14ac:dyDescent="0.25">
      <c r="A561">
        <v>306.0828883521134</v>
      </c>
      <c r="B561">
        <v>142.66488802503011</v>
      </c>
      <c r="C561">
        <v>134.95148799999998</v>
      </c>
      <c r="E561">
        <f t="shared" si="39"/>
        <v>-306.0828883521134</v>
      </c>
      <c r="F561">
        <f t="shared" si="40"/>
        <v>196.30442205573328</v>
      </c>
    </row>
    <row r="562" spans="1:6" x14ac:dyDescent="0.25">
      <c r="A562">
        <v>287.27248254009703</v>
      </c>
      <c r="B562">
        <v>152.78153992391753</v>
      </c>
      <c r="C562">
        <v>134.95148799999998</v>
      </c>
      <c r="E562">
        <f t="shared" si="39"/>
        <v>-287.27248254009703</v>
      </c>
      <c r="F562">
        <f t="shared" si="40"/>
        <v>203.45797521634034</v>
      </c>
    </row>
    <row r="563" spans="1:6" x14ac:dyDescent="0.25">
      <c r="A563">
        <v>269.16942942459548</v>
      </c>
      <c r="B563">
        <v>163.30956724120588</v>
      </c>
      <c r="C563">
        <v>134.95148799999998</v>
      </c>
      <c r="E563">
        <f t="shared" si="39"/>
        <v>-269.16942942459548</v>
      </c>
      <c r="F563">
        <f t="shared" si="40"/>
        <v>210.90241472491215</v>
      </c>
    </row>
    <row r="564" spans="1:6" x14ac:dyDescent="0.25">
      <c r="A564">
        <v>250.84549329875347</v>
      </c>
      <c r="B564">
        <v>174.99426940149814</v>
      </c>
      <c r="C564">
        <v>134.95148799999998</v>
      </c>
      <c r="E564">
        <f t="shared" si="39"/>
        <v>-250.84549329875344</v>
      </c>
      <c r="F564">
        <f t="shared" si="40"/>
        <v>219.16474685859993</v>
      </c>
    </row>
    <row r="565" spans="1:6" x14ac:dyDescent="0.25">
      <c r="A565">
        <v>231.04034946412901</v>
      </c>
      <c r="B565">
        <v>188.89046433204607</v>
      </c>
      <c r="C565">
        <v>134.95148799999998</v>
      </c>
      <c r="E565">
        <f t="shared" si="39"/>
        <v>-231.04034946412898</v>
      </c>
      <c r="F565">
        <f t="shared" si="40"/>
        <v>228.99084052668047</v>
      </c>
    </row>
    <row r="566" spans="1:6" x14ac:dyDescent="0.25">
      <c r="A566">
        <v>206.79155578127762</v>
      </c>
      <c r="B566">
        <v>205.6377289659016</v>
      </c>
      <c r="C566">
        <v>134.95148799999998</v>
      </c>
      <c r="E566">
        <f t="shared" si="39"/>
        <v>-206.79155578127759</v>
      </c>
      <c r="F566">
        <f t="shared" si="40"/>
        <v>240.83294491560537</v>
      </c>
    </row>
    <row r="567" spans="1:6" x14ac:dyDescent="0.25">
      <c r="A567">
        <v>175.61742728009645</v>
      </c>
      <c r="B567">
        <v>227.2570357838286</v>
      </c>
      <c r="C567">
        <v>134.95148799999998</v>
      </c>
      <c r="E567">
        <f t="shared" si="39"/>
        <v>-175.61742728009642</v>
      </c>
      <c r="F567">
        <f t="shared" si="40"/>
        <v>256.12010337111411</v>
      </c>
    </row>
    <row r="568" spans="1:6" x14ac:dyDescent="0.25">
      <c r="A568">
        <v>135.3125730206379</v>
      </c>
      <c r="B568">
        <v>252.99683436163437</v>
      </c>
      <c r="C568">
        <v>134.95148799999998</v>
      </c>
      <c r="E568">
        <f t="shared" si="39"/>
        <v>-135.31257302063787</v>
      </c>
      <c r="F568">
        <f t="shared" si="40"/>
        <v>274.32088949185641</v>
      </c>
    </row>
    <row r="569" spans="1:6" x14ac:dyDescent="0.25">
      <c r="A569">
        <v>70.639598448262191</v>
      </c>
      <c r="B569">
        <v>279.35619882009235</v>
      </c>
      <c r="C569">
        <v>134.95148799999998</v>
      </c>
      <c r="E569">
        <f t="shared" si="39"/>
        <v>-70.639598448262177</v>
      </c>
      <c r="F569">
        <f t="shared" si="40"/>
        <v>292.95977484819969</v>
      </c>
    </row>
    <row r="570" spans="1:6" x14ac:dyDescent="0.25">
      <c r="A570">
        <v>8.038310044802159E-14</v>
      </c>
      <c r="B570">
        <v>284.69360329709377</v>
      </c>
      <c r="C570">
        <v>134.95148799999998</v>
      </c>
      <c r="E570">
        <f t="shared" si="39"/>
        <v>-6.3849539746939677E-14</v>
      </c>
      <c r="F570">
        <f t="shared" si="40"/>
        <v>296.73388974782284</v>
      </c>
    </row>
    <row r="571" spans="1:6" x14ac:dyDescent="0.25">
      <c r="A571">
        <v>-70.639598448262063</v>
      </c>
      <c r="B571">
        <v>279.35619882009235</v>
      </c>
      <c r="C571">
        <v>134.95148799999998</v>
      </c>
      <c r="E571">
        <f t="shared" si="39"/>
        <v>70.639598448262078</v>
      </c>
      <c r="F571">
        <f t="shared" si="40"/>
        <v>292.95977484819969</v>
      </c>
    </row>
    <row r="572" spans="1:6" x14ac:dyDescent="0.25">
      <c r="A572">
        <v>-135.31257302063779</v>
      </c>
      <c r="B572">
        <v>252.99683436163437</v>
      </c>
      <c r="C572">
        <v>134.95148799999998</v>
      </c>
      <c r="E572">
        <f t="shared" si="39"/>
        <v>135.31257302063781</v>
      </c>
      <c r="F572">
        <f t="shared" si="40"/>
        <v>274.32088949185641</v>
      </c>
    </row>
    <row r="573" spans="1:6" x14ac:dyDescent="0.25">
      <c r="A573">
        <v>-175.61742728009648</v>
      </c>
      <c r="B573">
        <v>227.25703578382871</v>
      </c>
      <c r="C573">
        <v>134.95148799999998</v>
      </c>
      <c r="E573">
        <f t="shared" si="39"/>
        <v>175.61742728009651</v>
      </c>
      <c r="F573">
        <f t="shared" si="40"/>
        <v>256.12010337111411</v>
      </c>
    </row>
    <row r="574" spans="1:6" x14ac:dyDescent="0.25">
      <c r="A574">
        <v>-206.79155578127734</v>
      </c>
      <c r="B574">
        <v>205.63772896590177</v>
      </c>
      <c r="C574">
        <v>134.95148799999998</v>
      </c>
      <c r="E574">
        <f t="shared" si="39"/>
        <v>206.79155578127737</v>
      </c>
      <c r="F574">
        <f t="shared" si="40"/>
        <v>240.83294491560542</v>
      </c>
    </row>
    <row r="575" spans="1:6" x14ac:dyDescent="0.25">
      <c r="A575">
        <v>-231.04034946412884</v>
      </c>
      <c r="B575">
        <v>188.89046433204626</v>
      </c>
      <c r="C575">
        <v>134.95148799999998</v>
      </c>
      <c r="E575">
        <f t="shared" si="39"/>
        <v>231.04034946412887</v>
      </c>
      <c r="F575">
        <f t="shared" si="40"/>
        <v>228.99084052668053</v>
      </c>
    </row>
    <row r="576" spans="1:6" x14ac:dyDescent="0.25">
      <c r="A576">
        <v>-250.84549329875338</v>
      </c>
      <c r="B576">
        <v>174.99426940149806</v>
      </c>
      <c r="C576">
        <v>134.95148799999998</v>
      </c>
      <c r="E576">
        <f t="shared" si="39"/>
        <v>250.84549329875341</v>
      </c>
      <c r="F576">
        <f t="shared" si="40"/>
        <v>219.16474685859978</v>
      </c>
    </row>
    <row r="577" spans="1:6" x14ac:dyDescent="0.25">
      <c r="A577">
        <v>-269.16942942459542</v>
      </c>
      <c r="B577">
        <v>163.30956724120588</v>
      </c>
      <c r="C577">
        <v>134.95148799999998</v>
      </c>
      <c r="E577">
        <f t="shared" si="39"/>
        <v>269.16942942459542</v>
      </c>
      <c r="F577">
        <f t="shared" si="40"/>
        <v>210.90241472491209</v>
      </c>
    </row>
    <row r="578" spans="1:6" x14ac:dyDescent="0.25">
      <c r="A578">
        <v>-287.27248254009686</v>
      </c>
      <c r="B578">
        <v>152.78153992391756</v>
      </c>
      <c r="C578">
        <v>134.95148799999998</v>
      </c>
      <c r="E578">
        <f t="shared" si="39"/>
        <v>287.27248254009686</v>
      </c>
      <c r="F578">
        <f t="shared" si="40"/>
        <v>203.45797521634029</v>
      </c>
    </row>
    <row r="579" spans="1:6" x14ac:dyDescent="0.25">
      <c r="A579">
        <v>-306.08288835211334</v>
      </c>
      <c r="B579">
        <v>142.66488802503019</v>
      </c>
      <c r="C579">
        <v>134.95148799999998</v>
      </c>
      <c r="E579">
        <f t="shared" si="39"/>
        <v>306.08288835211334</v>
      </c>
      <c r="F579">
        <f t="shared" si="40"/>
        <v>196.30442205573328</v>
      </c>
    </row>
    <row r="580" spans="1:6" x14ac:dyDescent="0.25">
      <c r="A580">
        <v>-326.49710486667345</v>
      </c>
      <c r="B580">
        <v>132.29423479495065</v>
      </c>
      <c r="C580">
        <v>134.95148799999998</v>
      </c>
      <c r="E580">
        <f t="shared" si="39"/>
        <v>326.49710486667345</v>
      </c>
      <c r="F580">
        <f t="shared" si="40"/>
        <v>188.97126283140986</v>
      </c>
    </row>
    <row r="581" spans="1:6" x14ac:dyDescent="0.25">
      <c r="A581">
        <v>-344.12501366334254</v>
      </c>
      <c r="B581">
        <v>123.0124186977332</v>
      </c>
      <c r="C581">
        <v>134.95148799999998</v>
      </c>
      <c r="E581">
        <f t="shared" si="39"/>
        <v>344.12501366334254</v>
      </c>
      <c r="F581">
        <f t="shared" si="40"/>
        <v>182.40802772734094</v>
      </c>
    </row>
    <row r="582" spans="1:6" x14ac:dyDescent="0.25">
      <c r="A582">
        <v>-364.03937450878044</v>
      </c>
      <c r="B582">
        <v>112.57729967412287</v>
      </c>
      <c r="C582">
        <v>134.95148799999998</v>
      </c>
      <c r="E582">
        <f t="shared" si="39"/>
        <v>364.03937450878044</v>
      </c>
      <c r="F582">
        <f t="shared" si="40"/>
        <v>175.02928430325733</v>
      </c>
    </row>
    <row r="583" spans="1:6" x14ac:dyDescent="0.25">
      <c r="A583">
        <v>-386.65586570004132</v>
      </c>
      <c r="B583">
        <v>99.138953371849453</v>
      </c>
      <c r="C583">
        <v>134.95148799999998</v>
      </c>
      <c r="E583">
        <f t="shared" si="39"/>
        <v>386.65586570004132</v>
      </c>
      <c r="F583">
        <f t="shared" si="40"/>
        <v>165.52693850498662</v>
      </c>
    </row>
    <row r="584" spans="1:6" x14ac:dyDescent="0.25">
      <c r="A584">
        <v>-416.95169462772174</v>
      </c>
      <c r="B584">
        <v>80.125273146655005</v>
      </c>
      <c r="C584">
        <v>134.95148799999998</v>
      </c>
      <c r="E584">
        <f t="shared" si="39"/>
        <v>416.95169462772174</v>
      </c>
      <c r="F584">
        <f t="shared" si="40"/>
        <v>152.08223628243908</v>
      </c>
    </row>
    <row r="585" spans="1:6" x14ac:dyDescent="0.25">
      <c r="A585">
        <v>-426.36214272460586</v>
      </c>
      <c r="B585">
        <v>60.215751441573708</v>
      </c>
      <c r="C585">
        <v>134.95148799999998</v>
      </c>
      <c r="E585">
        <f t="shared" si="39"/>
        <v>426.36214272460586</v>
      </c>
      <c r="F585">
        <f t="shared" si="40"/>
        <v>138.00407847459533</v>
      </c>
    </row>
    <row r="586" spans="1:6" x14ac:dyDescent="0.25">
      <c r="A586">
        <v>-434.69288083825683</v>
      </c>
      <c r="B586">
        <v>40.341995917805747</v>
      </c>
      <c r="C586">
        <v>134.95148799999998</v>
      </c>
      <c r="E586">
        <f t="shared" si="39"/>
        <v>434.69288083825683</v>
      </c>
      <c r="F586">
        <f t="shared" si="40"/>
        <v>123.9512111760954</v>
      </c>
    </row>
    <row r="587" spans="1:6" x14ac:dyDescent="0.25">
      <c r="A587">
        <v>-494.63352297756433</v>
      </c>
      <c r="B587">
        <v>-4.3546923983954626E-14</v>
      </c>
      <c r="C587">
        <v>215.03027199999997</v>
      </c>
      <c r="E587">
        <f t="shared" si="39"/>
        <v>494.63352297756433</v>
      </c>
      <c r="F587">
        <f t="shared" si="40"/>
        <v>152.04936349158768</v>
      </c>
    </row>
    <row r="588" spans="1:6" x14ac:dyDescent="0.25">
      <c r="A588">
        <v>-488.63233382415967</v>
      </c>
      <c r="B588">
        <v>-21.104628644018714</v>
      </c>
      <c r="C588">
        <v>215.03027199999997</v>
      </c>
      <c r="E588">
        <f t="shared" si="39"/>
        <v>488.63233382415967</v>
      </c>
      <c r="F588">
        <f t="shared" si="40"/>
        <v>137.12613746297825</v>
      </c>
    </row>
    <row r="589" spans="1:6" x14ac:dyDescent="0.25">
      <c r="A589">
        <v>-483.02908098944124</v>
      </c>
      <c r="B589">
        <v>-39.197351088573726</v>
      </c>
      <c r="C589">
        <v>215.03027199999997</v>
      </c>
      <c r="E589">
        <f t="shared" si="39"/>
        <v>483.02908098944124</v>
      </c>
      <c r="F589">
        <f t="shared" si="40"/>
        <v>124.33265073230734</v>
      </c>
    </row>
    <row r="590" spans="1:6" x14ac:dyDescent="0.25">
      <c r="A590">
        <v>-469.62741706817741</v>
      </c>
      <c r="B590">
        <v>-57.668458756095575</v>
      </c>
      <c r="C590">
        <v>215.03027199999997</v>
      </c>
      <c r="E590">
        <f t="shared" si="39"/>
        <v>469.62741706817741</v>
      </c>
      <c r="F590">
        <f t="shared" si="40"/>
        <v>111.27160524457581</v>
      </c>
    </row>
    <row r="591" spans="1:6" x14ac:dyDescent="0.25">
      <c r="A591">
        <v>-438.74441529687175</v>
      </c>
      <c r="B591">
        <v>-77.084921227130224</v>
      </c>
      <c r="C591">
        <v>215.03027199999997</v>
      </c>
      <c r="E591">
        <f t="shared" si="39"/>
        <v>438.74441529687175</v>
      </c>
      <c r="F591">
        <f t="shared" si="40"/>
        <v>97.542092964653108</v>
      </c>
    </row>
    <row r="592" spans="1:6" x14ac:dyDescent="0.25">
      <c r="A592">
        <v>-410.47625974217732</v>
      </c>
      <c r="B592">
        <v>-95.076586099668177</v>
      </c>
      <c r="C592">
        <v>215.03027199999997</v>
      </c>
      <c r="E592">
        <f t="shared" si="39"/>
        <v>410.47625974217732</v>
      </c>
      <c r="F592">
        <f t="shared" si="40"/>
        <v>84.820064728445715</v>
      </c>
    </row>
    <row r="593" spans="1:6" x14ac:dyDescent="0.25">
      <c r="A593">
        <v>-385.35695973291911</v>
      </c>
      <c r="B593">
        <v>-110.86846084423051</v>
      </c>
      <c r="C593">
        <v>215.03027199999997</v>
      </c>
      <c r="E593">
        <f t="shared" si="39"/>
        <v>385.35695973291911</v>
      </c>
      <c r="F593">
        <f t="shared" si="40"/>
        <v>73.653523008917119</v>
      </c>
    </row>
    <row r="594" spans="1:6" x14ac:dyDescent="0.25">
      <c r="A594">
        <v>-360.81584971384734</v>
      </c>
      <c r="B594">
        <v>-124.71091007959058</v>
      </c>
      <c r="C594">
        <v>215.03027199999997</v>
      </c>
      <c r="E594">
        <f t="shared" si="39"/>
        <v>360.81584971384734</v>
      </c>
      <c r="F594">
        <f t="shared" si="40"/>
        <v>63.865433286363483</v>
      </c>
    </row>
    <row r="595" spans="1:6" x14ac:dyDescent="0.25">
      <c r="A595">
        <v>-337.35572083551818</v>
      </c>
      <c r="B595">
        <v>-136.87416284007571</v>
      </c>
      <c r="C595">
        <v>215.03027199999997</v>
      </c>
      <c r="E595">
        <f t="shared" si="39"/>
        <v>337.35572083551818</v>
      </c>
      <c r="F595">
        <f t="shared" si="40"/>
        <v>55.26471477813844</v>
      </c>
    </row>
    <row r="596" spans="1:6" x14ac:dyDescent="0.25">
      <c r="A596">
        <v>-319.03030438086876</v>
      </c>
      <c r="B596">
        <v>-147.85844682516739</v>
      </c>
      <c r="C596">
        <v>215.03027199999997</v>
      </c>
      <c r="E596">
        <f t="shared" ref="E596:E659" si="41">($I$2*A596)+($K$2*B596)+($M$2*C596)</f>
        <v>319.03030438086876</v>
      </c>
      <c r="F596">
        <f t="shared" ref="F596:F659" si="42">($J$2*A596)+($L$2*B596)+($N$2*C596)</f>
        <v>47.497653085801318</v>
      </c>
    </row>
    <row r="597" spans="1:6" x14ac:dyDescent="0.25">
      <c r="A597">
        <v>-298.81481314983313</v>
      </c>
      <c r="B597">
        <v>-158.58537832876556</v>
      </c>
      <c r="C597">
        <v>215.03027199999997</v>
      </c>
      <c r="E597">
        <f t="shared" si="41"/>
        <v>298.81481314983313</v>
      </c>
      <c r="F597">
        <f t="shared" si="42"/>
        <v>39.912567078283445</v>
      </c>
    </row>
    <row r="598" spans="1:6" x14ac:dyDescent="0.25">
      <c r="A598">
        <v>-278.41184526299185</v>
      </c>
      <c r="B598">
        <v>-169.72597694840016</v>
      </c>
      <c r="C598">
        <v>215.03027199999997</v>
      </c>
      <c r="E598">
        <f t="shared" si="41"/>
        <v>278.41184526299185</v>
      </c>
      <c r="F598">
        <f t="shared" si="42"/>
        <v>32.034974247862337</v>
      </c>
    </row>
    <row r="599" spans="1:6" x14ac:dyDescent="0.25">
      <c r="A599">
        <v>-257.99720617911231</v>
      </c>
      <c r="B599">
        <v>-182.14268810452256</v>
      </c>
      <c r="C599">
        <v>215.03027199999997</v>
      </c>
      <c r="E599">
        <f t="shared" si="41"/>
        <v>257.99720617911231</v>
      </c>
      <c r="F599">
        <f t="shared" si="42"/>
        <v>23.255033589333522</v>
      </c>
    </row>
    <row r="600" spans="1:6" x14ac:dyDescent="0.25">
      <c r="A600">
        <v>-234.93173664287482</v>
      </c>
      <c r="B600">
        <v>-194.96135666180038</v>
      </c>
      <c r="C600">
        <v>215.03027199999997</v>
      </c>
      <c r="E600">
        <f t="shared" si="41"/>
        <v>234.93173664287485</v>
      </c>
      <c r="F600">
        <f t="shared" si="42"/>
        <v>14.190866126699603</v>
      </c>
    </row>
    <row r="601" spans="1:6" x14ac:dyDescent="0.25">
      <c r="A601">
        <v>-208.48413224373923</v>
      </c>
      <c r="B601">
        <v>-212.94324791840816</v>
      </c>
      <c r="C601">
        <v>215.03027199999997</v>
      </c>
      <c r="E601">
        <f t="shared" si="41"/>
        <v>208.48413224373925</v>
      </c>
      <c r="F601">
        <f t="shared" si="42"/>
        <v>1.4757488805931587</v>
      </c>
    </row>
    <row r="602" spans="1:6" x14ac:dyDescent="0.25">
      <c r="A602">
        <v>-172.39354710838012</v>
      </c>
      <c r="B602">
        <v>-238.24767003007446</v>
      </c>
      <c r="C602">
        <v>215.03027199999997</v>
      </c>
      <c r="E602">
        <f t="shared" si="41"/>
        <v>172.39354710838015</v>
      </c>
      <c r="F602">
        <f t="shared" si="42"/>
        <v>-16.417179588572907</v>
      </c>
    </row>
    <row r="603" spans="1:6" x14ac:dyDescent="0.25">
      <c r="A603">
        <v>-122.7415052704831</v>
      </c>
      <c r="B603">
        <v>-268.92879017798344</v>
      </c>
      <c r="C603">
        <v>215.03027199999997</v>
      </c>
      <c r="E603">
        <f t="shared" si="41"/>
        <v>122.74150527048313</v>
      </c>
      <c r="F603">
        <f t="shared" si="42"/>
        <v>-38.112007699558546</v>
      </c>
    </row>
    <row r="604" spans="1:6" x14ac:dyDescent="0.25">
      <c r="A604">
        <v>-70.786883971620085</v>
      </c>
      <c r="B604">
        <v>-302.68119470988597</v>
      </c>
      <c r="C604">
        <v>215.03027199999997</v>
      </c>
      <c r="E604">
        <f t="shared" si="41"/>
        <v>70.786883971620114</v>
      </c>
      <c r="F604">
        <f t="shared" si="42"/>
        <v>-61.978561825418382</v>
      </c>
    </row>
    <row r="605" spans="1:6" x14ac:dyDescent="0.25">
      <c r="A605">
        <v>6.8749988024863696E-14</v>
      </c>
      <c r="B605">
        <v>-319.61825685724381</v>
      </c>
      <c r="C605">
        <v>215.03027199999997</v>
      </c>
      <c r="E605">
        <f t="shared" si="41"/>
        <v>-4.2405587474925667E-14</v>
      </c>
      <c r="F605">
        <f t="shared" si="42"/>
        <v>-73.954873323193084</v>
      </c>
    </row>
    <row r="606" spans="1:6" x14ac:dyDescent="0.25">
      <c r="A606">
        <v>70.786883971619901</v>
      </c>
      <c r="B606">
        <v>-302.68119470988597</v>
      </c>
      <c r="C606">
        <v>215.03027199999997</v>
      </c>
      <c r="E606">
        <f t="shared" si="41"/>
        <v>-70.786883971619872</v>
      </c>
      <c r="F606">
        <f t="shared" si="42"/>
        <v>-61.978561825418382</v>
      </c>
    </row>
    <row r="607" spans="1:6" x14ac:dyDescent="0.25">
      <c r="A607">
        <v>122.74150527048323</v>
      </c>
      <c r="B607">
        <v>-268.92879017798333</v>
      </c>
      <c r="C607">
        <v>215.03027199999997</v>
      </c>
      <c r="E607">
        <f t="shared" si="41"/>
        <v>-122.7415052704832</v>
      </c>
      <c r="F607">
        <f t="shared" si="42"/>
        <v>-38.112007699558461</v>
      </c>
    </row>
    <row r="608" spans="1:6" x14ac:dyDescent="0.25">
      <c r="A608">
        <v>172.3935471083802</v>
      </c>
      <c r="B608">
        <v>-238.24767003007449</v>
      </c>
      <c r="C608">
        <v>215.03027199999997</v>
      </c>
      <c r="E608">
        <f t="shared" si="41"/>
        <v>-172.39354710838018</v>
      </c>
      <c r="F608">
        <f t="shared" si="42"/>
        <v>-16.417179588572878</v>
      </c>
    </row>
    <row r="609" spans="1:6" x14ac:dyDescent="0.25">
      <c r="A609">
        <v>208.4841322437392</v>
      </c>
      <c r="B609">
        <v>-212.94324791840799</v>
      </c>
      <c r="C609">
        <v>215.03027199999997</v>
      </c>
      <c r="E609">
        <f t="shared" si="41"/>
        <v>-208.48413224373917</v>
      </c>
      <c r="F609">
        <f t="shared" si="42"/>
        <v>1.4757488805933292</v>
      </c>
    </row>
    <row r="610" spans="1:6" x14ac:dyDescent="0.25">
      <c r="A610">
        <v>234.9317366428748</v>
      </c>
      <c r="B610">
        <v>-194.96135666180038</v>
      </c>
      <c r="C610">
        <v>215.03027199999997</v>
      </c>
      <c r="E610">
        <f t="shared" si="41"/>
        <v>-234.93173664287477</v>
      </c>
      <c r="F610">
        <f t="shared" si="42"/>
        <v>14.19086612669966</v>
      </c>
    </row>
    <row r="611" spans="1:6" x14ac:dyDescent="0.25">
      <c r="A611">
        <v>257.99720617911214</v>
      </c>
      <c r="B611">
        <v>-182.14268810452265</v>
      </c>
      <c r="C611">
        <v>215.03027199999997</v>
      </c>
      <c r="E611">
        <f t="shared" si="41"/>
        <v>-257.99720617911214</v>
      </c>
      <c r="F611">
        <f t="shared" si="42"/>
        <v>23.255033589333522</v>
      </c>
    </row>
    <row r="612" spans="1:6" x14ac:dyDescent="0.25">
      <c r="A612">
        <v>278.41184526299185</v>
      </c>
      <c r="B612">
        <v>-169.7259769484003</v>
      </c>
      <c r="C612">
        <v>215.03027199999997</v>
      </c>
      <c r="E612">
        <f t="shared" si="41"/>
        <v>-278.41184526299185</v>
      </c>
      <c r="F612">
        <f t="shared" si="42"/>
        <v>32.034974247862294</v>
      </c>
    </row>
    <row r="613" spans="1:6" x14ac:dyDescent="0.25">
      <c r="A613">
        <v>298.81481314983313</v>
      </c>
      <c r="B613">
        <v>-158.58537832876553</v>
      </c>
      <c r="C613">
        <v>215.03027199999997</v>
      </c>
      <c r="E613">
        <f t="shared" si="41"/>
        <v>-298.81481314983313</v>
      </c>
      <c r="F613">
        <f t="shared" si="42"/>
        <v>39.91256707828353</v>
      </c>
    </row>
    <row r="614" spans="1:6" x14ac:dyDescent="0.25">
      <c r="A614">
        <v>319.0303043808687</v>
      </c>
      <c r="B614">
        <v>-147.85844682516736</v>
      </c>
      <c r="C614">
        <v>215.03027199999997</v>
      </c>
      <c r="E614">
        <f t="shared" si="41"/>
        <v>-319.0303043808687</v>
      </c>
      <c r="F614">
        <f t="shared" si="42"/>
        <v>47.497653085801403</v>
      </c>
    </row>
    <row r="615" spans="1:6" x14ac:dyDescent="0.25">
      <c r="A615">
        <v>337.35572083551824</v>
      </c>
      <c r="B615">
        <v>-136.87416284007574</v>
      </c>
      <c r="C615">
        <v>215.03027199999997</v>
      </c>
      <c r="E615">
        <f t="shared" si="41"/>
        <v>-337.35572083551824</v>
      </c>
      <c r="F615">
        <f t="shared" si="42"/>
        <v>55.264714778138483</v>
      </c>
    </row>
    <row r="616" spans="1:6" x14ac:dyDescent="0.25">
      <c r="A616">
        <v>360.81584971384729</v>
      </c>
      <c r="B616">
        <v>-124.71091007959051</v>
      </c>
      <c r="C616">
        <v>215.03027199999997</v>
      </c>
      <c r="E616">
        <f t="shared" si="41"/>
        <v>-360.81584971384729</v>
      </c>
      <c r="F616">
        <f t="shared" si="42"/>
        <v>63.865433286363583</v>
      </c>
    </row>
    <row r="617" spans="1:6" x14ac:dyDescent="0.25">
      <c r="A617">
        <v>385.35695973291894</v>
      </c>
      <c r="B617">
        <v>-110.86846084423044</v>
      </c>
      <c r="C617">
        <v>215.03027199999997</v>
      </c>
      <c r="E617">
        <f t="shared" si="41"/>
        <v>-385.35695973291894</v>
      </c>
      <c r="F617">
        <f t="shared" si="42"/>
        <v>73.653523008917219</v>
      </c>
    </row>
    <row r="618" spans="1:6" x14ac:dyDescent="0.25">
      <c r="A618">
        <v>410.47625974217732</v>
      </c>
      <c r="B618">
        <v>-95.076586099668162</v>
      </c>
      <c r="C618">
        <v>215.03027199999997</v>
      </c>
      <c r="E618">
        <f t="shared" si="41"/>
        <v>-410.47625974217732</v>
      </c>
      <c r="F618">
        <f t="shared" si="42"/>
        <v>84.8200647284458</v>
      </c>
    </row>
    <row r="619" spans="1:6" x14ac:dyDescent="0.25">
      <c r="A619">
        <v>438.74441529687175</v>
      </c>
      <c r="B619">
        <v>-77.084921227130152</v>
      </c>
      <c r="C619">
        <v>215.03027199999997</v>
      </c>
      <c r="E619">
        <f t="shared" si="41"/>
        <v>-438.74441529687175</v>
      </c>
      <c r="F619">
        <f t="shared" si="42"/>
        <v>97.542092964653222</v>
      </c>
    </row>
    <row r="620" spans="1:6" x14ac:dyDescent="0.25">
      <c r="A620">
        <v>469.62741706817741</v>
      </c>
      <c r="B620">
        <v>-57.668458756095518</v>
      </c>
      <c r="C620">
        <v>215.03027199999997</v>
      </c>
      <c r="E620">
        <f t="shared" si="41"/>
        <v>-469.62741706817741</v>
      </c>
      <c r="F620">
        <f t="shared" si="42"/>
        <v>111.27160524457594</v>
      </c>
    </row>
    <row r="621" spans="1:6" x14ac:dyDescent="0.25">
      <c r="A621">
        <v>483.02908098944147</v>
      </c>
      <c r="B621">
        <v>-39.197351088573832</v>
      </c>
      <c r="C621">
        <v>215.03027199999997</v>
      </c>
      <c r="E621">
        <f t="shared" si="41"/>
        <v>-483.02908098944147</v>
      </c>
      <c r="F621">
        <f t="shared" si="42"/>
        <v>124.33265073230736</v>
      </c>
    </row>
    <row r="622" spans="1:6" x14ac:dyDescent="0.25">
      <c r="A622">
        <v>488.63233382415967</v>
      </c>
      <c r="B622">
        <v>-21.104628644018693</v>
      </c>
      <c r="C622">
        <v>215.03027199999997</v>
      </c>
      <c r="E622">
        <f t="shared" si="41"/>
        <v>-488.63233382415967</v>
      </c>
      <c r="F622">
        <f t="shared" si="42"/>
        <v>137.12613746297833</v>
      </c>
    </row>
    <row r="623" spans="1:6" x14ac:dyDescent="0.25">
      <c r="A623">
        <v>494.6335229775645</v>
      </c>
      <c r="B623">
        <v>0</v>
      </c>
      <c r="C623">
        <v>215.03027199999997</v>
      </c>
      <c r="E623">
        <f t="shared" si="41"/>
        <v>-494.6335229775645</v>
      </c>
      <c r="F623">
        <f t="shared" si="42"/>
        <v>152.04936349158783</v>
      </c>
    </row>
    <row r="624" spans="1:6" x14ac:dyDescent="0.25">
      <c r="A624">
        <v>488.63233382415967</v>
      </c>
      <c r="B624">
        <v>21.104628644018693</v>
      </c>
      <c r="C624">
        <v>215.03027199999997</v>
      </c>
      <c r="E624">
        <f t="shared" si="41"/>
        <v>-488.63233382415967</v>
      </c>
      <c r="F624">
        <f t="shared" si="42"/>
        <v>166.97258952019729</v>
      </c>
    </row>
    <row r="625" spans="1:6" x14ac:dyDescent="0.25">
      <c r="A625">
        <v>483.02908098944135</v>
      </c>
      <c r="B625">
        <v>39.197351088573761</v>
      </c>
      <c r="C625">
        <v>215.03027199999997</v>
      </c>
      <c r="E625">
        <f t="shared" si="41"/>
        <v>-483.02908098944135</v>
      </c>
      <c r="F625">
        <f t="shared" si="42"/>
        <v>179.76607625086822</v>
      </c>
    </row>
    <row r="626" spans="1:6" x14ac:dyDescent="0.25">
      <c r="A626">
        <v>469.62741706817735</v>
      </c>
      <c r="B626">
        <v>57.668458756095511</v>
      </c>
      <c r="C626">
        <v>215.03027199999997</v>
      </c>
      <c r="E626">
        <f t="shared" si="41"/>
        <v>-469.62741706817735</v>
      </c>
      <c r="F626">
        <f t="shared" si="42"/>
        <v>192.82712173859969</v>
      </c>
    </row>
    <row r="627" spans="1:6" x14ac:dyDescent="0.25">
      <c r="A627">
        <v>438.74441529687186</v>
      </c>
      <c r="B627">
        <v>77.084921227130167</v>
      </c>
      <c r="C627">
        <v>215.03027199999997</v>
      </c>
      <c r="E627">
        <f t="shared" si="41"/>
        <v>-438.74441529687186</v>
      </c>
      <c r="F627">
        <f t="shared" si="42"/>
        <v>206.5566340185224</v>
      </c>
    </row>
    <row r="628" spans="1:6" x14ac:dyDescent="0.25">
      <c r="A628">
        <v>410.47625974217732</v>
      </c>
      <c r="B628">
        <v>95.076586099668134</v>
      </c>
      <c r="C628">
        <v>215.03027199999997</v>
      </c>
      <c r="E628">
        <f t="shared" si="41"/>
        <v>-410.47625974217732</v>
      </c>
      <c r="F628">
        <f t="shared" si="42"/>
        <v>219.2786622547298</v>
      </c>
    </row>
    <row r="629" spans="1:6" x14ac:dyDescent="0.25">
      <c r="A629">
        <v>385.35695973291899</v>
      </c>
      <c r="B629">
        <v>110.86846084423047</v>
      </c>
      <c r="C629">
        <v>215.03027199999997</v>
      </c>
      <c r="E629">
        <f t="shared" si="41"/>
        <v>-385.35695973291899</v>
      </c>
      <c r="F629">
        <f t="shared" si="42"/>
        <v>230.44520397425839</v>
      </c>
    </row>
    <row r="630" spans="1:6" x14ac:dyDescent="0.25">
      <c r="A630">
        <v>360.81584971384757</v>
      </c>
      <c r="B630">
        <v>124.71091007959056</v>
      </c>
      <c r="C630">
        <v>215.03027199999997</v>
      </c>
      <c r="E630">
        <f t="shared" si="41"/>
        <v>-360.81584971384757</v>
      </c>
      <c r="F630">
        <f t="shared" si="42"/>
        <v>240.23329369681204</v>
      </c>
    </row>
    <row r="631" spans="1:6" x14ac:dyDescent="0.25">
      <c r="A631">
        <v>337.35572083551818</v>
      </c>
      <c r="B631">
        <v>136.87416284007571</v>
      </c>
      <c r="C631">
        <v>215.03027199999997</v>
      </c>
      <c r="E631">
        <f t="shared" si="41"/>
        <v>-337.35572083551818</v>
      </c>
      <c r="F631">
        <f t="shared" si="42"/>
        <v>248.83401220503708</v>
      </c>
    </row>
    <row r="632" spans="1:6" x14ac:dyDescent="0.25">
      <c r="A632">
        <v>319.03030438086881</v>
      </c>
      <c r="B632">
        <v>147.85844682516742</v>
      </c>
      <c r="C632">
        <v>215.03027199999997</v>
      </c>
      <c r="E632">
        <f t="shared" si="41"/>
        <v>-319.03030438086881</v>
      </c>
      <c r="F632">
        <f t="shared" si="42"/>
        <v>256.60107389737425</v>
      </c>
    </row>
    <row r="633" spans="1:6" x14ac:dyDescent="0.25">
      <c r="A633">
        <v>298.81481314983307</v>
      </c>
      <c r="B633">
        <v>158.5853783287655</v>
      </c>
      <c r="C633">
        <v>215.03027199999997</v>
      </c>
      <c r="E633">
        <f t="shared" si="41"/>
        <v>-298.81481314983307</v>
      </c>
      <c r="F633">
        <f t="shared" si="42"/>
        <v>264.18615990489207</v>
      </c>
    </row>
    <row r="634" spans="1:6" x14ac:dyDescent="0.25">
      <c r="A634">
        <v>278.41184526299185</v>
      </c>
      <c r="B634">
        <v>169.72597694840022</v>
      </c>
      <c r="C634">
        <v>215.03027199999997</v>
      </c>
      <c r="E634">
        <f t="shared" si="41"/>
        <v>-278.41184526299185</v>
      </c>
      <c r="F634">
        <f t="shared" si="42"/>
        <v>272.06375273531324</v>
      </c>
    </row>
    <row r="635" spans="1:6" x14ac:dyDescent="0.25">
      <c r="A635">
        <v>257.99720617911231</v>
      </c>
      <c r="B635">
        <v>182.14268810452268</v>
      </c>
      <c r="C635">
        <v>215.03027199999997</v>
      </c>
      <c r="E635">
        <f t="shared" si="41"/>
        <v>-257.99720617911231</v>
      </c>
      <c r="F635">
        <f t="shared" si="42"/>
        <v>280.8436933938421</v>
      </c>
    </row>
    <row r="636" spans="1:6" x14ac:dyDescent="0.25">
      <c r="A636">
        <v>234.93173664287494</v>
      </c>
      <c r="B636">
        <v>194.96135666180021</v>
      </c>
      <c r="C636">
        <v>215.03027199999997</v>
      </c>
      <c r="E636">
        <f t="shared" si="41"/>
        <v>-234.93173664287491</v>
      </c>
      <c r="F636">
        <f t="shared" si="42"/>
        <v>289.90786085647585</v>
      </c>
    </row>
    <row r="637" spans="1:6" x14ac:dyDescent="0.25">
      <c r="A637">
        <v>208.48413224373942</v>
      </c>
      <c r="B637">
        <v>212.94324791840805</v>
      </c>
      <c r="C637">
        <v>215.03027199999997</v>
      </c>
      <c r="E637">
        <f t="shared" si="41"/>
        <v>-208.4841322437394</v>
      </c>
      <c r="F637">
        <f t="shared" si="42"/>
        <v>302.62297810258235</v>
      </c>
    </row>
    <row r="638" spans="1:6" x14ac:dyDescent="0.25">
      <c r="A638">
        <v>172.39354710838006</v>
      </c>
      <c r="B638">
        <v>238.24767003007446</v>
      </c>
      <c r="C638">
        <v>215.03027199999997</v>
      </c>
      <c r="E638">
        <f t="shared" si="41"/>
        <v>-172.39354710838003</v>
      </c>
      <c r="F638">
        <f t="shared" si="42"/>
        <v>320.51590657174847</v>
      </c>
    </row>
    <row r="639" spans="1:6" x14ac:dyDescent="0.25">
      <c r="A639">
        <v>122.74150527048307</v>
      </c>
      <c r="B639">
        <v>268.92879017798344</v>
      </c>
      <c r="C639">
        <v>215.03027199999997</v>
      </c>
      <c r="E639">
        <f t="shared" si="41"/>
        <v>-122.74150527048305</v>
      </c>
      <c r="F639">
        <f t="shared" si="42"/>
        <v>342.21073468273408</v>
      </c>
    </row>
    <row r="640" spans="1:6" x14ac:dyDescent="0.25">
      <c r="A640">
        <v>70.786883971619915</v>
      </c>
      <c r="B640">
        <v>302.68119470988603</v>
      </c>
      <c r="C640">
        <v>215.03027199999997</v>
      </c>
      <c r="E640">
        <f t="shared" si="41"/>
        <v>-70.786883971619886</v>
      </c>
      <c r="F640">
        <f t="shared" si="42"/>
        <v>366.07728880859395</v>
      </c>
    </row>
    <row r="641" spans="1:6" x14ac:dyDescent="0.25">
      <c r="A641">
        <v>8.7721479069658383E-14</v>
      </c>
      <c r="B641">
        <v>319.61825685724381</v>
      </c>
      <c r="C641">
        <v>215.03027199999997</v>
      </c>
      <c r="E641">
        <f t="shared" si="41"/>
        <v>-6.1377078519720354E-14</v>
      </c>
      <c r="F641">
        <f t="shared" si="42"/>
        <v>378.05360030636859</v>
      </c>
    </row>
    <row r="642" spans="1:6" x14ac:dyDescent="0.25">
      <c r="A642">
        <v>-70.786883971619886</v>
      </c>
      <c r="B642">
        <v>302.68119470988603</v>
      </c>
      <c r="C642">
        <v>215.03027199999997</v>
      </c>
      <c r="E642">
        <f t="shared" si="41"/>
        <v>70.786883971619915</v>
      </c>
      <c r="F642">
        <f t="shared" si="42"/>
        <v>366.07728880859395</v>
      </c>
    </row>
    <row r="643" spans="1:6" x14ac:dyDescent="0.25">
      <c r="A643">
        <v>-122.741505270483</v>
      </c>
      <c r="B643">
        <v>268.9287901779835</v>
      </c>
      <c r="C643">
        <v>215.03027199999997</v>
      </c>
      <c r="E643">
        <f t="shared" si="41"/>
        <v>122.74150527048303</v>
      </c>
      <c r="F643">
        <f t="shared" si="42"/>
        <v>342.21073468273414</v>
      </c>
    </row>
    <row r="644" spans="1:6" x14ac:dyDescent="0.25">
      <c r="A644">
        <v>-172.39354710838003</v>
      </c>
      <c r="B644">
        <v>238.24767003007454</v>
      </c>
      <c r="C644">
        <v>215.03027199999997</v>
      </c>
      <c r="E644">
        <f t="shared" si="41"/>
        <v>172.39354710838006</v>
      </c>
      <c r="F644">
        <f t="shared" si="42"/>
        <v>320.51590657174847</v>
      </c>
    </row>
    <row r="645" spans="1:6" x14ac:dyDescent="0.25">
      <c r="A645">
        <v>-208.48413224373908</v>
      </c>
      <c r="B645">
        <v>212.94324791840816</v>
      </c>
      <c r="C645">
        <v>215.03027199999997</v>
      </c>
      <c r="E645">
        <f t="shared" si="41"/>
        <v>208.48413224373911</v>
      </c>
      <c r="F645">
        <f t="shared" si="42"/>
        <v>302.62297810258235</v>
      </c>
    </row>
    <row r="646" spans="1:6" x14ac:dyDescent="0.25">
      <c r="A646">
        <v>-234.93173664287465</v>
      </c>
      <c r="B646">
        <v>194.96135666180038</v>
      </c>
      <c r="C646">
        <v>215.03027199999997</v>
      </c>
      <c r="E646">
        <f t="shared" si="41"/>
        <v>234.93173664287468</v>
      </c>
      <c r="F646">
        <f t="shared" si="42"/>
        <v>289.90786085647585</v>
      </c>
    </row>
    <row r="647" spans="1:6" x14ac:dyDescent="0.25">
      <c r="A647">
        <v>-257.99720617911231</v>
      </c>
      <c r="B647">
        <v>182.14268810452262</v>
      </c>
      <c r="C647">
        <v>215.03027199999997</v>
      </c>
      <c r="E647">
        <f t="shared" si="41"/>
        <v>257.99720617911231</v>
      </c>
      <c r="F647">
        <f t="shared" si="42"/>
        <v>280.84369339384199</v>
      </c>
    </row>
    <row r="648" spans="1:6" x14ac:dyDescent="0.25">
      <c r="A648">
        <v>-278.41184526299196</v>
      </c>
      <c r="B648">
        <v>169.72597694840024</v>
      </c>
      <c r="C648">
        <v>215.03027199999997</v>
      </c>
      <c r="E648">
        <f t="shared" si="41"/>
        <v>278.41184526299196</v>
      </c>
      <c r="F648">
        <f t="shared" si="42"/>
        <v>272.06375273531319</v>
      </c>
    </row>
    <row r="649" spans="1:6" x14ac:dyDescent="0.25">
      <c r="A649">
        <v>-298.81481314983301</v>
      </c>
      <c r="B649">
        <v>158.58537832876553</v>
      </c>
      <c r="C649">
        <v>215.03027199999997</v>
      </c>
      <c r="E649">
        <f t="shared" si="41"/>
        <v>298.81481314983301</v>
      </c>
      <c r="F649">
        <f t="shared" si="42"/>
        <v>264.18615990489201</v>
      </c>
    </row>
    <row r="650" spans="1:6" x14ac:dyDescent="0.25">
      <c r="A650">
        <v>-319.03030438086887</v>
      </c>
      <c r="B650">
        <v>147.85844682516739</v>
      </c>
      <c r="C650">
        <v>215.03027199999997</v>
      </c>
      <c r="E650">
        <f t="shared" si="41"/>
        <v>319.03030438086887</v>
      </c>
      <c r="F650">
        <f t="shared" si="42"/>
        <v>256.60107389737414</v>
      </c>
    </row>
    <row r="651" spans="1:6" x14ac:dyDescent="0.25">
      <c r="A651">
        <v>-337.35572083551818</v>
      </c>
      <c r="B651">
        <v>136.87416284007571</v>
      </c>
      <c r="C651">
        <v>215.03027199999997</v>
      </c>
      <c r="E651">
        <f t="shared" si="41"/>
        <v>337.35572083551818</v>
      </c>
      <c r="F651">
        <f t="shared" si="42"/>
        <v>248.83401220503703</v>
      </c>
    </row>
    <row r="652" spans="1:6" x14ac:dyDescent="0.25">
      <c r="A652">
        <v>-360.81584971384734</v>
      </c>
      <c r="B652">
        <v>124.71091007959062</v>
      </c>
      <c r="C652">
        <v>215.03027199999997</v>
      </c>
      <c r="E652">
        <f t="shared" si="41"/>
        <v>360.81584971384734</v>
      </c>
      <c r="F652">
        <f t="shared" si="42"/>
        <v>240.23329369681204</v>
      </c>
    </row>
    <row r="653" spans="1:6" x14ac:dyDescent="0.25">
      <c r="A653">
        <v>-385.35695973291905</v>
      </c>
      <c r="B653">
        <v>110.86846084423057</v>
      </c>
      <c r="C653">
        <v>215.03027199999997</v>
      </c>
      <c r="E653">
        <f t="shared" si="41"/>
        <v>385.35695973291905</v>
      </c>
      <c r="F653">
        <f t="shared" si="42"/>
        <v>230.44520397425839</v>
      </c>
    </row>
    <row r="654" spans="1:6" x14ac:dyDescent="0.25">
      <c r="A654">
        <v>-410.47625974217726</v>
      </c>
      <c r="B654">
        <v>95.076586099668319</v>
      </c>
      <c r="C654">
        <v>215.03027199999997</v>
      </c>
      <c r="E654">
        <f t="shared" si="41"/>
        <v>410.47625974217726</v>
      </c>
      <c r="F654">
        <f t="shared" si="42"/>
        <v>219.27866225472985</v>
      </c>
    </row>
    <row r="655" spans="1:6" x14ac:dyDescent="0.25">
      <c r="A655">
        <v>-438.74441529687175</v>
      </c>
      <c r="B655">
        <v>77.08492122713038</v>
      </c>
      <c r="C655">
        <v>215.03027199999997</v>
      </c>
      <c r="E655">
        <f t="shared" si="41"/>
        <v>438.74441529687175</v>
      </c>
      <c r="F655">
        <f t="shared" si="42"/>
        <v>206.55663401852246</v>
      </c>
    </row>
    <row r="656" spans="1:6" x14ac:dyDescent="0.25">
      <c r="A656">
        <v>-469.62741706817764</v>
      </c>
      <c r="B656">
        <v>57.668458756095482</v>
      </c>
      <c r="C656">
        <v>215.03027199999997</v>
      </c>
      <c r="E656">
        <f t="shared" si="41"/>
        <v>469.62741706817764</v>
      </c>
      <c r="F656">
        <f t="shared" si="42"/>
        <v>192.82712173859957</v>
      </c>
    </row>
    <row r="657" spans="1:6" x14ac:dyDescent="0.25">
      <c r="A657">
        <v>-483.02908098944124</v>
      </c>
      <c r="B657">
        <v>39.19735108857374</v>
      </c>
      <c r="C657">
        <v>215.03027199999997</v>
      </c>
      <c r="E657">
        <f t="shared" si="41"/>
        <v>483.02908098944124</v>
      </c>
      <c r="F657">
        <f t="shared" si="42"/>
        <v>179.76607625086811</v>
      </c>
    </row>
    <row r="658" spans="1:6" x14ac:dyDescent="0.25">
      <c r="A658">
        <v>-538.97925238593666</v>
      </c>
      <c r="B658">
        <v>-4.897993417060093E-14</v>
      </c>
      <c r="C658">
        <v>295.10905599999995</v>
      </c>
      <c r="E658">
        <f t="shared" si="41"/>
        <v>538.97925238593666</v>
      </c>
      <c r="F658">
        <f t="shared" si="42"/>
        <v>208.67361468716047</v>
      </c>
    </row>
    <row r="659" spans="1:6" x14ac:dyDescent="0.25">
      <c r="A659">
        <v>-534.22851021546194</v>
      </c>
      <c r="B659">
        <v>-20.501536977551716</v>
      </c>
      <c r="C659">
        <v>295.10905599999995</v>
      </c>
      <c r="E659">
        <f t="shared" si="41"/>
        <v>534.22851021546194</v>
      </c>
      <c r="F659">
        <f t="shared" si="42"/>
        <v>194.17683886558694</v>
      </c>
    </row>
    <row r="660" spans="1:6" x14ac:dyDescent="0.25">
      <c r="A660">
        <v>-508.42208136754033</v>
      </c>
      <c r="B660">
        <v>-38.5483165076541</v>
      </c>
      <c r="C660">
        <v>295.10905599999995</v>
      </c>
      <c r="E660">
        <f t="shared" ref="E660:E723" si="43">($I$2*A660)+($K$2*B660)+($M$2*C660)</f>
        <v>508.42208136754039</v>
      </c>
      <c r="F660">
        <f t="shared" ref="F660:F723" si="44">($J$2*A660)+($L$2*B660)+($N$2*C660)</f>
        <v>181.41583868127296</v>
      </c>
    </row>
    <row r="661" spans="1:6" x14ac:dyDescent="0.25">
      <c r="A661">
        <v>-479.66532392458885</v>
      </c>
      <c r="B661">
        <v>-57.591648340488327</v>
      </c>
      <c r="C661">
        <v>295.10905599999995</v>
      </c>
      <c r="E661">
        <f t="shared" si="43"/>
        <v>479.6653239245889</v>
      </c>
      <c r="F661">
        <f t="shared" si="44"/>
        <v>167.95016960589024</v>
      </c>
    </row>
    <row r="662" spans="1:6" x14ac:dyDescent="0.25">
      <c r="A662">
        <v>-456.48778036419816</v>
      </c>
      <c r="B662">
        <v>-73.220735457138332</v>
      </c>
      <c r="C662">
        <v>295.10905599999995</v>
      </c>
      <c r="E662">
        <f t="shared" si="43"/>
        <v>456.48778036419822</v>
      </c>
      <c r="F662">
        <f t="shared" si="44"/>
        <v>156.89873612195171</v>
      </c>
    </row>
    <row r="663" spans="1:6" x14ac:dyDescent="0.25">
      <c r="A663">
        <v>-431.20414265900558</v>
      </c>
      <c r="B663">
        <v>-88.533240189330925</v>
      </c>
      <c r="C663">
        <v>295.10905599999995</v>
      </c>
      <c r="E663">
        <f t="shared" si="43"/>
        <v>431.20414265900564</v>
      </c>
      <c r="F663">
        <f t="shared" si="44"/>
        <v>146.07116018886722</v>
      </c>
    </row>
    <row r="664" spans="1:6" x14ac:dyDescent="0.25">
      <c r="A664">
        <v>-401.91479881836176</v>
      </c>
      <c r="B664">
        <v>-106.23973644330688</v>
      </c>
      <c r="C664">
        <v>295.10905599999995</v>
      </c>
      <c r="E664">
        <f t="shared" si="43"/>
        <v>401.91479881836182</v>
      </c>
      <c r="F664">
        <f t="shared" si="44"/>
        <v>133.55077661662665</v>
      </c>
    </row>
    <row r="665" spans="1:6" x14ac:dyDescent="0.25">
      <c r="A665">
        <v>-373.82712613907773</v>
      </c>
      <c r="B665">
        <v>-122.85248882686352</v>
      </c>
      <c r="C665">
        <v>295.10905599999995</v>
      </c>
      <c r="E665">
        <f t="shared" si="43"/>
        <v>373.82712613907779</v>
      </c>
      <c r="F665">
        <f t="shared" si="44"/>
        <v>121.80378675204076</v>
      </c>
    </row>
    <row r="666" spans="1:6" x14ac:dyDescent="0.25">
      <c r="A666">
        <v>-347.28386747057021</v>
      </c>
      <c r="B666">
        <v>-136.77564992344637</v>
      </c>
      <c r="C666">
        <v>295.10905599999995</v>
      </c>
      <c r="E666">
        <f t="shared" si="43"/>
        <v>347.28386747057027</v>
      </c>
      <c r="F666">
        <f t="shared" si="44"/>
        <v>111.9586251250943</v>
      </c>
    </row>
    <row r="667" spans="1:6" x14ac:dyDescent="0.25">
      <c r="A667">
        <v>-323.48929133225238</v>
      </c>
      <c r="B667">
        <v>-149.18858719424378</v>
      </c>
      <c r="C667">
        <v>295.10905599999995</v>
      </c>
      <c r="E667">
        <f t="shared" si="43"/>
        <v>323.48929133225244</v>
      </c>
      <c r="F667">
        <f t="shared" si="44"/>
        <v>103.18135300647022</v>
      </c>
    </row>
    <row r="668" spans="1:6" x14ac:dyDescent="0.25">
      <c r="A668">
        <v>-300.92471416727068</v>
      </c>
      <c r="B668">
        <v>-159.65590538612201</v>
      </c>
      <c r="C668">
        <v>295.10905599999995</v>
      </c>
      <c r="E668">
        <f t="shared" si="43"/>
        <v>300.92471416727074</v>
      </c>
      <c r="F668">
        <f t="shared" si="44"/>
        <v>95.779841332155797</v>
      </c>
    </row>
    <row r="669" spans="1:6" x14ac:dyDescent="0.25">
      <c r="A669">
        <v>-282.1557307311906</v>
      </c>
      <c r="B669">
        <v>-171.67899532094904</v>
      </c>
      <c r="C669">
        <v>295.10905599999995</v>
      </c>
      <c r="E669">
        <f t="shared" si="43"/>
        <v>282.15573073119066</v>
      </c>
      <c r="F669">
        <f t="shared" si="44"/>
        <v>87.278232908423888</v>
      </c>
    </row>
    <row r="670" spans="1:6" x14ac:dyDescent="0.25">
      <c r="A670">
        <v>-260.54573846264759</v>
      </c>
      <c r="B670">
        <v>-184.92884719892999</v>
      </c>
      <c r="C670">
        <v>295.10905599999995</v>
      </c>
      <c r="E670">
        <f t="shared" si="43"/>
        <v>260.54573846264765</v>
      </c>
      <c r="F670">
        <f t="shared" si="44"/>
        <v>77.909172795786247</v>
      </c>
    </row>
    <row r="671" spans="1:6" x14ac:dyDescent="0.25">
      <c r="A671">
        <v>-236.94307419538507</v>
      </c>
      <c r="B671">
        <v>-200.50330897562523</v>
      </c>
      <c r="C671">
        <v>295.10905599999995</v>
      </c>
      <c r="E671">
        <f t="shared" si="43"/>
        <v>236.94307419538509</v>
      </c>
      <c r="F671">
        <f t="shared" si="44"/>
        <v>66.89636526015434</v>
      </c>
    </row>
    <row r="672" spans="1:6" x14ac:dyDescent="0.25">
      <c r="A672">
        <v>-208.48751526329374</v>
      </c>
      <c r="B672">
        <v>-220.4497858385964</v>
      </c>
      <c r="C672">
        <v>295.10905599999995</v>
      </c>
      <c r="E672">
        <f t="shared" si="43"/>
        <v>208.48751526329377</v>
      </c>
      <c r="F672">
        <f t="shared" si="44"/>
        <v>52.792076209566858</v>
      </c>
    </row>
    <row r="673" spans="1:6" x14ac:dyDescent="0.25">
      <c r="A673">
        <v>-168.17579412027806</v>
      </c>
      <c r="B673">
        <v>-248.19964943908752</v>
      </c>
      <c r="C673">
        <v>295.10905599999995</v>
      </c>
      <c r="E673">
        <f t="shared" si="43"/>
        <v>168.17579412027808</v>
      </c>
      <c r="F673">
        <f t="shared" si="44"/>
        <v>33.169959480657838</v>
      </c>
    </row>
    <row r="674" spans="1:6" x14ac:dyDescent="0.25">
      <c r="A674">
        <v>-113.02584101216839</v>
      </c>
      <c r="B674">
        <v>-281.44816727315526</v>
      </c>
      <c r="C674">
        <v>295.10905599999995</v>
      </c>
      <c r="E674">
        <f t="shared" si="43"/>
        <v>113.02584101216843</v>
      </c>
      <c r="F674">
        <f t="shared" si="44"/>
        <v>9.6597070557867255</v>
      </c>
    </row>
    <row r="675" spans="1:6" x14ac:dyDescent="0.25">
      <c r="A675">
        <v>-61.290353433999975</v>
      </c>
      <c r="B675">
        <v>-309.66773453644851</v>
      </c>
      <c r="C675">
        <v>295.10905599999995</v>
      </c>
      <c r="E675">
        <f t="shared" si="43"/>
        <v>61.290353434000011</v>
      </c>
      <c r="F675">
        <f t="shared" si="44"/>
        <v>-10.294540318237836</v>
      </c>
    </row>
    <row r="676" spans="1:6" x14ac:dyDescent="0.25">
      <c r="A676">
        <v>7.5380132311609238E-14</v>
      </c>
      <c r="B676">
        <v>-343.8095181690187</v>
      </c>
      <c r="C676">
        <v>295.10905599999995</v>
      </c>
      <c r="E676">
        <f t="shared" si="43"/>
        <v>-3.9224891912815104E-14</v>
      </c>
      <c r="F676">
        <f t="shared" si="44"/>
        <v>-34.436427046632105</v>
      </c>
    </row>
    <row r="677" spans="1:6" x14ac:dyDescent="0.25">
      <c r="A677">
        <v>61.290353433999798</v>
      </c>
      <c r="B677">
        <v>-309.66773453644851</v>
      </c>
      <c r="C677">
        <v>295.10905599999995</v>
      </c>
      <c r="E677">
        <f t="shared" si="43"/>
        <v>-61.290353433999762</v>
      </c>
      <c r="F677">
        <f t="shared" si="44"/>
        <v>-10.294540318237836</v>
      </c>
    </row>
    <row r="678" spans="1:6" x14ac:dyDescent="0.25">
      <c r="A678">
        <v>113.02584101216851</v>
      </c>
      <c r="B678">
        <v>-281.44816727315526</v>
      </c>
      <c r="C678">
        <v>295.10905599999995</v>
      </c>
      <c r="E678">
        <f t="shared" si="43"/>
        <v>-113.02584101216847</v>
      </c>
      <c r="F678">
        <f t="shared" si="44"/>
        <v>9.6597070557867255</v>
      </c>
    </row>
    <row r="679" spans="1:6" x14ac:dyDescent="0.25">
      <c r="A679">
        <v>168.175794120278</v>
      </c>
      <c r="B679">
        <v>-248.19964943908755</v>
      </c>
      <c r="C679">
        <v>295.10905599999995</v>
      </c>
      <c r="E679">
        <f t="shared" si="43"/>
        <v>-168.17579412027797</v>
      </c>
      <c r="F679">
        <f t="shared" si="44"/>
        <v>33.169959480657894</v>
      </c>
    </row>
    <row r="680" spans="1:6" x14ac:dyDescent="0.25">
      <c r="A680">
        <v>208.48751526329374</v>
      </c>
      <c r="B680">
        <v>-220.44978583859626</v>
      </c>
      <c r="C680">
        <v>295.10905599999995</v>
      </c>
      <c r="E680">
        <f t="shared" si="43"/>
        <v>-208.48751526329372</v>
      </c>
      <c r="F680">
        <f t="shared" si="44"/>
        <v>52.792076209567028</v>
      </c>
    </row>
    <row r="681" spans="1:6" x14ac:dyDescent="0.25">
      <c r="A681">
        <v>236.94307419538501</v>
      </c>
      <c r="B681">
        <v>-200.50330897562523</v>
      </c>
      <c r="C681">
        <v>295.10905599999995</v>
      </c>
      <c r="E681">
        <f t="shared" si="43"/>
        <v>-236.94307419538498</v>
      </c>
      <c r="F681">
        <f t="shared" si="44"/>
        <v>66.896365260154397</v>
      </c>
    </row>
    <row r="682" spans="1:6" x14ac:dyDescent="0.25">
      <c r="A682">
        <v>260.54573846264742</v>
      </c>
      <c r="B682">
        <v>-184.92884719893001</v>
      </c>
      <c r="C682">
        <v>295.10905599999995</v>
      </c>
      <c r="E682">
        <f t="shared" si="43"/>
        <v>-260.54573846264736</v>
      </c>
      <c r="F682">
        <f t="shared" si="44"/>
        <v>77.909172795786276</v>
      </c>
    </row>
    <row r="683" spans="1:6" x14ac:dyDescent="0.25">
      <c r="A683">
        <v>282.1557307311906</v>
      </c>
      <c r="B683">
        <v>-171.67899532094916</v>
      </c>
      <c r="C683">
        <v>295.10905599999995</v>
      </c>
      <c r="E683">
        <f t="shared" si="43"/>
        <v>-282.15573073119054</v>
      </c>
      <c r="F683">
        <f t="shared" si="44"/>
        <v>87.27823290842386</v>
      </c>
    </row>
    <row r="684" spans="1:6" x14ac:dyDescent="0.25">
      <c r="A684">
        <v>300.92471416727068</v>
      </c>
      <c r="B684">
        <v>-159.65590538612193</v>
      </c>
      <c r="C684">
        <v>295.10905599999995</v>
      </c>
      <c r="E684">
        <f t="shared" si="43"/>
        <v>-300.92471416727062</v>
      </c>
      <c r="F684">
        <f t="shared" si="44"/>
        <v>95.779841332155925</v>
      </c>
    </row>
    <row r="685" spans="1:6" x14ac:dyDescent="0.25">
      <c r="A685">
        <v>323.48929133225238</v>
      </c>
      <c r="B685">
        <v>-149.18858719424372</v>
      </c>
      <c r="C685">
        <v>295.10905599999995</v>
      </c>
      <c r="E685">
        <f t="shared" si="43"/>
        <v>-323.48929133225232</v>
      </c>
      <c r="F685">
        <f t="shared" si="44"/>
        <v>103.1813530064703</v>
      </c>
    </row>
    <row r="686" spans="1:6" x14ac:dyDescent="0.25">
      <c r="A686">
        <v>347.28386747057027</v>
      </c>
      <c r="B686">
        <v>-136.77564992344634</v>
      </c>
      <c r="C686">
        <v>295.10905599999995</v>
      </c>
      <c r="E686">
        <f t="shared" si="43"/>
        <v>-347.28386747057021</v>
      </c>
      <c r="F686">
        <f t="shared" si="44"/>
        <v>111.95862512509437</v>
      </c>
    </row>
    <row r="687" spans="1:6" x14ac:dyDescent="0.25">
      <c r="A687">
        <v>373.82712613907773</v>
      </c>
      <c r="B687">
        <v>-122.85248882686348</v>
      </c>
      <c r="C687">
        <v>295.10905599999995</v>
      </c>
      <c r="E687">
        <f t="shared" si="43"/>
        <v>-373.82712613907768</v>
      </c>
      <c r="F687">
        <f t="shared" si="44"/>
        <v>121.80378675204085</v>
      </c>
    </row>
    <row r="688" spans="1:6" x14ac:dyDescent="0.25">
      <c r="A688">
        <v>401.91479881836182</v>
      </c>
      <c r="B688">
        <v>-106.23973644330681</v>
      </c>
      <c r="C688">
        <v>295.10905599999995</v>
      </c>
      <c r="E688">
        <f t="shared" si="43"/>
        <v>-401.91479881836176</v>
      </c>
      <c r="F688">
        <f t="shared" si="44"/>
        <v>133.55077661662676</v>
      </c>
    </row>
    <row r="689" spans="1:6" x14ac:dyDescent="0.25">
      <c r="A689">
        <v>431.20414265900547</v>
      </c>
      <c r="B689">
        <v>-88.533240189330925</v>
      </c>
      <c r="C689">
        <v>295.10905599999995</v>
      </c>
      <c r="E689">
        <f t="shared" si="43"/>
        <v>-431.20414265900541</v>
      </c>
      <c r="F689">
        <f t="shared" si="44"/>
        <v>146.07116018886731</v>
      </c>
    </row>
    <row r="690" spans="1:6" x14ac:dyDescent="0.25">
      <c r="A690">
        <v>456.4877803641981</v>
      </c>
      <c r="B690">
        <v>-73.220735457138247</v>
      </c>
      <c r="C690">
        <v>295.10905599999995</v>
      </c>
      <c r="E690">
        <f t="shared" si="43"/>
        <v>-456.48778036419804</v>
      </c>
      <c r="F690">
        <f t="shared" si="44"/>
        <v>156.89873612195186</v>
      </c>
    </row>
    <row r="691" spans="1:6" x14ac:dyDescent="0.25">
      <c r="A691">
        <v>479.66532392458862</v>
      </c>
      <c r="B691">
        <v>-57.591648340488284</v>
      </c>
      <c r="C691">
        <v>295.10905599999995</v>
      </c>
      <c r="E691">
        <f t="shared" si="43"/>
        <v>-479.66532392458856</v>
      </c>
      <c r="F691">
        <f t="shared" si="44"/>
        <v>167.95016960589035</v>
      </c>
    </row>
    <row r="692" spans="1:6" x14ac:dyDescent="0.25">
      <c r="A692">
        <v>508.42208136754022</v>
      </c>
      <c r="B692">
        <v>-38.548316507654178</v>
      </c>
      <c r="C692">
        <v>295.10905599999995</v>
      </c>
      <c r="E692">
        <f t="shared" si="43"/>
        <v>-508.42208136754016</v>
      </c>
      <c r="F692">
        <f t="shared" si="44"/>
        <v>181.41583868127299</v>
      </c>
    </row>
    <row r="693" spans="1:6" x14ac:dyDescent="0.25">
      <c r="A693">
        <v>534.22851021546194</v>
      </c>
      <c r="B693">
        <v>-20.501536977551666</v>
      </c>
      <c r="C693">
        <v>295.10905599999995</v>
      </c>
      <c r="E693">
        <f t="shared" si="43"/>
        <v>-534.22851021546194</v>
      </c>
      <c r="F693">
        <f t="shared" si="44"/>
        <v>194.17683886558706</v>
      </c>
    </row>
    <row r="694" spans="1:6" x14ac:dyDescent="0.25">
      <c r="A694">
        <v>538.97925238593655</v>
      </c>
      <c r="B694">
        <v>0</v>
      </c>
      <c r="C694">
        <v>295.10905599999995</v>
      </c>
      <c r="E694">
        <f t="shared" si="43"/>
        <v>-538.97925238593655</v>
      </c>
      <c r="F694">
        <f t="shared" si="44"/>
        <v>208.67361468716061</v>
      </c>
    </row>
    <row r="695" spans="1:6" x14ac:dyDescent="0.25">
      <c r="A695">
        <v>534.22851021546182</v>
      </c>
      <c r="B695">
        <v>20.501536977551655</v>
      </c>
      <c r="C695">
        <v>295.10905599999995</v>
      </c>
      <c r="E695">
        <f t="shared" si="43"/>
        <v>-534.22851021546182</v>
      </c>
      <c r="F695">
        <f t="shared" si="44"/>
        <v>223.17039050873413</v>
      </c>
    </row>
    <row r="696" spans="1:6" x14ac:dyDescent="0.25">
      <c r="A696">
        <v>508.42208136754039</v>
      </c>
      <c r="B696">
        <v>38.548316507654107</v>
      </c>
      <c r="C696">
        <v>295.10905599999995</v>
      </c>
      <c r="E696">
        <f t="shared" si="43"/>
        <v>-508.42208136754033</v>
      </c>
      <c r="F696">
        <f t="shared" si="44"/>
        <v>235.93139069304814</v>
      </c>
    </row>
    <row r="697" spans="1:6" x14ac:dyDescent="0.25">
      <c r="A697">
        <v>479.66532392458868</v>
      </c>
      <c r="B697">
        <v>57.591648340488327</v>
      </c>
      <c r="C697">
        <v>295.10905599999995</v>
      </c>
      <c r="E697">
        <f t="shared" si="43"/>
        <v>-479.66532392458862</v>
      </c>
      <c r="F697">
        <f t="shared" si="44"/>
        <v>249.39705976843086</v>
      </c>
    </row>
    <row r="698" spans="1:6" x14ac:dyDescent="0.25">
      <c r="A698">
        <v>456.48778036419804</v>
      </c>
      <c r="B698">
        <v>73.220735457138218</v>
      </c>
      <c r="C698">
        <v>295.10905599999995</v>
      </c>
      <c r="E698">
        <f t="shared" si="43"/>
        <v>-456.48778036419799</v>
      </c>
      <c r="F698">
        <f t="shared" si="44"/>
        <v>260.4484932523693</v>
      </c>
    </row>
    <row r="699" spans="1:6" x14ac:dyDescent="0.25">
      <c r="A699">
        <v>431.20414265900547</v>
      </c>
      <c r="B699">
        <v>88.533240189330925</v>
      </c>
      <c r="C699">
        <v>295.10905599999995</v>
      </c>
      <c r="E699">
        <f t="shared" si="43"/>
        <v>-431.20414265900541</v>
      </c>
      <c r="F699">
        <f t="shared" si="44"/>
        <v>271.27606918545388</v>
      </c>
    </row>
    <row r="700" spans="1:6" x14ac:dyDescent="0.25">
      <c r="A700">
        <v>401.91479881836182</v>
      </c>
      <c r="B700">
        <v>106.23973644330681</v>
      </c>
      <c r="C700">
        <v>295.10905599999995</v>
      </c>
      <c r="E700">
        <f t="shared" si="43"/>
        <v>-401.91479881836176</v>
      </c>
      <c r="F700">
        <f t="shared" si="44"/>
        <v>283.7964527576944</v>
      </c>
    </row>
    <row r="701" spans="1:6" x14ac:dyDescent="0.25">
      <c r="A701">
        <v>373.82712613907796</v>
      </c>
      <c r="B701">
        <v>122.85248882686342</v>
      </c>
      <c r="C701">
        <v>295.10905599999995</v>
      </c>
      <c r="E701">
        <f t="shared" si="43"/>
        <v>-373.8271261390779</v>
      </c>
      <c r="F701">
        <f t="shared" si="44"/>
        <v>295.54344262228028</v>
      </c>
    </row>
    <row r="702" spans="1:6" x14ac:dyDescent="0.25">
      <c r="A702">
        <v>347.28386747057027</v>
      </c>
      <c r="B702">
        <v>136.77564992344634</v>
      </c>
      <c r="C702">
        <v>295.10905599999995</v>
      </c>
      <c r="E702">
        <f t="shared" si="43"/>
        <v>-347.28386747057021</v>
      </c>
      <c r="F702">
        <f t="shared" si="44"/>
        <v>305.38860424922677</v>
      </c>
    </row>
    <row r="703" spans="1:6" x14ac:dyDescent="0.25">
      <c r="A703">
        <v>323.48929133225238</v>
      </c>
      <c r="B703">
        <v>149.18858719424372</v>
      </c>
      <c r="C703">
        <v>295.10905599999995</v>
      </c>
      <c r="E703">
        <f t="shared" si="43"/>
        <v>-323.48929133225232</v>
      </c>
      <c r="F703">
        <f t="shared" si="44"/>
        <v>314.16587636785084</v>
      </c>
    </row>
    <row r="704" spans="1:6" x14ac:dyDescent="0.25">
      <c r="A704">
        <v>300.92471416727079</v>
      </c>
      <c r="B704">
        <v>159.65590538612193</v>
      </c>
      <c r="C704">
        <v>295.10905599999995</v>
      </c>
      <c r="E704">
        <f t="shared" si="43"/>
        <v>-300.92471416727074</v>
      </c>
      <c r="F704">
        <f t="shared" si="44"/>
        <v>321.56738804216525</v>
      </c>
    </row>
    <row r="705" spans="1:6" x14ac:dyDescent="0.25">
      <c r="A705">
        <v>282.15573073119072</v>
      </c>
      <c r="B705">
        <v>171.6789953209491</v>
      </c>
      <c r="C705">
        <v>295.10905599999995</v>
      </c>
      <c r="E705">
        <f t="shared" si="43"/>
        <v>-282.15573073119066</v>
      </c>
      <c r="F705">
        <f t="shared" si="44"/>
        <v>330.06899646589727</v>
      </c>
    </row>
    <row r="706" spans="1:6" x14ac:dyDescent="0.25">
      <c r="A706">
        <v>260.54573846264765</v>
      </c>
      <c r="B706">
        <v>184.92884719893001</v>
      </c>
      <c r="C706">
        <v>295.10905599999995</v>
      </c>
      <c r="E706">
        <f t="shared" si="43"/>
        <v>-260.54573846264759</v>
      </c>
      <c r="F706">
        <f t="shared" si="44"/>
        <v>339.43805657853488</v>
      </c>
    </row>
    <row r="707" spans="1:6" x14ac:dyDescent="0.25">
      <c r="A707">
        <v>236.94307419538515</v>
      </c>
      <c r="B707">
        <v>200.50330897562517</v>
      </c>
      <c r="C707">
        <v>295.10905599999995</v>
      </c>
      <c r="E707">
        <f t="shared" si="43"/>
        <v>-236.94307419538512</v>
      </c>
      <c r="F707">
        <f t="shared" si="44"/>
        <v>350.45086411416673</v>
      </c>
    </row>
    <row r="708" spans="1:6" x14ac:dyDescent="0.25">
      <c r="A708">
        <v>208.48751526329394</v>
      </c>
      <c r="B708">
        <v>220.44978583859626</v>
      </c>
      <c r="C708">
        <v>295.10905599999995</v>
      </c>
      <c r="E708">
        <f t="shared" si="43"/>
        <v>-208.48751526329391</v>
      </c>
      <c r="F708">
        <f t="shared" si="44"/>
        <v>364.55515316475413</v>
      </c>
    </row>
    <row r="709" spans="1:6" x14ac:dyDescent="0.25">
      <c r="A709">
        <v>168.17579412027789</v>
      </c>
      <c r="B709">
        <v>248.19964943908752</v>
      </c>
      <c r="C709">
        <v>295.10905599999995</v>
      </c>
      <c r="E709">
        <f t="shared" si="43"/>
        <v>-168.17579412027786</v>
      </c>
      <c r="F709">
        <f t="shared" si="44"/>
        <v>384.17726989366327</v>
      </c>
    </row>
    <row r="710" spans="1:6" x14ac:dyDescent="0.25">
      <c r="A710">
        <v>113.02584101216839</v>
      </c>
      <c r="B710">
        <v>281.44816727315532</v>
      </c>
      <c r="C710">
        <v>295.10905599999995</v>
      </c>
      <c r="E710">
        <f t="shared" si="43"/>
        <v>-113.02584101216834</v>
      </c>
      <c r="F710">
        <f t="shared" si="44"/>
        <v>407.68752231853443</v>
      </c>
    </row>
    <row r="711" spans="1:6" x14ac:dyDescent="0.25">
      <c r="A711">
        <v>61.290353433999798</v>
      </c>
      <c r="B711">
        <v>309.66773453644851</v>
      </c>
      <c r="C711">
        <v>295.10905599999995</v>
      </c>
      <c r="E711">
        <f t="shared" si="43"/>
        <v>-61.290353433999762</v>
      </c>
      <c r="F711">
        <f t="shared" si="44"/>
        <v>427.64176969255891</v>
      </c>
    </row>
    <row r="712" spans="1:6" x14ac:dyDescent="0.25">
      <c r="A712">
        <v>8.3512392657816127E-14</v>
      </c>
      <c r="B712">
        <v>343.8095181690187</v>
      </c>
      <c r="C712">
        <v>295.10905599999995</v>
      </c>
      <c r="E712">
        <f t="shared" si="43"/>
        <v>-4.7357152259021994E-14</v>
      </c>
      <c r="F712">
        <f t="shared" si="44"/>
        <v>451.78365642095321</v>
      </c>
    </row>
    <row r="713" spans="1:6" x14ac:dyDescent="0.25">
      <c r="A713">
        <v>-61.290353433999776</v>
      </c>
      <c r="B713">
        <v>309.66773453644856</v>
      </c>
      <c r="C713">
        <v>295.10905599999995</v>
      </c>
      <c r="E713">
        <f t="shared" si="43"/>
        <v>61.290353433999812</v>
      </c>
      <c r="F713">
        <f t="shared" si="44"/>
        <v>427.64176969255902</v>
      </c>
    </row>
    <row r="714" spans="1:6" x14ac:dyDescent="0.25">
      <c r="A714">
        <v>-113.02584101216829</v>
      </c>
      <c r="B714">
        <v>281.44816727315543</v>
      </c>
      <c r="C714">
        <v>295.10905599999995</v>
      </c>
      <c r="E714">
        <f t="shared" si="43"/>
        <v>113.02584101216833</v>
      </c>
      <c r="F714">
        <f t="shared" si="44"/>
        <v>407.68752231853455</v>
      </c>
    </row>
    <row r="715" spans="1:6" x14ac:dyDescent="0.25">
      <c r="A715">
        <v>-168.17579412027786</v>
      </c>
      <c r="B715">
        <v>248.19964943908764</v>
      </c>
      <c r="C715">
        <v>295.10905599999995</v>
      </c>
      <c r="E715">
        <f t="shared" si="43"/>
        <v>168.17579412027789</v>
      </c>
      <c r="F715">
        <f t="shared" si="44"/>
        <v>384.17726989366327</v>
      </c>
    </row>
    <row r="716" spans="1:6" x14ac:dyDescent="0.25">
      <c r="A716">
        <v>-208.48751526329355</v>
      </c>
      <c r="B716">
        <v>220.44978583859651</v>
      </c>
      <c r="C716">
        <v>295.10905599999995</v>
      </c>
      <c r="E716">
        <f t="shared" si="43"/>
        <v>208.48751526329357</v>
      </c>
      <c r="F716">
        <f t="shared" si="44"/>
        <v>364.5551531647543</v>
      </c>
    </row>
    <row r="717" spans="1:6" x14ac:dyDescent="0.25">
      <c r="A717">
        <v>-236.94307419538484</v>
      </c>
      <c r="B717">
        <v>200.50330897562529</v>
      </c>
      <c r="C717">
        <v>295.10905599999995</v>
      </c>
      <c r="E717">
        <f t="shared" si="43"/>
        <v>236.94307419538487</v>
      </c>
      <c r="F717">
        <f t="shared" si="44"/>
        <v>350.45086411416673</v>
      </c>
    </row>
    <row r="718" spans="1:6" x14ac:dyDescent="0.25">
      <c r="A718">
        <v>-260.54573846264759</v>
      </c>
      <c r="B718">
        <v>184.92884719892999</v>
      </c>
      <c r="C718">
        <v>295.10905599999995</v>
      </c>
      <c r="E718">
        <f t="shared" si="43"/>
        <v>260.54573846264765</v>
      </c>
      <c r="F718">
        <f t="shared" si="44"/>
        <v>339.43805657853477</v>
      </c>
    </row>
    <row r="719" spans="1:6" x14ac:dyDescent="0.25">
      <c r="A719">
        <v>-282.1557307311906</v>
      </c>
      <c r="B719">
        <v>171.67899532094907</v>
      </c>
      <c r="C719">
        <v>295.10905599999995</v>
      </c>
      <c r="E719">
        <f t="shared" si="43"/>
        <v>282.15573073119066</v>
      </c>
      <c r="F719">
        <f t="shared" si="44"/>
        <v>330.06899646589716</v>
      </c>
    </row>
    <row r="720" spans="1:6" x14ac:dyDescent="0.25">
      <c r="A720">
        <v>-300.92471416727068</v>
      </c>
      <c r="B720">
        <v>159.65590538612196</v>
      </c>
      <c r="C720">
        <v>295.10905599999995</v>
      </c>
      <c r="E720">
        <f t="shared" si="43"/>
        <v>300.92471416727074</v>
      </c>
      <c r="F720">
        <f t="shared" si="44"/>
        <v>321.56738804216519</v>
      </c>
    </row>
    <row r="721" spans="1:6" x14ac:dyDescent="0.25">
      <c r="A721">
        <v>-323.48929133225238</v>
      </c>
      <c r="B721">
        <v>149.18858719424372</v>
      </c>
      <c r="C721">
        <v>295.10905599999995</v>
      </c>
      <c r="E721">
        <f t="shared" si="43"/>
        <v>323.48929133225244</v>
      </c>
      <c r="F721">
        <f t="shared" si="44"/>
        <v>314.16587636785079</v>
      </c>
    </row>
    <row r="722" spans="1:6" x14ac:dyDescent="0.25">
      <c r="A722">
        <v>-347.28386747057027</v>
      </c>
      <c r="B722">
        <v>136.77564992344634</v>
      </c>
      <c r="C722">
        <v>295.10905599999995</v>
      </c>
      <c r="E722">
        <f t="shared" si="43"/>
        <v>347.28386747057033</v>
      </c>
      <c r="F722">
        <f t="shared" si="44"/>
        <v>305.38860424922672</v>
      </c>
    </row>
    <row r="723" spans="1:6" x14ac:dyDescent="0.25">
      <c r="A723">
        <v>-373.82712613907779</v>
      </c>
      <c r="B723">
        <v>122.85248882686356</v>
      </c>
      <c r="C723">
        <v>295.10905599999995</v>
      </c>
      <c r="E723">
        <f t="shared" si="43"/>
        <v>373.82712613907785</v>
      </c>
      <c r="F723">
        <f t="shared" si="44"/>
        <v>295.54344262228034</v>
      </c>
    </row>
    <row r="724" spans="1:6" x14ac:dyDescent="0.25">
      <c r="A724">
        <v>-401.9147988183617</v>
      </c>
      <c r="B724">
        <v>106.23973644330695</v>
      </c>
      <c r="C724">
        <v>295.10905599999995</v>
      </c>
      <c r="E724">
        <f t="shared" ref="E724:E787" si="45">($I$2*A724)+($K$2*B724)+($M$2*C724)</f>
        <v>401.91479881836176</v>
      </c>
      <c r="F724">
        <f t="shared" ref="F724:F787" si="46">($J$2*A724)+($L$2*B724)+($N$2*C724)</f>
        <v>283.79645275769445</v>
      </c>
    </row>
    <row r="725" spans="1:6" x14ac:dyDescent="0.25">
      <c r="A725">
        <v>-431.20414265900541</v>
      </c>
      <c r="B725">
        <v>88.533240189331039</v>
      </c>
      <c r="C725">
        <v>295.10905599999995</v>
      </c>
      <c r="E725">
        <f t="shared" si="45"/>
        <v>431.20414265900547</v>
      </c>
      <c r="F725">
        <f t="shared" si="46"/>
        <v>271.27606918545388</v>
      </c>
    </row>
    <row r="726" spans="1:6" x14ac:dyDescent="0.25">
      <c r="A726">
        <v>-456.4877803641981</v>
      </c>
      <c r="B726">
        <v>73.220735457138417</v>
      </c>
      <c r="C726">
        <v>295.10905599999995</v>
      </c>
      <c r="E726">
        <f t="shared" si="45"/>
        <v>456.48778036419816</v>
      </c>
      <c r="F726">
        <f t="shared" si="46"/>
        <v>260.44849325236936</v>
      </c>
    </row>
    <row r="727" spans="1:6" x14ac:dyDescent="0.25">
      <c r="A727">
        <v>-479.6653239245889</v>
      </c>
      <c r="B727">
        <v>57.591648340488241</v>
      </c>
      <c r="C727">
        <v>295.10905599999995</v>
      </c>
      <c r="E727">
        <f t="shared" si="45"/>
        <v>479.66532392458896</v>
      </c>
      <c r="F727">
        <f t="shared" si="46"/>
        <v>249.39705976843072</v>
      </c>
    </row>
    <row r="728" spans="1:6" x14ac:dyDescent="0.25">
      <c r="A728">
        <v>-508.42208136754033</v>
      </c>
      <c r="B728">
        <v>38.5483165076541</v>
      </c>
      <c r="C728">
        <v>295.10905599999995</v>
      </c>
      <c r="E728">
        <f t="shared" si="45"/>
        <v>508.42208136754039</v>
      </c>
      <c r="F728">
        <f t="shared" si="46"/>
        <v>235.93139069304806</v>
      </c>
    </row>
    <row r="729" spans="1:6" x14ac:dyDescent="0.25">
      <c r="A729">
        <v>-573.84902497255882</v>
      </c>
      <c r="B729">
        <v>-5.36044145163198E-14</v>
      </c>
      <c r="C729">
        <v>375.18783999999994</v>
      </c>
      <c r="E729">
        <f t="shared" si="45"/>
        <v>573.84902497255882</v>
      </c>
      <c r="F729">
        <f t="shared" si="46"/>
        <v>265.29786588273322</v>
      </c>
    </row>
    <row r="730" spans="1:6" x14ac:dyDescent="0.25">
      <c r="A730">
        <v>-540.03490782086703</v>
      </c>
      <c r="B730">
        <v>-19.604375662519459</v>
      </c>
      <c r="C730">
        <v>375.18783999999994</v>
      </c>
      <c r="E730">
        <f t="shared" si="45"/>
        <v>540.03490782086703</v>
      </c>
      <c r="F730">
        <f t="shared" si="46"/>
        <v>251.43547891083728</v>
      </c>
    </row>
    <row r="731" spans="1:6" x14ac:dyDescent="0.25">
      <c r="A731">
        <v>-511.52223223294646</v>
      </c>
      <c r="B731">
        <v>-37.222486750717891</v>
      </c>
      <c r="C731">
        <v>375.18783999999994</v>
      </c>
      <c r="E731">
        <f t="shared" si="45"/>
        <v>511.52223223294652</v>
      </c>
      <c r="F731">
        <f t="shared" si="46"/>
        <v>238.97759308867424</v>
      </c>
    </row>
    <row r="732" spans="1:6" x14ac:dyDescent="0.25">
      <c r="A732">
        <v>-486.98149327372454</v>
      </c>
      <c r="B732">
        <v>-52.762195568669377</v>
      </c>
      <c r="C732">
        <v>375.18783999999994</v>
      </c>
      <c r="E732">
        <f t="shared" si="45"/>
        <v>486.9814932737246</v>
      </c>
      <c r="F732">
        <f t="shared" si="46"/>
        <v>227.98935960583637</v>
      </c>
    </row>
    <row r="733" spans="1:6" x14ac:dyDescent="0.25">
      <c r="A733">
        <v>-464.89853110412236</v>
      </c>
      <c r="B733">
        <v>-67.443348882504111</v>
      </c>
      <c r="C733">
        <v>375.18783999999994</v>
      </c>
      <c r="E733">
        <f t="shared" si="45"/>
        <v>464.89853110412241</v>
      </c>
      <c r="F733">
        <f t="shared" si="46"/>
        <v>217.60821654198446</v>
      </c>
    </row>
    <row r="734" spans="1:6" x14ac:dyDescent="0.25">
      <c r="A734">
        <v>-438.8044134497913</v>
      </c>
      <c r="B734">
        <v>-84.755152741416381</v>
      </c>
      <c r="C734">
        <v>375.18783999999994</v>
      </c>
      <c r="E734">
        <f t="shared" si="45"/>
        <v>438.80441344979135</v>
      </c>
      <c r="F734">
        <f t="shared" si="46"/>
        <v>205.36692263877617</v>
      </c>
    </row>
    <row r="735" spans="1:6" x14ac:dyDescent="0.25">
      <c r="A735">
        <v>-413.40126686411622</v>
      </c>
      <c r="B735">
        <v>-100.83995295681788</v>
      </c>
      <c r="C735">
        <v>375.18783999999994</v>
      </c>
      <c r="E735">
        <f t="shared" si="45"/>
        <v>413.40126686411628</v>
      </c>
      <c r="F735">
        <f t="shared" si="46"/>
        <v>193.99325133243491</v>
      </c>
    </row>
    <row r="736" spans="1:6" x14ac:dyDescent="0.25">
      <c r="A736">
        <v>-383.44320000857147</v>
      </c>
      <c r="B736">
        <v>-118.74100791700134</v>
      </c>
      <c r="C736">
        <v>375.18783999999994</v>
      </c>
      <c r="E736">
        <f t="shared" si="45"/>
        <v>383.44320000857152</v>
      </c>
      <c r="F736">
        <f t="shared" si="46"/>
        <v>181.33529397969613</v>
      </c>
    </row>
    <row r="737" spans="1:6" x14ac:dyDescent="0.25">
      <c r="A737">
        <v>-355.4247676555471</v>
      </c>
      <c r="B737">
        <v>-133.34571816530598</v>
      </c>
      <c r="C737">
        <v>375.18783999999994</v>
      </c>
      <c r="E737">
        <f t="shared" si="45"/>
        <v>355.42476765554716</v>
      </c>
      <c r="F737">
        <f t="shared" si="46"/>
        <v>171.00820432585525</v>
      </c>
    </row>
    <row r="738" spans="1:6" x14ac:dyDescent="0.25">
      <c r="A738">
        <v>-330.0465260196562</v>
      </c>
      <c r="B738">
        <v>-147.47397586023297</v>
      </c>
      <c r="C738">
        <v>375.18783999999994</v>
      </c>
      <c r="E738">
        <f t="shared" si="45"/>
        <v>330.04652601965626</v>
      </c>
      <c r="F738">
        <f t="shared" si="46"/>
        <v>161.01801750342133</v>
      </c>
    </row>
    <row r="739" spans="1:6" x14ac:dyDescent="0.25">
      <c r="A739">
        <v>-307.89481216143355</v>
      </c>
      <c r="B739">
        <v>-161.69542160628129</v>
      </c>
      <c r="C739">
        <v>375.18783999999994</v>
      </c>
      <c r="E739">
        <f t="shared" si="45"/>
        <v>307.89481216143361</v>
      </c>
      <c r="F739">
        <f t="shared" si="46"/>
        <v>150.96193677811402</v>
      </c>
    </row>
    <row r="740" spans="1:6" x14ac:dyDescent="0.25">
      <c r="A740">
        <v>-285.86103174065187</v>
      </c>
      <c r="B740">
        <v>-175.91539012573801</v>
      </c>
      <c r="C740">
        <v>375.18783999999994</v>
      </c>
      <c r="E740">
        <f t="shared" si="45"/>
        <v>285.86103174065192</v>
      </c>
      <c r="F740">
        <f t="shared" si="46"/>
        <v>140.90690060974691</v>
      </c>
    </row>
    <row r="741" spans="1:6" x14ac:dyDescent="0.25">
      <c r="A741">
        <v>-262.2717558530311</v>
      </c>
      <c r="B741">
        <v>-190.77230630296125</v>
      </c>
      <c r="C741">
        <v>375.18783999999994</v>
      </c>
      <c r="E741">
        <f t="shared" si="45"/>
        <v>262.27175585303115</v>
      </c>
      <c r="F741">
        <f t="shared" si="46"/>
        <v>130.40147443331225</v>
      </c>
    </row>
    <row r="742" spans="1:6" x14ac:dyDescent="0.25">
      <c r="A742">
        <v>-237.5593356939919</v>
      </c>
      <c r="B742">
        <v>-206.83445543317558</v>
      </c>
      <c r="C742">
        <v>375.18783999999994</v>
      </c>
      <c r="E742">
        <f t="shared" si="45"/>
        <v>237.55933569399195</v>
      </c>
      <c r="F742">
        <f t="shared" si="46"/>
        <v>119.04381986290809</v>
      </c>
    </row>
    <row r="743" spans="1:6" x14ac:dyDescent="0.25">
      <c r="A743">
        <v>-203.99028619486919</v>
      </c>
      <c r="B743">
        <v>-226.88787074520764</v>
      </c>
      <c r="C743">
        <v>375.18783999999994</v>
      </c>
      <c r="E743">
        <f t="shared" si="45"/>
        <v>203.99028619486924</v>
      </c>
      <c r="F743">
        <f t="shared" si="46"/>
        <v>104.86391390982007</v>
      </c>
    </row>
    <row r="744" spans="1:6" x14ac:dyDescent="0.25">
      <c r="A744">
        <v>-160.26133661070341</v>
      </c>
      <c r="B744">
        <v>-255.55762306728539</v>
      </c>
      <c r="C744">
        <v>375.18783999999994</v>
      </c>
      <c r="E744">
        <f t="shared" si="45"/>
        <v>160.26133661070347</v>
      </c>
      <c r="F744">
        <f t="shared" si="46"/>
        <v>84.591337627940163</v>
      </c>
    </row>
    <row r="745" spans="1:6" x14ac:dyDescent="0.25">
      <c r="A745">
        <v>-110.32951065542677</v>
      </c>
      <c r="B745">
        <v>-285.19250397397036</v>
      </c>
      <c r="C745">
        <v>375.18783999999994</v>
      </c>
      <c r="E745">
        <f t="shared" si="45"/>
        <v>110.32951065542682</v>
      </c>
      <c r="F745">
        <f t="shared" si="46"/>
        <v>63.636312379167464</v>
      </c>
    </row>
    <row r="746" spans="1:6" x14ac:dyDescent="0.25">
      <c r="A746">
        <v>-56.535013263639819</v>
      </c>
      <c r="B746">
        <v>-312.9946574217949</v>
      </c>
      <c r="C746">
        <v>375.18783999999994</v>
      </c>
      <c r="E746">
        <f t="shared" si="45"/>
        <v>56.535013263639861</v>
      </c>
      <c r="F746">
        <f t="shared" si="46"/>
        <v>43.97722114462178</v>
      </c>
    </row>
    <row r="747" spans="1:6" x14ac:dyDescent="0.25">
      <c r="A747">
        <v>7.4037373804411202E-14</v>
      </c>
      <c r="B747">
        <v>-341.69506679755614</v>
      </c>
      <c r="C747">
        <v>375.18783999999994</v>
      </c>
      <c r="E747">
        <f t="shared" si="45"/>
        <v>-2.8071293556760957E-14</v>
      </c>
      <c r="F747">
        <f t="shared" si="46"/>
        <v>23.68296705219106</v>
      </c>
    </row>
    <row r="748" spans="1:6" x14ac:dyDescent="0.25">
      <c r="A748">
        <v>56.535013263639676</v>
      </c>
      <c r="B748">
        <v>-312.9946574217949</v>
      </c>
      <c r="C748">
        <v>375.18783999999994</v>
      </c>
      <c r="E748">
        <f t="shared" si="45"/>
        <v>-56.535013263639634</v>
      </c>
      <c r="F748">
        <f t="shared" si="46"/>
        <v>43.97722114462178</v>
      </c>
    </row>
    <row r="749" spans="1:6" x14ac:dyDescent="0.25">
      <c r="A749">
        <v>110.32951065542684</v>
      </c>
      <c r="B749">
        <v>-285.19250397397036</v>
      </c>
      <c r="C749">
        <v>375.18783999999994</v>
      </c>
      <c r="E749">
        <f t="shared" si="45"/>
        <v>-110.3295106554268</v>
      </c>
      <c r="F749">
        <f t="shared" si="46"/>
        <v>63.636312379167464</v>
      </c>
    </row>
    <row r="750" spans="1:6" x14ac:dyDescent="0.25">
      <c r="A750">
        <v>160.26133661070344</v>
      </c>
      <c r="B750">
        <v>-255.55762306728536</v>
      </c>
      <c r="C750">
        <v>375.18783999999994</v>
      </c>
      <c r="E750">
        <f t="shared" si="45"/>
        <v>-160.26133661070338</v>
      </c>
      <c r="F750">
        <f t="shared" si="46"/>
        <v>84.591337627940192</v>
      </c>
    </row>
    <row r="751" spans="1:6" x14ac:dyDescent="0.25">
      <c r="A751">
        <v>203.99028619486916</v>
      </c>
      <c r="B751">
        <v>-226.88787074520752</v>
      </c>
      <c r="C751">
        <v>375.18783999999994</v>
      </c>
      <c r="E751">
        <f t="shared" si="45"/>
        <v>-203.9902861948691</v>
      </c>
      <c r="F751">
        <f t="shared" si="46"/>
        <v>104.86391390982021</v>
      </c>
    </row>
    <row r="752" spans="1:6" x14ac:dyDescent="0.25">
      <c r="A752">
        <v>237.55933569399195</v>
      </c>
      <c r="B752">
        <v>-206.83445543317558</v>
      </c>
      <c r="C752">
        <v>375.18783999999994</v>
      </c>
      <c r="E752">
        <f t="shared" si="45"/>
        <v>-237.5593356939919</v>
      </c>
      <c r="F752">
        <f t="shared" si="46"/>
        <v>119.04381986290815</v>
      </c>
    </row>
    <row r="753" spans="1:6" x14ac:dyDescent="0.25">
      <c r="A753">
        <v>262.27175585303092</v>
      </c>
      <c r="B753">
        <v>-190.77230630296137</v>
      </c>
      <c r="C753">
        <v>375.18783999999994</v>
      </c>
      <c r="E753">
        <f t="shared" si="45"/>
        <v>-262.27175585303087</v>
      </c>
      <c r="F753">
        <f t="shared" si="46"/>
        <v>130.40147443331222</v>
      </c>
    </row>
    <row r="754" spans="1:6" x14ac:dyDescent="0.25">
      <c r="A754">
        <v>285.86103174065181</v>
      </c>
      <c r="B754">
        <v>-175.91539012573801</v>
      </c>
      <c r="C754">
        <v>375.18783999999994</v>
      </c>
      <c r="E754">
        <f t="shared" si="45"/>
        <v>-285.86103174065175</v>
      </c>
      <c r="F754">
        <f t="shared" si="46"/>
        <v>140.90690060974697</v>
      </c>
    </row>
    <row r="755" spans="1:6" x14ac:dyDescent="0.25">
      <c r="A755">
        <v>307.89481216143366</v>
      </c>
      <c r="B755">
        <v>-161.69542160628126</v>
      </c>
      <c r="C755">
        <v>375.18783999999994</v>
      </c>
      <c r="E755">
        <f t="shared" si="45"/>
        <v>-307.89481216143361</v>
      </c>
      <c r="F755">
        <f t="shared" si="46"/>
        <v>150.96193677811408</v>
      </c>
    </row>
    <row r="756" spans="1:6" x14ac:dyDescent="0.25">
      <c r="A756">
        <v>330.04652601965631</v>
      </c>
      <c r="B756">
        <v>-147.473975860233</v>
      </c>
      <c r="C756">
        <v>375.18783999999994</v>
      </c>
      <c r="E756">
        <f t="shared" si="45"/>
        <v>-330.04652601965626</v>
      </c>
      <c r="F756">
        <f t="shared" si="46"/>
        <v>161.01801750342139</v>
      </c>
    </row>
    <row r="757" spans="1:6" x14ac:dyDescent="0.25">
      <c r="A757">
        <v>355.42476765554727</v>
      </c>
      <c r="B757">
        <v>-133.34571816530598</v>
      </c>
      <c r="C757">
        <v>375.18783999999994</v>
      </c>
      <c r="E757">
        <f t="shared" si="45"/>
        <v>-355.42476765554721</v>
      </c>
      <c r="F757">
        <f t="shared" si="46"/>
        <v>171.0082043258553</v>
      </c>
    </row>
    <row r="758" spans="1:6" x14ac:dyDescent="0.25">
      <c r="A758">
        <v>383.44320000857158</v>
      </c>
      <c r="B758">
        <v>-118.74100791700133</v>
      </c>
      <c r="C758">
        <v>375.18783999999994</v>
      </c>
      <c r="E758">
        <f t="shared" si="45"/>
        <v>-383.44320000857152</v>
      </c>
      <c r="F758">
        <f t="shared" si="46"/>
        <v>181.33529397969619</v>
      </c>
    </row>
    <row r="759" spans="1:6" x14ac:dyDescent="0.25">
      <c r="A759">
        <v>413.40126686411628</v>
      </c>
      <c r="B759">
        <v>-100.83995295681778</v>
      </c>
      <c r="C759">
        <v>375.18783999999994</v>
      </c>
      <c r="E759">
        <f t="shared" si="45"/>
        <v>-413.40126686411622</v>
      </c>
      <c r="F759">
        <f t="shared" si="46"/>
        <v>193.99325133243508</v>
      </c>
    </row>
    <row r="760" spans="1:6" x14ac:dyDescent="0.25">
      <c r="A760">
        <v>438.8044134497913</v>
      </c>
      <c r="B760">
        <v>-84.755152741416353</v>
      </c>
      <c r="C760">
        <v>375.18783999999994</v>
      </c>
      <c r="E760">
        <f t="shared" si="45"/>
        <v>-438.80441344979124</v>
      </c>
      <c r="F760">
        <f t="shared" si="46"/>
        <v>205.36692263877626</v>
      </c>
    </row>
    <row r="761" spans="1:6" x14ac:dyDescent="0.25">
      <c r="A761">
        <v>464.89853110412247</v>
      </c>
      <c r="B761">
        <v>-67.44334888250404</v>
      </c>
      <c r="C761">
        <v>375.18783999999994</v>
      </c>
      <c r="E761">
        <f t="shared" si="45"/>
        <v>-464.89853110412241</v>
      </c>
      <c r="F761">
        <f t="shared" si="46"/>
        <v>217.6082165419846</v>
      </c>
    </row>
    <row r="762" spans="1:6" x14ac:dyDescent="0.25">
      <c r="A762">
        <v>486.98149327372454</v>
      </c>
      <c r="B762">
        <v>-52.762195568669348</v>
      </c>
      <c r="C762">
        <v>375.18783999999994</v>
      </c>
      <c r="E762">
        <f t="shared" si="45"/>
        <v>-486.98149327372448</v>
      </c>
      <c r="F762">
        <f t="shared" si="46"/>
        <v>227.98935960583646</v>
      </c>
    </row>
    <row r="763" spans="1:6" x14ac:dyDescent="0.25">
      <c r="A763">
        <v>511.52223223294646</v>
      </c>
      <c r="B763">
        <v>-37.222486750717984</v>
      </c>
      <c r="C763">
        <v>375.18783999999994</v>
      </c>
      <c r="E763">
        <f t="shared" si="45"/>
        <v>-511.52223223294641</v>
      </c>
      <c r="F763">
        <f t="shared" si="46"/>
        <v>238.97759308867427</v>
      </c>
    </row>
    <row r="764" spans="1:6" x14ac:dyDescent="0.25">
      <c r="A764">
        <v>540.03490782086692</v>
      </c>
      <c r="B764">
        <v>-19.604375662519413</v>
      </c>
      <c r="C764">
        <v>375.18783999999994</v>
      </c>
      <c r="E764">
        <f t="shared" si="45"/>
        <v>-540.03490782086692</v>
      </c>
      <c r="F764">
        <f t="shared" si="46"/>
        <v>251.43547891083739</v>
      </c>
    </row>
    <row r="765" spans="1:6" x14ac:dyDescent="0.25">
      <c r="A765">
        <v>573.84902497255905</v>
      </c>
      <c r="B765">
        <v>0</v>
      </c>
      <c r="C765">
        <v>375.18783999999994</v>
      </c>
      <c r="E765">
        <f t="shared" si="45"/>
        <v>-573.84902497255905</v>
      </c>
      <c r="F765">
        <f t="shared" si="46"/>
        <v>265.29786588273339</v>
      </c>
    </row>
    <row r="766" spans="1:6" x14ac:dyDescent="0.25">
      <c r="A766">
        <v>540.03490782086692</v>
      </c>
      <c r="B766">
        <v>19.604375662519413</v>
      </c>
      <c r="C766">
        <v>375.18783999999994</v>
      </c>
      <c r="E766">
        <f t="shared" si="45"/>
        <v>-540.03490782086692</v>
      </c>
      <c r="F766">
        <f t="shared" si="46"/>
        <v>279.16025285462939</v>
      </c>
    </row>
    <row r="767" spans="1:6" x14ac:dyDescent="0.25">
      <c r="A767">
        <v>511.52223223294664</v>
      </c>
      <c r="B767">
        <v>37.222486750717898</v>
      </c>
      <c r="C767">
        <v>375.18783999999994</v>
      </c>
      <c r="E767">
        <f t="shared" si="45"/>
        <v>-511.52223223294658</v>
      </c>
      <c r="F767">
        <f t="shared" si="46"/>
        <v>291.6181386767924</v>
      </c>
    </row>
    <row r="768" spans="1:6" x14ac:dyDescent="0.25">
      <c r="A768">
        <v>486.98149327372454</v>
      </c>
      <c r="B768">
        <v>52.762195568669341</v>
      </c>
      <c r="C768">
        <v>375.18783999999994</v>
      </c>
      <c r="E768">
        <f t="shared" si="45"/>
        <v>-486.98149327372448</v>
      </c>
      <c r="F768">
        <f t="shared" si="46"/>
        <v>302.60637215963027</v>
      </c>
    </row>
    <row r="769" spans="1:6" x14ac:dyDescent="0.25">
      <c r="A769">
        <v>464.89853110412247</v>
      </c>
      <c r="B769">
        <v>67.44334888250404</v>
      </c>
      <c r="C769">
        <v>375.18783999999994</v>
      </c>
      <c r="E769">
        <f t="shared" si="45"/>
        <v>-464.89853110412241</v>
      </c>
      <c r="F769">
        <f t="shared" si="46"/>
        <v>312.98751522348215</v>
      </c>
    </row>
    <row r="770" spans="1:6" x14ac:dyDescent="0.25">
      <c r="A770">
        <v>438.8044134497913</v>
      </c>
      <c r="B770">
        <v>84.755152741416296</v>
      </c>
      <c r="C770">
        <v>375.18783999999994</v>
      </c>
      <c r="E770">
        <f t="shared" si="45"/>
        <v>-438.80441344979124</v>
      </c>
      <c r="F770">
        <f t="shared" si="46"/>
        <v>325.22880912669041</v>
      </c>
    </row>
    <row r="771" spans="1:6" x14ac:dyDescent="0.25">
      <c r="A771">
        <v>413.40126686411628</v>
      </c>
      <c r="B771">
        <v>100.83995295681778</v>
      </c>
      <c r="C771">
        <v>375.18783999999994</v>
      </c>
      <c r="E771">
        <f t="shared" si="45"/>
        <v>-413.40126686411622</v>
      </c>
      <c r="F771">
        <f t="shared" si="46"/>
        <v>336.6024804330317</v>
      </c>
    </row>
    <row r="772" spans="1:6" x14ac:dyDescent="0.25">
      <c r="A772">
        <v>383.44320000857169</v>
      </c>
      <c r="B772">
        <v>118.74100791700118</v>
      </c>
      <c r="C772">
        <v>375.18783999999994</v>
      </c>
      <c r="E772">
        <f t="shared" si="45"/>
        <v>-383.44320000857164</v>
      </c>
      <c r="F772">
        <f t="shared" si="46"/>
        <v>349.26043778577042</v>
      </c>
    </row>
    <row r="773" spans="1:6" x14ac:dyDescent="0.25">
      <c r="A773">
        <v>355.42476765554727</v>
      </c>
      <c r="B773">
        <v>133.34571816530598</v>
      </c>
      <c r="C773">
        <v>375.18783999999994</v>
      </c>
      <c r="E773">
        <f t="shared" si="45"/>
        <v>-355.42476765554721</v>
      </c>
      <c r="F773">
        <f t="shared" si="46"/>
        <v>359.58752743961145</v>
      </c>
    </row>
    <row r="774" spans="1:6" x14ac:dyDescent="0.25">
      <c r="A774">
        <v>330.04652601965631</v>
      </c>
      <c r="B774">
        <v>147.47397586023294</v>
      </c>
      <c r="C774">
        <v>375.18783999999994</v>
      </c>
      <c r="E774">
        <f t="shared" si="45"/>
        <v>-330.04652601965626</v>
      </c>
      <c r="F774">
        <f t="shared" si="46"/>
        <v>369.57771426204528</v>
      </c>
    </row>
    <row r="775" spans="1:6" x14ac:dyDescent="0.25">
      <c r="A775">
        <v>307.89481216143372</v>
      </c>
      <c r="B775">
        <v>161.69542160628126</v>
      </c>
      <c r="C775">
        <v>375.18783999999994</v>
      </c>
      <c r="E775">
        <f t="shared" si="45"/>
        <v>-307.89481216143366</v>
      </c>
      <c r="F775">
        <f t="shared" si="46"/>
        <v>379.63379498735264</v>
      </c>
    </row>
    <row r="776" spans="1:6" x14ac:dyDescent="0.25">
      <c r="A776">
        <v>285.86103174065192</v>
      </c>
      <c r="B776">
        <v>175.91539012573796</v>
      </c>
      <c r="C776">
        <v>375.18783999999994</v>
      </c>
      <c r="E776">
        <f t="shared" si="45"/>
        <v>-285.86103174065187</v>
      </c>
      <c r="F776">
        <f t="shared" si="46"/>
        <v>389.6888311557197</v>
      </c>
    </row>
    <row r="777" spans="1:6" x14ac:dyDescent="0.25">
      <c r="A777">
        <v>262.2717558530311</v>
      </c>
      <c r="B777">
        <v>190.77230630296117</v>
      </c>
      <c r="C777">
        <v>375.18783999999994</v>
      </c>
      <c r="E777">
        <f t="shared" si="45"/>
        <v>-262.27175585303104</v>
      </c>
      <c r="F777">
        <f t="shared" si="46"/>
        <v>400.19425733215439</v>
      </c>
    </row>
    <row r="778" spans="1:6" x14ac:dyDescent="0.25">
      <c r="A778">
        <v>237.5593356939921</v>
      </c>
      <c r="B778">
        <v>206.83445543317552</v>
      </c>
      <c r="C778">
        <v>375.18783999999994</v>
      </c>
      <c r="E778">
        <f t="shared" si="45"/>
        <v>-237.55933569399204</v>
      </c>
      <c r="F778">
        <f t="shared" si="46"/>
        <v>411.55191190255857</v>
      </c>
    </row>
    <row r="779" spans="1:6" x14ac:dyDescent="0.25">
      <c r="A779">
        <v>203.99028619486941</v>
      </c>
      <c r="B779">
        <v>226.88787074520741</v>
      </c>
      <c r="C779">
        <v>375.18783999999994</v>
      </c>
      <c r="E779">
        <f t="shared" si="45"/>
        <v>-203.99028619486936</v>
      </c>
      <c r="F779">
        <f t="shared" si="46"/>
        <v>425.73181785564645</v>
      </c>
    </row>
    <row r="780" spans="1:6" x14ac:dyDescent="0.25">
      <c r="A780">
        <v>160.2613366107033</v>
      </c>
      <c r="B780">
        <v>255.55762306728531</v>
      </c>
      <c r="C780">
        <v>375.18783999999994</v>
      </c>
      <c r="E780">
        <f t="shared" si="45"/>
        <v>-160.26133661070324</v>
      </c>
      <c r="F780">
        <f t="shared" si="46"/>
        <v>446.00439413752645</v>
      </c>
    </row>
    <row r="781" spans="1:6" x14ac:dyDescent="0.25">
      <c r="A781">
        <v>110.32951065542674</v>
      </c>
      <c r="B781">
        <v>285.19250397397047</v>
      </c>
      <c r="C781">
        <v>375.18783999999994</v>
      </c>
      <c r="E781">
        <f t="shared" si="45"/>
        <v>-110.3295106554267</v>
      </c>
      <c r="F781">
        <f t="shared" si="46"/>
        <v>466.95941938629926</v>
      </c>
    </row>
    <row r="782" spans="1:6" x14ac:dyDescent="0.25">
      <c r="A782">
        <v>56.535013263639698</v>
      </c>
      <c r="B782">
        <v>312.9946574217949</v>
      </c>
      <c r="C782">
        <v>375.18783999999994</v>
      </c>
      <c r="E782">
        <f t="shared" si="45"/>
        <v>-56.535013263639655</v>
      </c>
      <c r="F782">
        <f t="shared" si="46"/>
        <v>486.61851062084486</v>
      </c>
    </row>
    <row r="783" spans="1:6" x14ac:dyDescent="0.25">
      <c r="A783">
        <v>7.9469622393039261E-14</v>
      </c>
      <c r="B783">
        <v>341.69506679755614</v>
      </c>
      <c r="C783">
        <v>375.18783999999994</v>
      </c>
      <c r="E783">
        <f t="shared" si="45"/>
        <v>-3.3503542145389017E-14</v>
      </c>
      <c r="F783">
        <f t="shared" si="46"/>
        <v>506.91276471327558</v>
      </c>
    </row>
    <row r="784" spans="1:6" x14ac:dyDescent="0.25">
      <c r="A784">
        <v>-56.535013263639676</v>
      </c>
      <c r="B784">
        <v>312.99465742179495</v>
      </c>
      <c r="C784">
        <v>375.18783999999994</v>
      </c>
      <c r="E784">
        <f t="shared" si="45"/>
        <v>56.535013263639719</v>
      </c>
      <c r="F784">
        <f t="shared" si="46"/>
        <v>486.61851062084492</v>
      </c>
    </row>
    <row r="785" spans="1:6" x14ac:dyDescent="0.25">
      <c r="A785">
        <v>-110.32951065542665</v>
      </c>
      <c r="B785">
        <v>285.19250397397064</v>
      </c>
      <c r="C785">
        <v>375.18783999999994</v>
      </c>
      <c r="E785">
        <f t="shared" si="45"/>
        <v>110.32951065542669</v>
      </c>
      <c r="F785">
        <f t="shared" si="46"/>
        <v>466.95941938629937</v>
      </c>
    </row>
    <row r="786" spans="1:6" x14ac:dyDescent="0.25">
      <c r="A786">
        <v>-160.26133661070332</v>
      </c>
      <c r="B786">
        <v>255.5576230672855</v>
      </c>
      <c r="C786">
        <v>375.18783999999994</v>
      </c>
      <c r="E786">
        <f t="shared" si="45"/>
        <v>160.26133661070338</v>
      </c>
      <c r="F786">
        <f t="shared" si="46"/>
        <v>446.00439413752656</v>
      </c>
    </row>
    <row r="787" spans="1:6" x14ac:dyDescent="0.25">
      <c r="A787">
        <v>-203.99028619486899</v>
      </c>
      <c r="B787">
        <v>226.88787074520775</v>
      </c>
      <c r="C787">
        <v>375.18783999999994</v>
      </c>
      <c r="E787">
        <f t="shared" si="45"/>
        <v>203.99028619486904</v>
      </c>
      <c r="F787">
        <f t="shared" si="46"/>
        <v>425.73181785564657</v>
      </c>
    </row>
    <row r="788" spans="1:6" x14ac:dyDescent="0.25">
      <c r="A788">
        <v>-237.55933569399173</v>
      </c>
      <c r="B788">
        <v>206.83445543317569</v>
      </c>
      <c r="C788">
        <v>375.18783999999994</v>
      </c>
      <c r="E788">
        <f t="shared" ref="E788:E851" si="47">($I$2*A788)+($K$2*B788)+($M$2*C788)</f>
        <v>237.55933569399178</v>
      </c>
      <c r="F788">
        <f t="shared" ref="F788:F851" si="48">($J$2*A788)+($L$2*B788)+($N$2*C788)</f>
        <v>411.55191190255857</v>
      </c>
    </row>
    <row r="789" spans="1:6" x14ac:dyDescent="0.25">
      <c r="A789">
        <v>-262.2717558530311</v>
      </c>
      <c r="B789">
        <v>190.77230630296125</v>
      </c>
      <c r="C789">
        <v>375.18783999999994</v>
      </c>
      <c r="E789">
        <f t="shared" si="47"/>
        <v>262.27175585303115</v>
      </c>
      <c r="F789">
        <f t="shared" si="48"/>
        <v>400.19425733215439</v>
      </c>
    </row>
    <row r="790" spans="1:6" x14ac:dyDescent="0.25">
      <c r="A790">
        <v>-285.86103174065175</v>
      </c>
      <c r="B790">
        <v>175.91539012573796</v>
      </c>
      <c r="C790">
        <v>375.18783999999994</v>
      </c>
      <c r="E790">
        <f t="shared" si="47"/>
        <v>285.86103174065181</v>
      </c>
      <c r="F790">
        <f t="shared" si="48"/>
        <v>389.68883115571964</v>
      </c>
    </row>
    <row r="791" spans="1:6" x14ac:dyDescent="0.25">
      <c r="A791">
        <v>-307.89481216143344</v>
      </c>
      <c r="B791">
        <v>161.6954216062812</v>
      </c>
      <c r="C791">
        <v>375.18783999999994</v>
      </c>
      <c r="E791">
        <f t="shared" si="47"/>
        <v>307.89481216143349</v>
      </c>
      <c r="F791">
        <f t="shared" si="48"/>
        <v>379.63379498735253</v>
      </c>
    </row>
    <row r="792" spans="1:6" x14ac:dyDescent="0.25">
      <c r="A792">
        <v>-330.04652601965626</v>
      </c>
      <c r="B792">
        <v>147.47397586023297</v>
      </c>
      <c r="C792">
        <v>375.18783999999994</v>
      </c>
      <c r="E792">
        <f t="shared" si="47"/>
        <v>330.04652601965631</v>
      </c>
      <c r="F792">
        <f t="shared" si="48"/>
        <v>369.57771426204528</v>
      </c>
    </row>
    <row r="793" spans="1:6" x14ac:dyDescent="0.25">
      <c r="A793">
        <v>-355.42476765554716</v>
      </c>
      <c r="B793">
        <v>133.34571816530598</v>
      </c>
      <c r="C793">
        <v>375.18783999999994</v>
      </c>
      <c r="E793">
        <f t="shared" si="47"/>
        <v>355.42476765554721</v>
      </c>
      <c r="F793">
        <f t="shared" si="48"/>
        <v>359.58752743961134</v>
      </c>
    </row>
    <row r="794" spans="1:6" x14ac:dyDescent="0.25">
      <c r="A794">
        <v>-383.44320000857147</v>
      </c>
      <c r="B794">
        <v>118.74100791700134</v>
      </c>
      <c r="C794">
        <v>375.18783999999994</v>
      </c>
      <c r="E794">
        <f t="shared" si="47"/>
        <v>383.44320000857152</v>
      </c>
      <c r="F794">
        <f t="shared" si="48"/>
        <v>349.26043778577048</v>
      </c>
    </row>
    <row r="795" spans="1:6" x14ac:dyDescent="0.25">
      <c r="A795">
        <v>-413.40126686411611</v>
      </c>
      <c r="B795">
        <v>100.83995295681792</v>
      </c>
      <c r="C795">
        <v>375.18783999999994</v>
      </c>
      <c r="E795">
        <f t="shared" si="47"/>
        <v>413.40126686411617</v>
      </c>
      <c r="F795">
        <f t="shared" si="48"/>
        <v>336.6024804330317</v>
      </c>
    </row>
    <row r="796" spans="1:6" x14ac:dyDescent="0.25">
      <c r="A796">
        <v>-438.80441344979124</v>
      </c>
      <c r="B796">
        <v>84.755152741416438</v>
      </c>
      <c r="C796">
        <v>375.18783999999994</v>
      </c>
      <c r="E796">
        <f t="shared" si="47"/>
        <v>438.8044134497913</v>
      </c>
      <c r="F796">
        <f t="shared" si="48"/>
        <v>325.22880912669046</v>
      </c>
    </row>
    <row r="797" spans="1:6" x14ac:dyDescent="0.25">
      <c r="A797">
        <v>-464.8985311041223</v>
      </c>
      <c r="B797">
        <v>67.443348882504239</v>
      </c>
      <c r="C797">
        <v>375.18783999999994</v>
      </c>
      <c r="E797">
        <f t="shared" si="47"/>
        <v>464.89853110412236</v>
      </c>
      <c r="F797">
        <f t="shared" si="48"/>
        <v>312.98751522348221</v>
      </c>
    </row>
    <row r="798" spans="1:6" x14ac:dyDescent="0.25">
      <c r="A798">
        <v>-486.98149327372465</v>
      </c>
      <c r="B798">
        <v>52.762195568669298</v>
      </c>
      <c r="C798">
        <v>375.18783999999994</v>
      </c>
      <c r="E798">
        <f t="shared" si="47"/>
        <v>486.98149327372471</v>
      </c>
      <c r="F798">
        <f t="shared" si="48"/>
        <v>302.60637215963015</v>
      </c>
    </row>
    <row r="799" spans="1:6" x14ac:dyDescent="0.25">
      <c r="A799">
        <v>-511.52223223294646</v>
      </c>
      <c r="B799">
        <v>37.222486750717884</v>
      </c>
      <c r="C799">
        <v>375.18783999999994</v>
      </c>
      <c r="E799">
        <f t="shared" si="47"/>
        <v>511.52223223294652</v>
      </c>
      <c r="F799">
        <f t="shared" si="48"/>
        <v>291.61813867679234</v>
      </c>
    </row>
    <row r="800" spans="1:6" x14ac:dyDescent="0.25">
      <c r="A800">
        <v>-559.77292224445739</v>
      </c>
      <c r="B800">
        <v>-5.0083949189636149E-14</v>
      </c>
      <c r="C800">
        <v>455.26662399999998</v>
      </c>
      <c r="E800">
        <f t="shared" si="47"/>
        <v>559.77292224445739</v>
      </c>
      <c r="F800">
        <f t="shared" si="48"/>
        <v>321.92211707830609</v>
      </c>
    </row>
    <row r="801" spans="1:6" x14ac:dyDescent="0.25">
      <c r="A801">
        <v>-531.90200573219931</v>
      </c>
      <c r="B801">
        <v>-17.50439041668119</v>
      </c>
      <c r="C801">
        <v>455.26662399999998</v>
      </c>
      <c r="E801">
        <f t="shared" si="47"/>
        <v>531.90200573219931</v>
      </c>
      <c r="F801">
        <f t="shared" si="48"/>
        <v>309.54464391413399</v>
      </c>
    </row>
    <row r="802" spans="1:6" x14ac:dyDescent="0.25">
      <c r="A802">
        <v>-509.03967171225048</v>
      </c>
      <c r="B802">
        <v>-32.734119109886421</v>
      </c>
      <c r="C802">
        <v>455.26662399999998</v>
      </c>
      <c r="E802">
        <f t="shared" si="47"/>
        <v>509.03967171225054</v>
      </c>
      <c r="F802">
        <f t="shared" si="48"/>
        <v>298.77559947953728</v>
      </c>
    </row>
    <row r="803" spans="1:6" x14ac:dyDescent="0.25">
      <c r="A803">
        <v>-487.30610362547418</v>
      </c>
      <c r="B803">
        <v>-48.013625080701686</v>
      </c>
      <c r="C803">
        <v>455.26662399999998</v>
      </c>
      <c r="E803">
        <f t="shared" si="47"/>
        <v>487.30610362547424</v>
      </c>
      <c r="F803">
        <f t="shared" si="48"/>
        <v>287.97135719439342</v>
      </c>
    </row>
    <row r="804" spans="1:6" x14ac:dyDescent="0.25">
      <c r="A804">
        <v>-463.52665840805605</v>
      </c>
      <c r="B804">
        <v>-64.233372455423932</v>
      </c>
      <c r="C804">
        <v>455.26662399999998</v>
      </c>
      <c r="E804">
        <f t="shared" si="47"/>
        <v>463.52665840805611</v>
      </c>
      <c r="F804">
        <f t="shared" si="48"/>
        <v>276.50226383659464</v>
      </c>
    </row>
    <row r="805" spans="1:6" x14ac:dyDescent="0.25">
      <c r="A805">
        <v>-439.47002519931982</v>
      </c>
      <c r="B805">
        <v>-80.239387150680699</v>
      </c>
      <c r="C805">
        <v>455.26662399999998</v>
      </c>
      <c r="E805">
        <f t="shared" si="47"/>
        <v>439.47002519931988</v>
      </c>
      <c r="F805">
        <f t="shared" si="48"/>
        <v>265.18430230580702</v>
      </c>
    </row>
    <row r="806" spans="1:6" x14ac:dyDescent="0.25">
      <c r="A806">
        <v>-414.92740405085124</v>
      </c>
      <c r="B806">
        <v>-94.708172735245071</v>
      </c>
      <c r="C806">
        <v>455.26662399999998</v>
      </c>
      <c r="E806">
        <f t="shared" si="47"/>
        <v>414.92740405085129</v>
      </c>
      <c r="F806">
        <f t="shared" si="48"/>
        <v>254.95332590342741</v>
      </c>
    </row>
    <row r="807" spans="1:6" x14ac:dyDescent="0.25">
      <c r="A807">
        <v>-395.14529290369012</v>
      </c>
      <c r="B807">
        <v>-111.79972297590966</v>
      </c>
      <c r="C807">
        <v>455.26662399999998</v>
      </c>
      <c r="E807">
        <f t="shared" si="47"/>
        <v>395.14529290369018</v>
      </c>
      <c r="F807">
        <f t="shared" si="48"/>
        <v>242.86777482726293</v>
      </c>
    </row>
    <row r="808" spans="1:6" x14ac:dyDescent="0.25">
      <c r="A808">
        <v>-370.41334457602977</v>
      </c>
      <c r="B808">
        <v>-131.70688705514235</v>
      </c>
      <c r="C808">
        <v>455.26662399999998</v>
      </c>
      <c r="E808">
        <f t="shared" si="47"/>
        <v>370.41334457602983</v>
      </c>
      <c r="F808">
        <f t="shared" si="48"/>
        <v>228.79128411264423</v>
      </c>
    </row>
    <row r="809" spans="1:6" x14ac:dyDescent="0.25">
      <c r="A809">
        <v>-346.08140151194846</v>
      </c>
      <c r="B809">
        <v>-150.0237831442715</v>
      </c>
      <c r="C809">
        <v>455.26662399999998</v>
      </c>
      <c r="E809">
        <f t="shared" si="47"/>
        <v>346.08140151194851</v>
      </c>
      <c r="F809">
        <f t="shared" si="48"/>
        <v>215.83928267773166</v>
      </c>
    </row>
    <row r="810" spans="1:6" x14ac:dyDescent="0.25">
      <c r="A810">
        <v>-322.2389044476576</v>
      </c>
      <c r="B810">
        <v>-166.91667575762312</v>
      </c>
      <c r="C810">
        <v>455.26662399999998</v>
      </c>
      <c r="E810">
        <f t="shared" si="47"/>
        <v>322.23890444765766</v>
      </c>
      <c r="F810">
        <f t="shared" si="48"/>
        <v>203.8942037569746</v>
      </c>
    </row>
    <row r="811" spans="1:6" x14ac:dyDescent="0.25">
      <c r="A811">
        <v>-297.74678661857666</v>
      </c>
      <c r="B811">
        <v>-183.36456426248151</v>
      </c>
      <c r="C811">
        <v>455.26662399999998</v>
      </c>
      <c r="E811">
        <f t="shared" si="47"/>
        <v>297.74678661857672</v>
      </c>
      <c r="F811">
        <f t="shared" si="48"/>
        <v>192.26379025898896</v>
      </c>
    </row>
    <row r="812" spans="1:6" x14ac:dyDescent="0.25">
      <c r="A812">
        <v>-271.18211762376092</v>
      </c>
      <c r="B812">
        <v>-200.30529513957228</v>
      </c>
      <c r="C812">
        <v>455.26662399999998</v>
      </c>
      <c r="E812">
        <f t="shared" si="47"/>
        <v>271.18211762376097</v>
      </c>
      <c r="F812">
        <f t="shared" si="48"/>
        <v>180.28488457754176</v>
      </c>
    </row>
    <row r="813" spans="1:6" x14ac:dyDescent="0.25">
      <c r="A813">
        <v>-240.30278358140785</v>
      </c>
      <c r="B813">
        <v>-218.85799357235061</v>
      </c>
      <c r="C813">
        <v>455.26662399999998</v>
      </c>
      <c r="E813">
        <f t="shared" si="47"/>
        <v>240.30278358140791</v>
      </c>
      <c r="F813">
        <f t="shared" si="48"/>
        <v>167.16614570641516</v>
      </c>
    </row>
    <row r="814" spans="1:6" x14ac:dyDescent="0.25">
      <c r="A814">
        <v>-203.27843923938366</v>
      </c>
      <c r="B814">
        <v>-240.05826899879202</v>
      </c>
      <c r="C814">
        <v>455.26662399999998</v>
      </c>
      <c r="E814">
        <f t="shared" si="47"/>
        <v>203.27843923938372</v>
      </c>
      <c r="F814">
        <f t="shared" si="48"/>
        <v>152.17528718935591</v>
      </c>
    </row>
    <row r="815" spans="1:6" x14ac:dyDescent="0.25">
      <c r="A815">
        <v>-155.04325691595466</v>
      </c>
      <c r="B815">
        <v>-263.5290413267702</v>
      </c>
      <c r="C815">
        <v>455.26662399999998</v>
      </c>
      <c r="E815">
        <f t="shared" si="47"/>
        <v>155.04325691595471</v>
      </c>
      <c r="F815">
        <f t="shared" si="48"/>
        <v>135.57894491655699</v>
      </c>
    </row>
    <row r="816" spans="1:6" x14ac:dyDescent="0.25">
      <c r="A816">
        <v>-105.38721616753479</v>
      </c>
      <c r="B816">
        <v>-285.71954315127198</v>
      </c>
      <c r="C816">
        <v>455.26662399999998</v>
      </c>
      <c r="E816">
        <f t="shared" si="47"/>
        <v>105.38721616753485</v>
      </c>
      <c r="F816">
        <f t="shared" si="48"/>
        <v>119.88789059851933</v>
      </c>
    </row>
    <row r="817" spans="1:6" x14ac:dyDescent="0.25">
      <c r="A817">
        <v>-56.61449772090792</v>
      </c>
      <c r="B817">
        <v>-309.32128836249632</v>
      </c>
      <c r="C817">
        <v>455.26662399999998</v>
      </c>
      <c r="E817">
        <f t="shared" si="47"/>
        <v>56.614497720907977</v>
      </c>
      <c r="F817">
        <f t="shared" si="48"/>
        <v>103.19893651182548</v>
      </c>
    </row>
    <row r="818" spans="1:6" x14ac:dyDescent="0.25">
      <c r="A818">
        <v>7.9003260217884465E-14</v>
      </c>
      <c r="B818">
        <v>-336.24215029698911</v>
      </c>
      <c r="C818">
        <v>455.26662399999998</v>
      </c>
      <c r="E818">
        <f t="shared" si="47"/>
        <v>-2.3226340121378104E-14</v>
      </c>
      <c r="F818">
        <f t="shared" si="48"/>
        <v>84.163012482558827</v>
      </c>
    </row>
    <row r="819" spans="1:6" x14ac:dyDescent="0.25">
      <c r="A819">
        <v>56.614497720907742</v>
      </c>
      <c r="B819">
        <v>-309.32128836249638</v>
      </c>
      <c r="C819">
        <v>455.26662399999998</v>
      </c>
      <c r="E819">
        <f t="shared" si="47"/>
        <v>-56.614497720907686</v>
      </c>
      <c r="F819">
        <f t="shared" si="48"/>
        <v>103.19893651182542</v>
      </c>
    </row>
    <row r="820" spans="1:6" x14ac:dyDescent="0.25">
      <c r="A820">
        <v>105.38721616753487</v>
      </c>
      <c r="B820">
        <v>-285.71954315127209</v>
      </c>
      <c r="C820">
        <v>455.26662399999998</v>
      </c>
      <c r="E820">
        <f t="shared" si="47"/>
        <v>-105.38721616753482</v>
      </c>
      <c r="F820">
        <f t="shared" si="48"/>
        <v>119.88789059851925</v>
      </c>
    </row>
    <row r="821" spans="1:6" x14ac:dyDescent="0.25">
      <c r="A821">
        <v>155.04325691595463</v>
      </c>
      <c r="B821">
        <v>-263.5290413267702</v>
      </c>
      <c r="C821">
        <v>455.26662399999998</v>
      </c>
      <c r="E821">
        <f t="shared" si="47"/>
        <v>-155.04325691595457</v>
      </c>
      <c r="F821">
        <f t="shared" si="48"/>
        <v>135.57894491655699</v>
      </c>
    </row>
    <row r="822" spans="1:6" x14ac:dyDescent="0.25">
      <c r="A822">
        <v>203.27843923938366</v>
      </c>
      <c r="B822">
        <v>-240.05826899879187</v>
      </c>
      <c r="C822">
        <v>455.26662399999998</v>
      </c>
      <c r="E822">
        <f t="shared" si="47"/>
        <v>-203.2784392393836</v>
      </c>
      <c r="F822">
        <f t="shared" si="48"/>
        <v>152.17528718935608</v>
      </c>
    </row>
    <row r="823" spans="1:6" x14ac:dyDescent="0.25">
      <c r="A823">
        <v>240.30278358140788</v>
      </c>
      <c r="B823">
        <v>-218.85799357235064</v>
      </c>
      <c r="C823">
        <v>455.26662399999998</v>
      </c>
      <c r="E823">
        <f t="shared" si="47"/>
        <v>-240.30278358140782</v>
      </c>
      <c r="F823">
        <f t="shared" si="48"/>
        <v>167.16614570641519</v>
      </c>
    </row>
    <row r="824" spans="1:6" x14ac:dyDescent="0.25">
      <c r="A824">
        <v>271.18211762376075</v>
      </c>
      <c r="B824">
        <v>-200.30529513957234</v>
      </c>
      <c r="C824">
        <v>455.26662399999998</v>
      </c>
      <c r="E824">
        <f t="shared" si="47"/>
        <v>-271.18211762376069</v>
      </c>
      <c r="F824">
        <f t="shared" si="48"/>
        <v>180.28488457754176</v>
      </c>
    </row>
    <row r="825" spans="1:6" x14ac:dyDescent="0.25">
      <c r="A825">
        <v>297.74678661857655</v>
      </c>
      <c r="B825">
        <v>-183.36456426248151</v>
      </c>
      <c r="C825">
        <v>455.26662399999998</v>
      </c>
      <c r="E825">
        <f t="shared" si="47"/>
        <v>-297.74678661857649</v>
      </c>
      <c r="F825">
        <f t="shared" si="48"/>
        <v>192.26379025898902</v>
      </c>
    </row>
    <row r="826" spans="1:6" x14ac:dyDescent="0.25">
      <c r="A826">
        <v>322.23890444765772</v>
      </c>
      <c r="B826">
        <v>-166.91667575762301</v>
      </c>
      <c r="C826">
        <v>455.26662399999998</v>
      </c>
      <c r="E826">
        <f t="shared" si="47"/>
        <v>-322.23890444765766</v>
      </c>
      <c r="F826">
        <f t="shared" si="48"/>
        <v>203.89420375697472</v>
      </c>
    </row>
    <row r="827" spans="1:6" x14ac:dyDescent="0.25">
      <c r="A827">
        <v>346.08140151194846</v>
      </c>
      <c r="B827">
        <v>-150.02378314427145</v>
      </c>
      <c r="C827">
        <v>455.26662399999998</v>
      </c>
      <c r="E827">
        <f t="shared" si="47"/>
        <v>-346.0814015119484</v>
      </c>
      <c r="F827">
        <f t="shared" si="48"/>
        <v>215.83928267773177</v>
      </c>
    </row>
    <row r="828" spans="1:6" x14ac:dyDescent="0.25">
      <c r="A828">
        <v>370.41334457602989</v>
      </c>
      <c r="B828">
        <v>-131.70688705514235</v>
      </c>
      <c r="C828">
        <v>455.26662399999998</v>
      </c>
      <c r="E828">
        <f t="shared" si="47"/>
        <v>-370.41334457602983</v>
      </c>
      <c r="F828">
        <f t="shared" si="48"/>
        <v>228.79128411264429</v>
      </c>
    </row>
    <row r="829" spans="1:6" x14ac:dyDescent="0.25">
      <c r="A829">
        <v>395.14529290369023</v>
      </c>
      <c r="B829">
        <v>-111.7997229759096</v>
      </c>
      <c r="C829">
        <v>455.26662399999998</v>
      </c>
      <c r="E829">
        <f t="shared" si="47"/>
        <v>-395.14529290369018</v>
      </c>
      <c r="F829">
        <f t="shared" si="48"/>
        <v>242.86777482726302</v>
      </c>
    </row>
    <row r="830" spans="1:6" x14ac:dyDescent="0.25">
      <c r="A830">
        <v>414.92740405085129</v>
      </c>
      <c r="B830">
        <v>-94.708172735245</v>
      </c>
      <c r="C830">
        <v>455.26662399999998</v>
      </c>
      <c r="E830">
        <f t="shared" si="47"/>
        <v>-414.92740405085124</v>
      </c>
      <c r="F830">
        <f t="shared" si="48"/>
        <v>254.95332590342755</v>
      </c>
    </row>
    <row r="831" spans="1:6" x14ac:dyDescent="0.25">
      <c r="A831">
        <v>439.47002519931976</v>
      </c>
      <c r="B831">
        <v>-80.239387150680614</v>
      </c>
      <c r="C831">
        <v>455.26662399999998</v>
      </c>
      <c r="E831">
        <f t="shared" si="47"/>
        <v>-439.47002519931971</v>
      </c>
      <c r="F831">
        <f t="shared" si="48"/>
        <v>265.18430230580719</v>
      </c>
    </row>
    <row r="832" spans="1:6" x14ac:dyDescent="0.25">
      <c r="A832">
        <v>463.52665840805599</v>
      </c>
      <c r="B832">
        <v>-64.233372455423876</v>
      </c>
      <c r="C832">
        <v>455.26662399999998</v>
      </c>
      <c r="E832">
        <f t="shared" si="47"/>
        <v>-463.52665840805594</v>
      </c>
      <c r="F832">
        <f t="shared" si="48"/>
        <v>276.50226383659475</v>
      </c>
    </row>
    <row r="833" spans="1:6" x14ac:dyDescent="0.25">
      <c r="A833">
        <v>487.30610362547401</v>
      </c>
      <c r="B833">
        <v>-48.013625080701658</v>
      </c>
      <c r="C833">
        <v>455.26662399999998</v>
      </c>
      <c r="E833">
        <f t="shared" si="47"/>
        <v>-487.30610362547395</v>
      </c>
      <c r="F833">
        <f t="shared" si="48"/>
        <v>287.97135719439353</v>
      </c>
    </row>
    <row r="834" spans="1:6" x14ac:dyDescent="0.25">
      <c r="A834">
        <v>509.03967171225042</v>
      </c>
      <c r="B834">
        <v>-32.734119109886429</v>
      </c>
      <c r="C834">
        <v>455.26662399999998</v>
      </c>
      <c r="E834">
        <f t="shared" si="47"/>
        <v>-509.03967171225037</v>
      </c>
      <c r="F834">
        <f t="shared" si="48"/>
        <v>298.77559947953733</v>
      </c>
    </row>
    <row r="835" spans="1:6" x14ac:dyDescent="0.25">
      <c r="A835">
        <v>531.90200573219931</v>
      </c>
      <c r="B835">
        <v>-17.504390416681147</v>
      </c>
      <c r="C835">
        <v>455.26662399999998</v>
      </c>
      <c r="E835">
        <f t="shared" si="47"/>
        <v>-531.90200573219931</v>
      </c>
      <c r="F835">
        <f t="shared" si="48"/>
        <v>309.54464391413416</v>
      </c>
    </row>
    <row r="836" spans="1:6" x14ac:dyDescent="0.25">
      <c r="A836">
        <v>559.7729222444575</v>
      </c>
      <c r="B836">
        <v>0</v>
      </c>
      <c r="C836">
        <v>455.26662399999998</v>
      </c>
      <c r="E836">
        <f t="shared" si="47"/>
        <v>-559.7729222444575</v>
      </c>
      <c r="F836">
        <f t="shared" si="48"/>
        <v>321.9221170783062</v>
      </c>
    </row>
    <row r="837" spans="1:6" x14ac:dyDescent="0.25">
      <c r="A837">
        <v>531.90200573219931</v>
      </c>
      <c r="B837">
        <v>17.504390416681158</v>
      </c>
      <c r="C837">
        <v>455.26662399999998</v>
      </c>
      <c r="E837">
        <f t="shared" si="47"/>
        <v>-531.90200573219931</v>
      </c>
      <c r="F837">
        <f t="shared" si="48"/>
        <v>334.29959024247825</v>
      </c>
    </row>
    <row r="838" spans="1:6" x14ac:dyDescent="0.25">
      <c r="A838">
        <v>509.03967171225042</v>
      </c>
      <c r="B838">
        <v>32.734119109886372</v>
      </c>
      <c r="C838">
        <v>455.26662399999998</v>
      </c>
      <c r="E838">
        <f t="shared" si="47"/>
        <v>-509.03967171225037</v>
      </c>
      <c r="F838">
        <f t="shared" si="48"/>
        <v>345.06863467707501</v>
      </c>
    </row>
    <row r="839" spans="1:6" x14ac:dyDescent="0.25">
      <c r="A839">
        <v>487.30610362547412</v>
      </c>
      <c r="B839">
        <v>48.013625080701715</v>
      </c>
      <c r="C839">
        <v>455.26662399999998</v>
      </c>
      <c r="E839">
        <f t="shared" si="47"/>
        <v>-487.30610362547407</v>
      </c>
      <c r="F839">
        <f t="shared" si="48"/>
        <v>355.87287696221887</v>
      </c>
    </row>
    <row r="840" spans="1:6" x14ac:dyDescent="0.25">
      <c r="A840">
        <v>463.52665840805599</v>
      </c>
      <c r="B840">
        <v>64.233372455423876</v>
      </c>
      <c r="C840">
        <v>455.26662399999998</v>
      </c>
      <c r="E840">
        <f t="shared" si="47"/>
        <v>-463.52665840805594</v>
      </c>
      <c r="F840">
        <f t="shared" si="48"/>
        <v>367.34197032001759</v>
      </c>
    </row>
    <row r="841" spans="1:6" x14ac:dyDescent="0.25">
      <c r="A841">
        <v>439.47002519931965</v>
      </c>
      <c r="B841">
        <v>80.239387150680599</v>
      </c>
      <c r="C841">
        <v>455.26662399999998</v>
      </c>
      <c r="E841">
        <f t="shared" si="47"/>
        <v>-439.47002519931959</v>
      </c>
      <c r="F841">
        <f t="shared" si="48"/>
        <v>378.65993185080515</v>
      </c>
    </row>
    <row r="842" spans="1:6" x14ac:dyDescent="0.25">
      <c r="A842">
        <v>414.92740405085129</v>
      </c>
      <c r="B842">
        <v>94.708172735245</v>
      </c>
      <c r="C842">
        <v>455.26662399999998</v>
      </c>
      <c r="E842">
        <f t="shared" si="47"/>
        <v>-414.92740405085124</v>
      </c>
      <c r="F842">
        <f t="shared" si="48"/>
        <v>388.89090825318482</v>
      </c>
    </row>
    <row r="843" spans="1:6" x14ac:dyDescent="0.25">
      <c r="A843">
        <v>395.14529290369023</v>
      </c>
      <c r="B843">
        <v>111.7997229759095</v>
      </c>
      <c r="C843">
        <v>455.26662399999998</v>
      </c>
      <c r="E843">
        <f t="shared" si="47"/>
        <v>-395.14529290369018</v>
      </c>
      <c r="F843">
        <f t="shared" si="48"/>
        <v>400.97645932934927</v>
      </c>
    </row>
    <row r="844" spans="1:6" x14ac:dyDescent="0.25">
      <c r="A844">
        <v>370.41334457602989</v>
      </c>
      <c r="B844">
        <v>131.70688705514232</v>
      </c>
      <c r="C844">
        <v>455.26662399999998</v>
      </c>
      <c r="E844">
        <f t="shared" si="47"/>
        <v>-370.41334457602983</v>
      </c>
      <c r="F844">
        <f t="shared" si="48"/>
        <v>415.05295004396805</v>
      </c>
    </row>
    <row r="845" spans="1:6" x14ac:dyDescent="0.25">
      <c r="A845">
        <v>346.08140151194846</v>
      </c>
      <c r="B845">
        <v>150.02378314427139</v>
      </c>
      <c r="C845">
        <v>455.26662399999998</v>
      </c>
      <c r="E845">
        <f t="shared" si="47"/>
        <v>-346.0814015119484</v>
      </c>
      <c r="F845">
        <f t="shared" si="48"/>
        <v>428.00495147888057</v>
      </c>
    </row>
    <row r="846" spans="1:6" x14ac:dyDescent="0.25">
      <c r="A846">
        <v>322.23890444765772</v>
      </c>
      <c r="B846">
        <v>166.91667575762304</v>
      </c>
      <c r="C846">
        <v>455.26662399999998</v>
      </c>
      <c r="E846">
        <f t="shared" si="47"/>
        <v>-322.23890444765766</v>
      </c>
      <c r="F846">
        <f t="shared" si="48"/>
        <v>439.95003039963763</v>
      </c>
    </row>
    <row r="847" spans="1:6" x14ac:dyDescent="0.25">
      <c r="A847">
        <v>297.74678661857678</v>
      </c>
      <c r="B847">
        <v>183.36456426248148</v>
      </c>
      <c r="C847">
        <v>455.26662399999998</v>
      </c>
      <c r="E847">
        <f t="shared" si="47"/>
        <v>-297.74678661857672</v>
      </c>
      <c r="F847">
        <f t="shared" si="48"/>
        <v>451.5804438976233</v>
      </c>
    </row>
    <row r="848" spans="1:6" x14ac:dyDescent="0.25">
      <c r="A848">
        <v>271.18211762376103</v>
      </c>
      <c r="B848">
        <v>200.30529513957219</v>
      </c>
      <c r="C848">
        <v>455.26662399999998</v>
      </c>
      <c r="E848">
        <f t="shared" si="47"/>
        <v>-271.18211762376097</v>
      </c>
      <c r="F848">
        <f t="shared" si="48"/>
        <v>463.5593495790705</v>
      </c>
    </row>
    <row r="849" spans="1:6" x14ac:dyDescent="0.25">
      <c r="A849">
        <v>240.30278358140808</v>
      </c>
      <c r="B849">
        <v>218.85799357235049</v>
      </c>
      <c r="C849">
        <v>455.26662399999998</v>
      </c>
      <c r="E849">
        <f t="shared" si="47"/>
        <v>-240.30278358140802</v>
      </c>
      <c r="F849">
        <f t="shared" si="48"/>
        <v>476.67808845019704</v>
      </c>
    </row>
    <row r="850" spans="1:6" x14ac:dyDescent="0.25">
      <c r="A850">
        <v>203.27843923938391</v>
      </c>
      <c r="B850">
        <v>240.05826899879187</v>
      </c>
      <c r="C850">
        <v>455.26662399999998</v>
      </c>
      <c r="E850">
        <f t="shared" si="47"/>
        <v>-203.27843923938386</v>
      </c>
      <c r="F850">
        <f t="shared" si="48"/>
        <v>491.66894696725626</v>
      </c>
    </row>
    <row r="851" spans="1:6" x14ac:dyDescent="0.25">
      <c r="A851">
        <v>155.04325691595449</v>
      </c>
      <c r="B851">
        <v>263.5290413267702</v>
      </c>
      <c r="C851">
        <v>455.26662399999998</v>
      </c>
      <c r="E851">
        <f t="shared" si="47"/>
        <v>-155.04325691595443</v>
      </c>
      <c r="F851">
        <f t="shared" si="48"/>
        <v>508.26528924005527</v>
      </c>
    </row>
    <row r="852" spans="1:6" x14ac:dyDescent="0.25">
      <c r="A852">
        <v>105.38721616753476</v>
      </c>
      <c r="B852">
        <v>285.71954315127215</v>
      </c>
      <c r="C852">
        <v>455.26662399999998</v>
      </c>
      <c r="E852">
        <f t="shared" ref="E852:E915" si="49">($I$2*A852)+($K$2*B852)+($M$2*C852)</f>
        <v>-105.3872161675347</v>
      </c>
      <c r="F852">
        <f t="shared" ref="F852:F915" si="50">($J$2*A852)+($L$2*B852)+($N$2*C852)</f>
        <v>523.95634355809307</v>
      </c>
    </row>
    <row r="853" spans="1:6" x14ac:dyDescent="0.25">
      <c r="A853">
        <v>56.614497720907742</v>
      </c>
      <c r="B853">
        <v>309.32128836249638</v>
      </c>
      <c r="C853">
        <v>455.26662399999998</v>
      </c>
      <c r="E853">
        <f t="shared" si="49"/>
        <v>-56.614497720907686</v>
      </c>
      <c r="F853">
        <f t="shared" si="50"/>
        <v>540.64529764478687</v>
      </c>
    </row>
    <row r="854" spans="1:6" x14ac:dyDescent="0.25">
      <c r="A854">
        <v>7.3871988027735656E-14</v>
      </c>
      <c r="B854">
        <v>336.24215029698905</v>
      </c>
      <c r="C854">
        <v>455.26662399999998</v>
      </c>
      <c r="E854">
        <f t="shared" si="49"/>
        <v>-1.8095067931229294E-14</v>
      </c>
      <c r="F854">
        <f t="shared" si="50"/>
        <v>559.6812216740534</v>
      </c>
    </row>
    <row r="855" spans="1:6" x14ac:dyDescent="0.25">
      <c r="A855">
        <v>-56.614497720907721</v>
      </c>
      <c r="B855">
        <v>309.32128836249638</v>
      </c>
      <c r="C855">
        <v>455.26662399999998</v>
      </c>
      <c r="E855">
        <f t="shared" si="49"/>
        <v>56.614497720907778</v>
      </c>
      <c r="F855">
        <f t="shared" si="50"/>
        <v>540.64529764478687</v>
      </c>
    </row>
    <row r="856" spans="1:6" x14ac:dyDescent="0.25">
      <c r="A856">
        <v>-105.38721616753463</v>
      </c>
      <c r="B856">
        <v>285.71954315127221</v>
      </c>
      <c r="C856">
        <v>455.26662399999998</v>
      </c>
      <c r="E856">
        <f t="shared" si="49"/>
        <v>105.38721616753469</v>
      </c>
      <c r="F856">
        <f t="shared" si="50"/>
        <v>523.95634355809307</v>
      </c>
    </row>
    <row r="857" spans="1:6" x14ac:dyDescent="0.25">
      <c r="A857">
        <v>-155.04325691595452</v>
      </c>
      <c r="B857">
        <v>263.52904132677031</v>
      </c>
      <c r="C857">
        <v>455.26662399999998</v>
      </c>
      <c r="E857">
        <f t="shared" si="49"/>
        <v>155.04325691595457</v>
      </c>
      <c r="F857">
        <f t="shared" si="50"/>
        <v>508.26528924005538</v>
      </c>
    </row>
    <row r="858" spans="1:6" x14ac:dyDescent="0.25">
      <c r="A858">
        <v>-203.2784392393834</v>
      </c>
      <c r="B858">
        <v>240.05826899879204</v>
      </c>
      <c r="C858">
        <v>455.26662399999998</v>
      </c>
      <c r="E858">
        <f t="shared" si="49"/>
        <v>203.27843923938346</v>
      </c>
      <c r="F858">
        <f t="shared" si="50"/>
        <v>491.66894696725637</v>
      </c>
    </row>
    <row r="859" spans="1:6" x14ac:dyDescent="0.25">
      <c r="A859">
        <v>-240.30278358140762</v>
      </c>
      <c r="B859">
        <v>218.85799357235078</v>
      </c>
      <c r="C859">
        <v>455.26662399999998</v>
      </c>
      <c r="E859">
        <f t="shared" si="49"/>
        <v>240.30278358140768</v>
      </c>
      <c r="F859">
        <f t="shared" si="50"/>
        <v>476.67808845019715</v>
      </c>
    </row>
    <row r="860" spans="1:6" x14ac:dyDescent="0.25">
      <c r="A860">
        <v>-271.18211762376092</v>
      </c>
      <c r="B860">
        <v>200.30529513957228</v>
      </c>
      <c r="C860">
        <v>455.26662399999998</v>
      </c>
      <c r="E860">
        <f t="shared" si="49"/>
        <v>271.18211762376097</v>
      </c>
      <c r="F860">
        <f t="shared" si="50"/>
        <v>463.5593495790705</v>
      </c>
    </row>
    <row r="861" spans="1:6" x14ac:dyDescent="0.25">
      <c r="A861">
        <v>-297.74678661857666</v>
      </c>
      <c r="B861">
        <v>183.36456426248148</v>
      </c>
      <c r="C861">
        <v>455.26662399999998</v>
      </c>
      <c r="E861">
        <f t="shared" si="49"/>
        <v>297.74678661857672</v>
      </c>
      <c r="F861">
        <f t="shared" si="50"/>
        <v>451.58044389762324</v>
      </c>
    </row>
    <row r="862" spans="1:6" x14ac:dyDescent="0.25">
      <c r="A862">
        <v>-322.23890444765755</v>
      </c>
      <c r="B862">
        <v>166.91667575762304</v>
      </c>
      <c r="C862">
        <v>455.26662399999998</v>
      </c>
      <c r="E862">
        <f t="shared" si="49"/>
        <v>322.2389044476576</v>
      </c>
      <c r="F862">
        <f t="shared" si="50"/>
        <v>439.95003039963757</v>
      </c>
    </row>
    <row r="863" spans="1:6" x14ac:dyDescent="0.25">
      <c r="A863">
        <v>-346.08140151194857</v>
      </c>
      <c r="B863">
        <v>150.0237831442715</v>
      </c>
      <c r="C863">
        <v>455.26662399999998</v>
      </c>
      <c r="E863">
        <f t="shared" si="49"/>
        <v>346.08140151194863</v>
      </c>
      <c r="F863">
        <f t="shared" si="50"/>
        <v>428.00495147888057</v>
      </c>
    </row>
    <row r="864" spans="1:6" x14ac:dyDescent="0.25">
      <c r="A864">
        <v>-370.41334457602966</v>
      </c>
      <c r="B864">
        <v>131.70688705514237</v>
      </c>
      <c r="C864">
        <v>455.26662399999998</v>
      </c>
      <c r="E864">
        <f t="shared" si="49"/>
        <v>370.41334457602971</v>
      </c>
      <c r="F864">
        <f t="shared" si="50"/>
        <v>415.052950043968</v>
      </c>
    </row>
    <row r="865" spans="1:6" x14ac:dyDescent="0.25">
      <c r="A865">
        <v>-395.14529290369012</v>
      </c>
      <c r="B865">
        <v>111.79972297590966</v>
      </c>
      <c r="C865">
        <v>455.26662399999998</v>
      </c>
      <c r="E865">
        <f t="shared" si="49"/>
        <v>395.14529290369018</v>
      </c>
      <c r="F865">
        <f t="shared" si="50"/>
        <v>400.97645932934927</v>
      </c>
    </row>
    <row r="866" spans="1:6" x14ac:dyDescent="0.25">
      <c r="A866">
        <v>-414.92740405085135</v>
      </c>
      <c r="B866">
        <v>94.708172735245185</v>
      </c>
      <c r="C866">
        <v>455.26662399999998</v>
      </c>
      <c r="E866">
        <f t="shared" si="49"/>
        <v>414.92740405085141</v>
      </c>
      <c r="F866">
        <f t="shared" si="50"/>
        <v>388.89090825318488</v>
      </c>
    </row>
    <row r="867" spans="1:6" x14ac:dyDescent="0.25">
      <c r="A867">
        <v>-439.47002519931976</v>
      </c>
      <c r="B867">
        <v>80.23938715068077</v>
      </c>
      <c r="C867">
        <v>455.26662399999998</v>
      </c>
      <c r="E867">
        <f t="shared" si="49"/>
        <v>439.47002519931982</v>
      </c>
      <c r="F867">
        <f t="shared" si="50"/>
        <v>378.65993185080521</v>
      </c>
    </row>
    <row r="868" spans="1:6" x14ac:dyDescent="0.25">
      <c r="A868">
        <v>-463.52665840805611</v>
      </c>
      <c r="B868">
        <v>64.233372455424075</v>
      </c>
      <c r="C868">
        <v>455.26662399999998</v>
      </c>
      <c r="E868">
        <f t="shared" si="49"/>
        <v>463.52665840805616</v>
      </c>
      <c r="F868">
        <f t="shared" si="50"/>
        <v>367.34197032001765</v>
      </c>
    </row>
    <row r="869" spans="1:6" x14ac:dyDescent="0.25">
      <c r="A869">
        <v>-487.30610362547435</v>
      </c>
      <c r="B869">
        <v>48.013625080701608</v>
      </c>
      <c r="C869">
        <v>455.26662399999998</v>
      </c>
      <c r="E869">
        <f t="shared" si="49"/>
        <v>487.30610362547441</v>
      </c>
      <c r="F869">
        <f t="shared" si="50"/>
        <v>355.8728769622187</v>
      </c>
    </row>
    <row r="870" spans="1:6" x14ac:dyDescent="0.25">
      <c r="A870">
        <v>-509.03967171225048</v>
      </c>
      <c r="B870">
        <v>32.734119109886393</v>
      </c>
      <c r="C870">
        <v>455.26662399999998</v>
      </c>
      <c r="E870">
        <f t="shared" si="49"/>
        <v>509.03967171225054</v>
      </c>
      <c r="F870">
        <f t="shared" si="50"/>
        <v>345.0686346770749</v>
      </c>
    </row>
    <row r="871" spans="1:6" x14ac:dyDescent="0.25">
      <c r="A871">
        <v>-534.70699651720361</v>
      </c>
      <c r="B871">
        <v>-4.912165028466609E-14</v>
      </c>
      <c r="C871">
        <v>535.34540799999991</v>
      </c>
      <c r="E871">
        <f t="shared" si="49"/>
        <v>534.70699651720372</v>
      </c>
      <c r="F871">
        <f t="shared" si="50"/>
        <v>378.54636827387884</v>
      </c>
    </row>
    <row r="872" spans="1:6" x14ac:dyDescent="0.25">
      <c r="A872">
        <v>-516.5170430539423</v>
      </c>
      <c r="B872">
        <v>-14.644111546505499</v>
      </c>
      <c r="C872">
        <v>535.34540799999991</v>
      </c>
      <c r="E872">
        <f t="shared" si="49"/>
        <v>516.51704305394242</v>
      </c>
      <c r="F872">
        <f t="shared" si="50"/>
        <v>368.19141769489261</v>
      </c>
    </row>
    <row r="873" spans="1:6" x14ac:dyDescent="0.25">
      <c r="A873">
        <v>-494.49255113246704</v>
      </c>
      <c r="B873">
        <v>-30.611980627859452</v>
      </c>
      <c r="C873">
        <v>535.34540799999991</v>
      </c>
      <c r="E873">
        <f t="shared" si="49"/>
        <v>494.4925511324671</v>
      </c>
      <c r="F873">
        <f t="shared" si="50"/>
        <v>356.90042918636823</v>
      </c>
    </row>
    <row r="874" spans="1:6" x14ac:dyDescent="0.25">
      <c r="A874">
        <v>-477.94858909755015</v>
      </c>
      <c r="B874">
        <v>-45.742215971374172</v>
      </c>
      <c r="C874">
        <v>535.34540799999991</v>
      </c>
      <c r="E874">
        <f t="shared" si="49"/>
        <v>477.94858909755021</v>
      </c>
      <c r="F874">
        <f t="shared" si="50"/>
        <v>346.20173717402059</v>
      </c>
    </row>
    <row r="875" spans="1:6" x14ac:dyDescent="0.25">
      <c r="A875">
        <v>-462.91133643508817</v>
      </c>
      <c r="B875">
        <v>-59.805421262559534</v>
      </c>
      <c r="C875">
        <v>535.34540799999991</v>
      </c>
      <c r="E875">
        <f t="shared" si="49"/>
        <v>462.91133643508823</v>
      </c>
      <c r="F875">
        <f t="shared" si="50"/>
        <v>336.25754934740485</v>
      </c>
    </row>
    <row r="876" spans="1:6" x14ac:dyDescent="0.25">
      <c r="A876">
        <v>-447.32480975647422</v>
      </c>
      <c r="B876">
        <v>-75.879587794792343</v>
      </c>
      <c r="C876">
        <v>535.34540799999991</v>
      </c>
      <c r="E876">
        <f t="shared" si="49"/>
        <v>447.32480975647428</v>
      </c>
      <c r="F876">
        <f t="shared" si="50"/>
        <v>324.89139719054123</v>
      </c>
    </row>
    <row r="877" spans="1:6" x14ac:dyDescent="0.25">
      <c r="A877">
        <v>-430.11883577915881</v>
      </c>
      <c r="B877">
        <v>-92.854272941551741</v>
      </c>
      <c r="C877">
        <v>535.34540799999991</v>
      </c>
      <c r="E877">
        <f t="shared" si="49"/>
        <v>430.11883577915887</v>
      </c>
      <c r="F877">
        <f t="shared" si="50"/>
        <v>312.8884822147611</v>
      </c>
    </row>
    <row r="878" spans="1:6" x14ac:dyDescent="0.25">
      <c r="A878">
        <v>-410.50177083370079</v>
      </c>
      <c r="B878">
        <v>-111.17223720976885</v>
      </c>
      <c r="C878">
        <v>535.34540799999991</v>
      </c>
      <c r="E878">
        <f t="shared" si="49"/>
        <v>410.50177083370085</v>
      </c>
      <c r="F878">
        <f t="shared" si="50"/>
        <v>299.93572546317188</v>
      </c>
    </row>
    <row r="879" spans="1:6" x14ac:dyDescent="0.25">
      <c r="A879">
        <v>-389.13861958373298</v>
      </c>
      <c r="B879">
        <v>-130.07387256995793</v>
      </c>
      <c r="C879">
        <v>535.34540799999991</v>
      </c>
      <c r="E879">
        <f t="shared" si="49"/>
        <v>389.13861958373303</v>
      </c>
      <c r="F879">
        <f t="shared" si="50"/>
        <v>286.57025092446679</v>
      </c>
    </row>
    <row r="880" spans="1:6" x14ac:dyDescent="0.25">
      <c r="A880">
        <v>-362.71599352561969</v>
      </c>
      <c r="B880">
        <v>-151.37920688371034</v>
      </c>
      <c r="C880">
        <v>535.34540799999991</v>
      </c>
      <c r="E880">
        <f t="shared" si="49"/>
        <v>362.71599352561975</v>
      </c>
      <c r="F880">
        <f t="shared" si="50"/>
        <v>271.50510455576597</v>
      </c>
    </row>
    <row r="881" spans="1:6" x14ac:dyDescent="0.25">
      <c r="A881">
        <v>-336.29018677756858</v>
      </c>
      <c r="B881">
        <v>-171.04617793727016</v>
      </c>
      <c r="C881">
        <v>535.34540799999991</v>
      </c>
      <c r="E881">
        <f t="shared" si="49"/>
        <v>336.29018677756864</v>
      </c>
      <c r="F881">
        <f t="shared" si="50"/>
        <v>257.59845595839431</v>
      </c>
    </row>
    <row r="882" spans="1:6" x14ac:dyDescent="0.25">
      <c r="A882">
        <v>-308.7657379663471</v>
      </c>
      <c r="B882">
        <v>-190.00926727798372</v>
      </c>
      <c r="C882">
        <v>535.34540799999991</v>
      </c>
      <c r="E882">
        <f t="shared" si="49"/>
        <v>308.76573796634716</v>
      </c>
      <c r="F882">
        <f t="shared" si="50"/>
        <v>244.1895268933294</v>
      </c>
    </row>
    <row r="883" spans="1:6" x14ac:dyDescent="0.25">
      <c r="A883">
        <v>-278.49477690974123</v>
      </c>
      <c r="B883">
        <v>-209.29219892944982</v>
      </c>
      <c r="C883">
        <v>535.34540799999991</v>
      </c>
      <c r="E883">
        <f t="shared" si="49"/>
        <v>278.49477690974129</v>
      </c>
      <c r="F883">
        <f t="shared" si="50"/>
        <v>230.554435161421</v>
      </c>
    </row>
    <row r="884" spans="1:6" x14ac:dyDescent="0.25">
      <c r="A884">
        <v>-243.8213724802078</v>
      </c>
      <c r="B884">
        <v>-229.16739910095387</v>
      </c>
      <c r="C884">
        <v>535.34540799999991</v>
      </c>
      <c r="E884">
        <f t="shared" si="49"/>
        <v>243.82137248020786</v>
      </c>
      <c r="F884">
        <f t="shared" si="50"/>
        <v>216.50054634271046</v>
      </c>
    </row>
    <row r="885" spans="1:6" x14ac:dyDescent="0.25">
      <c r="A885">
        <v>-201.14572182640225</v>
      </c>
      <c r="B885">
        <v>-252.53562652713177</v>
      </c>
      <c r="C885">
        <v>535.34540799999991</v>
      </c>
      <c r="E885">
        <f t="shared" si="49"/>
        <v>201.14572182640231</v>
      </c>
      <c r="F885">
        <f t="shared" si="50"/>
        <v>199.97671426535061</v>
      </c>
    </row>
    <row r="886" spans="1:6" x14ac:dyDescent="0.25">
      <c r="A886">
        <v>-152.30009277872693</v>
      </c>
      <c r="B886">
        <v>-275.01768782977911</v>
      </c>
      <c r="C886">
        <v>535.34540799999991</v>
      </c>
      <c r="E886">
        <f t="shared" si="49"/>
        <v>152.30009277872699</v>
      </c>
      <c r="F886">
        <f t="shared" si="50"/>
        <v>184.07949626319703</v>
      </c>
    </row>
    <row r="887" spans="1:6" x14ac:dyDescent="0.25">
      <c r="A887">
        <v>-105.65096416387206</v>
      </c>
      <c r="B887">
        <v>-293.86911650052178</v>
      </c>
      <c r="C887">
        <v>535.34540799999991</v>
      </c>
      <c r="E887">
        <f t="shared" si="49"/>
        <v>105.65096416387213</v>
      </c>
      <c r="F887">
        <f t="shared" si="50"/>
        <v>170.74952321506038</v>
      </c>
    </row>
    <row r="888" spans="1:6" x14ac:dyDescent="0.25">
      <c r="A888">
        <v>-54.778668930309223</v>
      </c>
      <c r="B888">
        <v>-312.36099223825875</v>
      </c>
      <c r="C888">
        <v>535.34540799999991</v>
      </c>
      <c r="E888">
        <f t="shared" si="49"/>
        <v>54.778668930309287</v>
      </c>
      <c r="F888">
        <f t="shared" si="50"/>
        <v>157.6737924840476</v>
      </c>
    </row>
    <row r="889" spans="1:6" x14ac:dyDescent="0.25">
      <c r="A889">
        <v>9.1897189891175811E-14</v>
      </c>
      <c r="B889">
        <v>-330.93658152890754</v>
      </c>
      <c r="C889">
        <v>535.34540799999991</v>
      </c>
      <c r="E889">
        <f t="shared" si="49"/>
        <v>-2.6309429945813339E-14</v>
      </c>
      <c r="F889">
        <f t="shared" si="50"/>
        <v>144.53886733209362</v>
      </c>
    </row>
    <row r="890" spans="1:6" x14ac:dyDescent="0.25">
      <c r="A890">
        <v>54.778668930309124</v>
      </c>
      <c r="B890">
        <v>-312.36099223825869</v>
      </c>
      <c r="C890">
        <v>535.34540799999991</v>
      </c>
      <c r="E890">
        <f t="shared" si="49"/>
        <v>-54.77866893030906</v>
      </c>
      <c r="F890">
        <f t="shared" si="50"/>
        <v>157.67379248404762</v>
      </c>
    </row>
    <row r="891" spans="1:6" x14ac:dyDescent="0.25">
      <c r="A891">
        <v>105.65096416387212</v>
      </c>
      <c r="B891">
        <v>-293.86911650052178</v>
      </c>
      <c r="C891">
        <v>535.34540799999991</v>
      </c>
      <c r="E891">
        <f t="shared" si="49"/>
        <v>-105.65096416387205</v>
      </c>
      <c r="F891">
        <f t="shared" si="50"/>
        <v>170.74952321506038</v>
      </c>
    </row>
    <row r="892" spans="1:6" x14ac:dyDescent="0.25">
      <c r="A892">
        <v>152.30009277872699</v>
      </c>
      <c r="B892">
        <v>-275.01768782977905</v>
      </c>
      <c r="C892">
        <v>535.34540799999991</v>
      </c>
      <c r="E892">
        <f t="shared" si="49"/>
        <v>-152.30009277872693</v>
      </c>
      <c r="F892">
        <f t="shared" si="50"/>
        <v>184.07949626319709</v>
      </c>
    </row>
    <row r="893" spans="1:6" x14ac:dyDescent="0.25">
      <c r="A893">
        <v>201.14572182640225</v>
      </c>
      <c r="B893">
        <v>-252.53562652713168</v>
      </c>
      <c r="C893">
        <v>535.34540799999991</v>
      </c>
      <c r="E893">
        <f t="shared" si="49"/>
        <v>-201.14572182640219</v>
      </c>
      <c r="F893">
        <f t="shared" si="50"/>
        <v>199.97671426535072</v>
      </c>
    </row>
    <row r="894" spans="1:6" x14ac:dyDescent="0.25">
      <c r="A894">
        <v>243.82137248020777</v>
      </c>
      <c r="B894">
        <v>-229.16739910095384</v>
      </c>
      <c r="C894">
        <v>535.34540799999991</v>
      </c>
      <c r="E894">
        <f t="shared" si="49"/>
        <v>-243.82137248020771</v>
      </c>
      <c r="F894">
        <f t="shared" si="50"/>
        <v>216.50054634271055</v>
      </c>
    </row>
    <row r="895" spans="1:6" x14ac:dyDescent="0.25">
      <c r="A895">
        <v>278.49477690974106</v>
      </c>
      <c r="B895">
        <v>-209.29219892944988</v>
      </c>
      <c r="C895">
        <v>535.34540799999991</v>
      </c>
      <c r="E895">
        <f t="shared" si="49"/>
        <v>-278.49477690974101</v>
      </c>
      <c r="F895">
        <f t="shared" si="50"/>
        <v>230.55443516142103</v>
      </c>
    </row>
    <row r="896" spans="1:6" x14ac:dyDescent="0.25">
      <c r="A896">
        <v>308.76573796634688</v>
      </c>
      <c r="B896">
        <v>-190.00926727798387</v>
      </c>
      <c r="C896">
        <v>535.34540799999991</v>
      </c>
      <c r="E896">
        <f t="shared" si="49"/>
        <v>-308.76573796634682</v>
      </c>
      <c r="F896">
        <f t="shared" si="50"/>
        <v>244.18952689332934</v>
      </c>
    </row>
    <row r="897" spans="1:6" x14ac:dyDescent="0.25">
      <c r="A897">
        <v>336.29018677756858</v>
      </c>
      <c r="B897">
        <v>-171.04617793726996</v>
      </c>
      <c r="C897">
        <v>535.34540799999991</v>
      </c>
      <c r="E897">
        <f t="shared" si="49"/>
        <v>-336.29018677756852</v>
      </c>
      <c r="F897">
        <f t="shared" si="50"/>
        <v>257.59845595839448</v>
      </c>
    </row>
    <row r="898" spans="1:6" x14ac:dyDescent="0.25">
      <c r="A898">
        <v>362.71599352561958</v>
      </c>
      <c r="B898">
        <v>-151.37920688371028</v>
      </c>
      <c r="C898">
        <v>535.34540799999991</v>
      </c>
      <c r="E898">
        <f t="shared" si="49"/>
        <v>-362.71599352561952</v>
      </c>
      <c r="F898">
        <f t="shared" si="50"/>
        <v>271.50510455576608</v>
      </c>
    </row>
    <row r="899" spans="1:6" x14ac:dyDescent="0.25">
      <c r="A899">
        <v>389.13861958373309</v>
      </c>
      <c r="B899">
        <v>-130.07387256995798</v>
      </c>
      <c r="C899">
        <v>535.34540799999991</v>
      </c>
      <c r="E899">
        <f t="shared" si="49"/>
        <v>-389.13861958373303</v>
      </c>
      <c r="F899">
        <f t="shared" si="50"/>
        <v>286.57025092446679</v>
      </c>
    </row>
    <row r="900" spans="1:6" x14ac:dyDescent="0.25">
      <c r="A900">
        <v>410.5017708337009</v>
      </c>
      <c r="B900">
        <v>-111.1722372097688</v>
      </c>
      <c r="C900">
        <v>535.34540799999991</v>
      </c>
      <c r="E900">
        <f t="shared" si="49"/>
        <v>-410.50177083370085</v>
      </c>
      <c r="F900">
        <f t="shared" si="50"/>
        <v>299.93572546317199</v>
      </c>
    </row>
    <row r="901" spans="1:6" x14ac:dyDescent="0.25">
      <c r="A901">
        <v>430.11883577915876</v>
      </c>
      <c r="B901">
        <v>-92.85427294155167</v>
      </c>
      <c r="C901">
        <v>535.34540799999991</v>
      </c>
      <c r="E901">
        <f t="shared" si="49"/>
        <v>-430.1188357791587</v>
      </c>
      <c r="F901">
        <f t="shared" si="50"/>
        <v>312.88848221476121</v>
      </c>
    </row>
    <row r="902" spans="1:6" x14ac:dyDescent="0.25">
      <c r="A902">
        <v>447.32480975647405</v>
      </c>
      <c r="B902">
        <v>-75.8795877947923</v>
      </c>
      <c r="C902">
        <v>535.34540799999991</v>
      </c>
      <c r="E902">
        <f t="shared" si="49"/>
        <v>-447.324809756474</v>
      </c>
      <c r="F902">
        <f t="shared" si="50"/>
        <v>324.89139719054128</v>
      </c>
    </row>
    <row r="903" spans="1:6" x14ac:dyDescent="0.25">
      <c r="A903">
        <v>462.91133643508812</v>
      </c>
      <c r="B903">
        <v>-59.805421262559491</v>
      </c>
      <c r="C903">
        <v>535.34540799999991</v>
      </c>
      <c r="E903">
        <f t="shared" si="49"/>
        <v>-462.91133643508806</v>
      </c>
      <c r="F903">
        <f t="shared" si="50"/>
        <v>336.25754934740496</v>
      </c>
    </row>
    <row r="904" spans="1:6" x14ac:dyDescent="0.25">
      <c r="A904">
        <v>477.94858909755015</v>
      </c>
      <c r="B904">
        <v>-45.742215971374129</v>
      </c>
      <c r="C904">
        <v>535.34540799999991</v>
      </c>
      <c r="E904">
        <f t="shared" si="49"/>
        <v>-477.9485890975501</v>
      </c>
      <c r="F904">
        <f t="shared" si="50"/>
        <v>346.20173717402071</v>
      </c>
    </row>
    <row r="905" spans="1:6" x14ac:dyDescent="0.25">
      <c r="A905">
        <v>494.49255113246704</v>
      </c>
      <c r="B905">
        <v>-30.611980627859481</v>
      </c>
      <c r="C905">
        <v>535.34540799999991</v>
      </c>
      <c r="E905">
        <f t="shared" si="49"/>
        <v>-494.49255113246699</v>
      </c>
      <c r="F905">
        <f t="shared" si="50"/>
        <v>356.90042918636829</v>
      </c>
    </row>
    <row r="906" spans="1:6" x14ac:dyDescent="0.25">
      <c r="A906">
        <v>516.51704305394242</v>
      </c>
      <c r="B906">
        <v>-14.644111546505464</v>
      </c>
      <c r="C906">
        <v>535.34540799999991</v>
      </c>
      <c r="E906">
        <f t="shared" si="49"/>
        <v>-516.5170430539423</v>
      </c>
      <c r="F906">
        <f t="shared" si="50"/>
        <v>368.19141769489272</v>
      </c>
    </row>
    <row r="907" spans="1:6" x14ac:dyDescent="0.25">
      <c r="A907">
        <v>534.70699651720372</v>
      </c>
      <c r="B907">
        <v>0</v>
      </c>
      <c r="C907">
        <v>535.34540799999991</v>
      </c>
      <c r="E907">
        <f t="shared" si="49"/>
        <v>-534.70699651720361</v>
      </c>
      <c r="F907">
        <f t="shared" si="50"/>
        <v>378.54636827387895</v>
      </c>
    </row>
    <row r="908" spans="1:6" x14ac:dyDescent="0.25">
      <c r="A908">
        <v>516.51704305394242</v>
      </c>
      <c r="B908">
        <v>14.644111546505473</v>
      </c>
      <c r="C908">
        <v>535.34540799999991</v>
      </c>
      <c r="E908">
        <f t="shared" si="49"/>
        <v>-516.5170430539423</v>
      </c>
      <c r="F908">
        <f t="shared" si="50"/>
        <v>388.90131885286519</v>
      </c>
    </row>
    <row r="909" spans="1:6" x14ac:dyDescent="0.25">
      <c r="A909">
        <v>494.49255113246721</v>
      </c>
      <c r="B909">
        <v>30.611980627859438</v>
      </c>
      <c r="C909">
        <v>535.34540799999991</v>
      </c>
      <c r="E909">
        <f t="shared" si="49"/>
        <v>-494.49255113246716</v>
      </c>
      <c r="F909">
        <f t="shared" si="50"/>
        <v>400.19230736138957</v>
      </c>
    </row>
    <row r="910" spans="1:6" x14ac:dyDescent="0.25">
      <c r="A910">
        <v>477.94858909755015</v>
      </c>
      <c r="B910">
        <v>45.742215971374151</v>
      </c>
      <c r="C910">
        <v>535.34540799999991</v>
      </c>
      <c r="E910">
        <f t="shared" si="49"/>
        <v>-477.9485890975501</v>
      </c>
      <c r="F910">
        <f t="shared" si="50"/>
        <v>410.8909993737372</v>
      </c>
    </row>
    <row r="911" spans="1:6" x14ac:dyDescent="0.25">
      <c r="A911">
        <v>462.91133643508812</v>
      </c>
      <c r="B911">
        <v>59.805421262559491</v>
      </c>
      <c r="C911">
        <v>535.34540799999991</v>
      </c>
      <c r="E911">
        <f t="shared" si="49"/>
        <v>-462.91133643508806</v>
      </c>
      <c r="F911">
        <f t="shared" si="50"/>
        <v>420.83518720035289</v>
      </c>
    </row>
    <row r="912" spans="1:6" x14ac:dyDescent="0.25">
      <c r="A912">
        <v>447.32480975647405</v>
      </c>
      <c r="B912">
        <v>75.8795877947923</v>
      </c>
      <c r="C912">
        <v>535.34540799999991</v>
      </c>
      <c r="E912">
        <f t="shared" si="49"/>
        <v>-447.324809756474</v>
      </c>
      <c r="F912">
        <f t="shared" si="50"/>
        <v>432.20133935721657</v>
      </c>
    </row>
    <row r="913" spans="1:6" x14ac:dyDescent="0.25">
      <c r="A913">
        <v>430.11883577915876</v>
      </c>
      <c r="B913">
        <v>92.85427294155167</v>
      </c>
      <c r="C913">
        <v>535.34540799999991</v>
      </c>
      <c r="E913">
        <f t="shared" si="49"/>
        <v>-430.1188357791587</v>
      </c>
      <c r="F913">
        <f t="shared" si="50"/>
        <v>444.2042543329967</v>
      </c>
    </row>
    <row r="914" spans="1:6" x14ac:dyDescent="0.25">
      <c r="A914">
        <v>410.50177083370079</v>
      </c>
      <c r="B914">
        <v>111.17223720976867</v>
      </c>
      <c r="C914">
        <v>535.34540799999991</v>
      </c>
      <c r="E914">
        <f t="shared" si="49"/>
        <v>-410.50177083370073</v>
      </c>
      <c r="F914">
        <f t="shared" si="50"/>
        <v>457.1570110845858</v>
      </c>
    </row>
    <row r="915" spans="1:6" x14ac:dyDescent="0.25">
      <c r="A915">
        <v>389.13861958373309</v>
      </c>
      <c r="B915">
        <v>130.07387256995798</v>
      </c>
      <c r="C915">
        <v>535.34540799999991</v>
      </c>
      <c r="E915">
        <f t="shared" si="49"/>
        <v>-389.13861958373303</v>
      </c>
      <c r="F915">
        <f t="shared" si="50"/>
        <v>470.52248562329106</v>
      </c>
    </row>
    <row r="916" spans="1:6" x14ac:dyDescent="0.25">
      <c r="A916">
        <v>362.71599352561969</v>
      </c>
      <c r="B916">
        <v>151.37920688371034</v>
      </c>
      <c r="C916">
        <v>535.34540799999991</v>
      </c>
      <c r="E916">
        <f t="shared" ref="E916:E979" si="51">($I$2*A916)+($K$2*B916)+($M$2*C916)</f>
        <v>-362.71599352561964</v>
      </c>
      <c r="F916">
        <f t="shared" ref="F916:F979" si="52">($J$2*A916)+($L$2*B916)+($N$2*C916)</f>
        <v>485.58763199199183</v>
      </c>
    </row>
    <row r="917" spans="1:6" x14ac:dyDescent="0.25">
      <c r="A917">
        <v>336.29018677756852</v>
      </c>
      <c r="B917">
        <v>171.04617793726993</v>
      </c>
      <c r="C917">
        <v>535.34540799999991</v>
      </c>
      <c r="E917">
        <f t="shared" si="51"/>
        <v>-336.29018677756847</v>
      </c>
      <c r="F917">
        <f t="shared" si="52"/>
        <v>499.49428058936337</v>
      </c>
    </row>
    <row r="918" spans="1:6" x14ac:dyDescent="0.25">
      <c r="A918">
        <v>308.76573796634716</v>
      </c>
      <c r="B918">
        <v>190.00926727798381</v>
      </c>
      <c r="C918">
        <v>535.34540799999991</v>
      </c>
      <c r="E918">
        <f t="shared" si="51"/>
        <v>-308.7657379663471</v>
      </c>
      <c r="F918">
        <f t="shared" si="52"/>
        <v>512.90320965442845</v>
      </c>
    </row>
    <row r="919" spans="1:6" x14ac:dyDescent="0.25">
      <c r="A919">
        <v>278.49477690974135</v>
      </c>
      <c r="B919">
        <v>209.2921989294498</v>
      </c>
      <c r="C919">
        <v>535.34540799999991</v>
      </c>
      <c r="E919">
        <f t="shared" si="51"/>
        <v>-278.49477690974129</v>
      </c>
      <c r="F919">
        <f t="shared" si="52"/>
        <v>526.5383013863368</v>
      </c>
    </row>
    <row r="920" spans="1:6" x14ac:dyDescent="0.25">
      <c r="A920">
        <v>243.82137248020805</v>
      </c>
      <c r="B920">
        <v>229.16739910095382</v>
      </c>
      <c r="C920">
        <v>535.34540799999991</v>
      </c>
      <c r="E920">
        <f t="shared" si="51"/>
        <v>-243.821372480208</v>
      </c>
      <c r="F920">
        <f t="shared" si="52"/>
        <v>540.59219020504725</v>
      </c>
    </row>
    <row r="921" spans="1:6" x14ac:dyDescent="0.25">
      <c r="A921">
        <v>201.14572182640259</v>
      </c>
      <c r="B921">
        <v>252.53562652713154</v>
      </c>
      <c r="C921">
        <v>535.34540799999991</v>
      </c>
      <c r="E921">
        <f t="shared" si="51"/>
        <v>-201.14572182640254</v>
      </c>
      <c r="F921">
        <f t="shared" si="52"/>
        <v>557.11602228240702</v>
      </c>
    </row>
    <row r="922" spans="1:6" x14ac:dyDescent="0.25">
      <c r="A922">
        <v>152.30009277872679</v>
      </c>
      <c r="B922">
        <v>275.01768782977911</v>
      </c>
      <c r="C922">
        <v>535.34540799999991</v>
      </c>
      <c r="E922">
        <f t="shared" si="51"/>
        <v>-152.30009277872674</v>
      </c>
      <c r="F922">
        <f t="shared" si="52"/>
        <v>573.01324028456077</v>
      </c>
    </row>
    <row r="923" spans="1:6" x14ac:dyDescent="0.25">
      <c r="A923">
        <v>105.65096416387205</v>
      </c>
      <c r="B923">
        <v>293.86911650052184</v>
      </c>
      <c r="C923">
        <v>535.34540799999991</v>
      </c>
      <c r="E923">
        <f t="shared" si="51"/>
        <v>-105.65096416387198</v>
      </c>
      <c r="F923">
        <f t="shared" si="52"/>
        <v>586.34321333269747</v>
      </c>
    </row>
    <row r="924" spans="1:6" x14ac:dyDescent="0.25">
      <c r="A924">
        <v>54.778668930309117</v>
      </c>
      <c r="B924">
        <v>312.36099223825869</v>
      </c>
      <c r="C924">
        <v>535.34540799999991</v>
      </c>
      <c r="E924">
        <f t="shared" si="51"/>
        <v>-54.778668930309053</v>
      </c>
      <c r="F924">
        <f t="shared" si="52"/>
        <v>599.41894406371011</v>
      </c>
    </row>
    <row r="925" spans="1:6" x14ac:dyDescent="0.25">
      <c r="A925">
        <v>8.4045692661026701E-14</v>
      </c>
      <c r="B925">
        <v>330.93658152890754</v>
      </c>
      <c r="C925">
        <v>535.34540799999991</v>
      </c>
      <c r="E925">
        <f t="shared" si="51"/>
        <v>-1.8457932715664229E-14</v>
      </c>
      <c r="F925">
        <f t="shared" si="52"/>
        <v>612.55386921566424</v>
      </c>
    </row>
    <row r="926" spans="1:6" x14ac:dyDescent="0.25">
      <c r="A926">
        <v>-54.77866893030906</v>
      </c>
      <c r="B926">
        <v>312.36099223825875</v>
      </c>
      <c r="C926">
        <v>535.34540799999991</v>
      </c>
      <c r="E926">
        <f t="shared" si="51"/>
        <v>54.778668930309124</v>
      </c>
      <c r="F926">
        <f t="shared" si="52"/>
        <v>599.41894406371023</v>
      </c>
    </row>
    <row r="927" spans="1:6" x14ac:dyDescent="0.25">
      <c r="A927">
        <v>-105.65096416387192</v>
      </c>
      <c r="B927">
        <v>293.8691165005219</v>
      </c>
      <c r="C927">
        <v>535.34540799999991</v>
      </c>
      <c r="E927">
        <f t="shared" si="51"/>
        <v>105.65096416387199</v>
      </c>
      <c r="F927">
        <f t="shared" si="52"/>
        <v>586.34321333269747</v>
      </c>
    </row>
    <row r="928" spans="1:6" x14ac:dyDescent="0.25">
      <c r="A928">
        <v>-152.30009277872671</v>
      </c>
      <c r="B928">
        <v>275.01768782977911</v>
      </c>
      <c r="C928">
        <v>535.34540799999991</v>
      </c>
      <c r="E928">
        <f t="shared" si="51"/>
        <v>152.30009277872676</v>
      </c>
      <c r="F928">
        <f t="shared" si="52"/>
        <v>573.01324028456077</v>
      </c>
    </row>
    <row r="929" spans="1:6" x14ac:dyDescent="0.25">
      <c r="A929">
        <v>-201.14572182640191</v>
      </c>
      <c r="B929">
        <v>252.53562652713185</v>
      </c>
      <c r="C929">
        <v>535.34540799999991</v>
      </c>
      <c r="E929">
        <f t="shared" si="51"/>
        <v>201.14572182640197</v>
      </c>
      <c r="F929">
        <f t="shared" si="52"/>
        <v>557.11602228240713</v>
      </c>
    </row>
    <row r="930" spans="1:6" x14ac:dyDescent="0.25">
      <c r="A930">
        <v>-243.82137248020763</v>
      </c>
      <c r="B930">
        <v>229.16739910095413</v>
      </c>
      <c r="C930">
        <v>535.34540799999991</v>
      </c>
      <c r="E930">
        <f t="shared" si="51"/>
        <v>243.82137248020769</v>
      </c>
      <c r="F930">
        <f t="shared" si="52"/>
        <v>540.59219020504747</v>
      </c>
    </row>
    <row r="931" spans="1:6" x14ac:dyDescent="0.25">
      <c r="A931">
        <v>-278.49477690974123</v>
      </c>
      <c r="B931">
        <v>209.29219892944982</v>
      </c>
      <c r="C931">
        <v>535.34540799999991</v>
      </c>
      <c r="E931">
        <f t="shared" si="51"/>
        <v>278.49477690974129</v>
      </c>
      <c r="F931">
        <f t="shared" si="52"/>
        <v>526.5383013863368</v>
      </c>
    </row>
    <row r="932" spans="1:6" x14ac:dyDescent="0.25">
      <c r="A932">
        <v>-308.76573796634699</v>
      </c>
      <c r="B932">
        <v>190.00926727798375</v>
      </c>
      <c r="C932">
        <v>535.34540799999991</v>
      </c>
      <c r="E932">
        <f t="shared" si="51"/>
        <v>308.76573796634705</v>
      </c>
      <c r="F932">
        <f t="shared" si="52"/>
        <v>512.90320965442834</v>
      </c>
    </row>
    <row r="933" spans="1:6" x14ac:dyDescent="0.25">
      <c r="A933">
        <v>-336.29018677756858</v>
      </c>
      <c r="B933">
        <v>171.04617793727007</v>
      </c>
      <c r="C933">
        <v>535.34540799999991</v>
      </c>
      <c r="E933">
        <f t="shared" si="51"/>
        <v>336.29018677756864</v>
      </c>
      <c r="F933">
        <f t="shared" si="52"/>
        <v>499.49428058936337</v>
      </c>
    </row>
    <row r="934" spans="1:6" x14ac:dyDescent="0.25">
      <c r="A934">
        <v>-362.71599352561958</v>
      </c>
      <c r="B934">
        <v>151.37920688371022</v>
      </c>
      <c r="C934">
        <v>535.34540799999991</v>
      </c>
      <c r="E934">
        <f t="shared" si="51"/>
        <v>362.71599352561964</v>
      </c>
      <c r="F934">
        <f t="shared" si="52"/>
        <v>485.58763199199166</v>
      </c>
    </row>
    <row r="935" spans="1:6" x14ac:dyDescent="0.25">
      <c r="A935">
        <v>-389.13861958373298</v>
      </c>
      <c r="B935">
        <v>130.07387256995798</v>
      </c>
      <c r="C935">
        <v>535.34540799999991</v>
      </c>
      <c r="E935">
        <f t="shared" si="51"/>
        <v>389.13861958373303</v>
      </c>
      <c r="F935">
        <f t="shared" si="52"/>
        <v>470.522485623291</v>
      </c>
    </row>
    <row r="936" spans="1:6" x14ac:dyDescent="0.25">
      <c r="A936">
        <v>-410.50177083370073</v>
      </c>
      <c r="B936">
        <v>111.17223720976887</v>
      </c>
      <c r="C936">
        <v>535.34540799999991</v>
      </c>
      <c r="E936">
        <f t="shared" si="51"/>
        <v>410.50177083370079</v>
      </c>
      <c r="F936">
        <f t="shared" si="52"/>
        <v>457.15701108458586</v>
      </c>
    </row>
    <row r="937" spans="1:6" x14ac:dyDescent="0.25">
      <c r="A937">
        <v>-430.1188357791587</v>
      </c>
      <c r="B937">
        <v>92.854272941551756</v>
      </c>
      <c r="C937">
        <v>535.34540799999991</v>
      </c>
      <c r="E937">
        <f t="shared" si="51"/>
        <v>430.11883577915876</v>
      </c>
      <c r="F937">
        <f t="shared" si="52"/>
        <v>444.20425433299664</v>
      </c>
    </row>
    <row r="938" spans="1:6" x14ac:dyDescent="0.25">
      <c r="A938">
        <v>-447.32480975647405</v>
      </c>
      <c r="B938">
        <v>75.879587794792414</v>
      </c>
      <c r="C938">
        <v>535.34540799999991</v>
      </c>
      <c r="E938">
        <f t="shared" si="51"/>
        <v>447.32480975647411</v>
      </c>
      <c r="F938">
        <f t="shared" si="52"/>
        <v>432.20133935721657</v>
      </c>
    </row>
    <row r="939" spans="1:6" x14ac:dyDescent="0.25">
      <c r="A939">
        <v>-462.91133643508817</v>
      </c>
      <c r="B939">
        <v>59.805421262559669</v>
      </c>
      <c r="C939">
        <v>535.34540799999991</v>
      </c>
      <c r="E939">
        <f t="shared" si="51"/>
        <v>462.91133643508823</v>
      </c>
      <c r="F939">
        <f t="shared" si="52"/>
        <v>420.83518720035295</v>
      </c>
    </row>
    <row r="940" spans="1:6" x14ac:dyDescent="0.25">
      <c r="A940">
        <v>-477.94858909755015</v>
      </c>
      <c r="B940">
        <v>45.742215971374094</v>
      </c>
      <c r="C940">
        <v>535.34540799999991</v>
      </c>
      <c r="E940">
        <f t="shared" si="51"/>
        <v>477.94858909755021</v>
      </c>
      <c r="F940">
        <f t="shared" si="52"/>
        <v>410.89099937373709</v>
      </c>
    </row>
    <row r="941" spans="1:6" x14ac:dyDescent="0.25">
      <c r="A941">
        <v>-494.49255113246704</v>
      </c>
      <c r="B941">
        <v>30.611980627859399</v>
      </c>
      <c r="C941">
        <v>535.34540799999991</v>
      </c>
      <c r="E941">
        <f t="shared" si="51"/>
        <v>494.4925511324671</v>
      </c>
      <c r="F941">
        <f t="shared" si="52"/>
        <v>400.19230736138945</v>
      </c>
    </row>
    <row r="942" spans="1:6" x14ac:dyDescent="0.25">
      <c r="A942">
        <v>-517.89217454940149</v>
      </c>
      <c r="B942">
        <v>-4.9593896398524495E-14</v>
      </c>
      <c r="C942">
        <v>615.42419199999995</v>
      </c>
      <c r="E942">
        <f t="shared" si="51"/>
        <v>517.8921745494016</v>
      </c>
      <c r="F942">
        <f t="shared" si="52"/>
        <v>435.17061946945165</v>
      </c>
    </row>
    <row r="943" spans="1:6" x14ac:dyDescent="0.25">
      <c r="A943">
        <v>-509.06013121545755</v>
      </c>
      <c r="B943">
        <v>-14.332231458617121</v>
      </c>
      <c r="C943">
        <v>615.42419199999995</v>
      </c>
      <c r="E943">
        <f t="shared" si="51"/>
        <v>509.0601312154576</v>
      </c>
      <c r="F943">
        <f t="shared" si="52"/>
        <v>425.03620141552835</v>
      </c>
    </row>
    <row r="944" spans="1:6" x14ac:dyDescent="0.25">
      <c r="A944">
        <v>-497.5557768153962</v>
      </c>
      <c r="B944">
        <v>-27.939110154673497</v>
      </c>
      <c r="C944">
        <v>615.42419199999995</v>
      </c>
      <c r="E944">
        <f t="shared" si="51"/>
        <v>497.55577681539626</v>
      </c>
      <c r="F944">
        <f t="shared" si="52"/>
        <v>415.41468521876408</v>
      </c>
    </row>
    <row r="945" spans="1:6" x14ac:dyDescent="0.25">
      <c r="A945">
        <v>-485.61189561991245</v>
      </c>
      <c r="B945">
        <v>-43.036628476614823</v>
      </c>
      <c r="C945">
        <v>615.42419199999995</v>
      </c>
      <c r="E945">
        <f t="shared" si="51"/>
        <v>485.6118956199125</v>
      </c>
      <c r="F945">
        <f t="shared" si="52"/>
        <v>404.73912763423124</v>
      </c>
    </row>
    <row r="946" spans="1:6" x14ac:dyDescent="0.25">
      <c r="A946">
        <v>-472.81707730682996</v>
      </c>
      <c r="B946">
        <v>-58.385909402112787</v>
      </c>
      <c r="C946">
        <v>615.42419199999995</v>
      </c>
      <c r="E946">
        <f t="shared" si="51"/>
        <v>472.81707730683002</v>
      </c>
      <c r="F946">
        <f t="shared" si="52"/>
        <v>393.88554700547434</v>
      </c>
    </row>
    <row r="947" spans="1:6" x14ac:dyDescent="0.25">
      <c r="A947">
        <v>-458.92334792051275</v>
      </c>
      <c r="B947">
        <v>-74.306140087679665</v>
      </c>
      <c r="C947">
        <v>615.42419199999995</v>
      </c>
      <c r="E947">
        <f t="shared" si="51"/>
        <v>458.92334792051281</v>
      </c>
      <c r="F947">
        <f t="shared" si="52"/>
        <v>382.62824392965581</v>
      </c>
    </row>
    <row r="948" spans="1:6" x14ac:dyDescent="0.25">
      <c r="A948">
        <v>-443.36585133183564</v>
      </c>
      <c r="B948">
        <v>-91.156872484477645</v>
      </c>
      <c r="C948">
        <v>615.42419199999995</v>
      </c>
      <c r="E948">
        <f t="shared" si="51"/>
        <v>443.3658513318357</v>
      </c>
      <c r="F948">
        <f t="shared" si="52"/>
        <v>370.71297678392011</v>
      </c>
    </row>
    <row r="949" spans="1:6" x14ac:dyDescent="0.25">
      <c r="A949">
        <v>-425.37656576548244</v>
      </c>
      <c r="B949">
        <v>-109.3778482121035</v>
      </c>
      <c r="C949">
        <v>615.42419199999995</v>
      </c>
      <c r="E949">
        <f t="shared" si="51"/>
        <v>425.3765657654825</v>
      </c>
      <c r="F949">
        <f t="shared" si="52"/>
        <v>357.82880128708041</v>
      </c>
    </row>
    <row r="950" spans="1:6" x14ac:dyDescent="0.25">
      <c r="A950">
        <v>-403.84290068053429</v>
      </c>
      <c r="B950">
        <v>-129.54148748197647</v>
      </c>
      <c r="C950">
        <v>615.42419199999995</v>
      </c>
      <c r="E950">
        <f t="shared" si="51"/>
        <v>403.84290068053434</v>
      </c>
      <c r="F950">
        <f t="shared" si="52"/>
        <v>343.57095522595387</v>
      </c>
    </row>
    <row r="951" spans="1:6" x14ac:dyDescent="0.25">
      <c r="A951">
        <v>-379.00756046839768</v>
      </c>
      <c r="B951">
        <v>-151.02451195186399</v>
      </c>
      <c r="C951">
        <v>615.42419199999995</v>
      </c>
      <c r="E951">
        <f t="shared" si="51"/>
        <v>379.00756046839774</v>
      </c>
      <c r="F951">
        <f t="shared" si="52"/>
        <v>328.38016294289986</v>
      </c>
    </row>
    <row r="952" spans="1:6" x14ac:dyDescent="0.25">
      <c r="A952">
        <v>-349.60791503610272</v>
      </c>
      <c r="B952">
        <v>-173.81739989302878</v>
      </c>
      <c r="C952">
        <v>615.42419199999995</v>
      </c>
      <c r="E952">
        <f t="shared" si="51"/>
        <v>349.60791503610278</v>
      </c>
      <c r="F952">
        <f t="shared" si="52"/>
        <v>312.26315731687714</v>
      </c>
    </row>
    <row r="953" spans="1:6" x14ac:dyDescent="0.25">
      <c r="A953">
        <v>-318.60588091733752</v>
      </c>
      <c r="B953">
        <v>-195.63259898016659</v>
      </c>
      <c r="C953">
        <v>615.42419199999995</v>
      </c>
      <c r="E953">
        <f t="shared" si="51"/>
        <v>318.60588091733757</v>
      </c>
      <c r="F953">
        <f t="shared" si="52"/>
        <v>296.83748210942741</v>
      </c>
    </row>
    <row r="954" spans="1:6" x14ac:dyDescent="0.25">
      <c r="A954">
        <v>-285.16814447725926</v>
      </c>
      <c r="B954">
        <v>-216.51017589071066</v>
      </c>
      <c r="C954">
        <v>615.42419199999995</v>
      </c>
      <c r="E954">
        <f t="shared" si="51"/>
        <v>285.16814447725932</v>
      </c>
      <c r="F954">
        <f t="shared" si="52"/>
        <v>282.07480590123805</v>
      </c>
    </row>
    <row r="955" spans="1:6" x14ac:dyDescent="0.25">
      <c r="A955">
        <v>-243.92989985897304</v>
      </c>
      <c r="B955">
        <v>-240.00735086956186</v>
      </c>
      <c r="C955">
        <v>615.42419199999995</v>
      </c>
      <c r="E955">
        <f t="shared" si="51"/>
        <v>243.92989985897313</v>
      </c>
      <c r="F955">
        <f t="shared" si="52"/>
        <v>265.45979413496548</v>
      </c>
    </row>
    <row r="956" spans="1:6" x14ac:dyDescent="0.25">
      <c r="A956">
        <v>-195.0182684517064</v>
      </c>
      <c r="B956">
        <v>-264.54276074575927</v>
      </c>
      <c r="C956">
        <v>615.42419199999995</v>
      </c>
      <c r="E956">
        <f t="shared" si="51"/>
        <v>195.01826845170649</v>
      </c>
      <c r="F956">
        <f t="shared" si="52"/>
        <v>248.11063943231488</v>
      </c>
    </row>
    <row r="957" spans="1:6" x14ac:dyDescent="0.25">
      <c r="A957">
        <v>-149.51407333747642</v>
      </c>
      <c r="B957">
        <v>-285.02657016945494</v>
      </c>
      <c r="C957">
        <v>615.42419199999995</v>
      </c>
      <c r="E957">
        <f t="shared" si="51"/>
        <v>149.5140733374765</v>
      </c>
      <c r="F957">
        <f t="shared" si="52"/>
        <v>233.62639888428677</v>
      </c>
    </row>
    <row r="958" spans="1:6" x14ac:dyDescent="0.25">
      <c r="A958">
        <v>-103.62036879825405</v>
      </c>
      <c r="B958">
        <v>-302.00517083263185</v>
      </c>
      <c r="C958">
        <v>615.42419199999995</v>
      </c>
      <c r="E958">
        <f t="shared" si="51"/>
        <v>103.62036879825412</v>
      </c>
      <c r="F958">
        <f t="shared" si="52"/>
        <v>221.62071522029598</v>
      </c>
    </row>
    <row r="959" spans="1:6" x14ac:dyDescent="0.25">
      <c r="A959">
        <v>-53.523968902076341</v>
      </c>
      <c r="B959">
        <v>-318.2281902417601</v>
      </c>
      <c r="C959">
        <v>615.42419199999995</v>
      </c>
      <c r="E959">
        <f t="shared" si="51"/>
        <v>53.523968902076419</v>
      </c>
      <c r="F959">
        <f t="shared" si="52"/>
        <v>210.14930818478041</v>
      </c>
    </row>
    <row r="960" spans="1:6" x14ac:dyDescent="0.25">
      <c r="A960">
        <v>8.6390531501435923E-14</v>
      </c>
      <c r="B960">
        <v>-334.02756810008816</v>
      </c>
      <c r="C960">
        <v>615.42419199999995</v>
      </c>
      <c r="E960">
        <f t="shared" si="51"/>
        <v>-1.0991931707217334E-14</v>
      </c>
      <c r="F960">
        <f t="shared" si="52"/>
        <v>198.97746096262804</v>
      </c>
    </row>
    <row r="961" spans="1:6" x14ac:dyDescent="0.25">
      <c r="A961">
        <v>53.523968902076213</v>
      </c>
      <c r="B961">
        <v>-318.2281902417601</v>
      </c>
      <c r="C961">
        <v>615.42419199999995</v>
      </c>
      <c r="E961">
        <f t="shared" si="51"/>
        <v>-53.523968902076135</v>
      </c>
      <c r="F961">
        <f t="shared" si="52"/>
        <v>210.14930818478041</v>
      </c>
    </row>
    <row r="962" spans="1:6" x14ac:dyDescent="0.25">
      <c r="A962">
        <v>103.62036879825413</v>
      </c>
      <c r="B962">
        <v>-302.00517083263185</v>
      </c>
      <c r="C962">
        <v>615.42419199999995</v>
      </c>
      <c r="E962">
        <f t="shared" si="51"/>
        <v>-103.62036879825406</v>
      </c>
      <c r="F962">
        <f t="shared" si="52"/>
        <v>221.62071522029598</v>
      </c>
    </row>
    <row r="963" spans="1:6" x14ac:dyDescent="0.25">
      <c r="A963">
        <v>149.51407333747647</v>
      </c>
      <c r="B963">
        <v>-285.02657016945494</v>
      </c>
      <c r="C963">
        <v>615.42419199999995</v>
      </c>
      <c r="E963">
        <f t="shared" si="51"/>
        <v>-149.51407333747639</v>
      </c>
      <c r="F963">
        <f t="shared" si="52"/>
        <v>233.62639888428677</v>
      </c>
    </row>
    <row r="964" spans="1:6" x14ac:dyDescent="0.25">
      <c r="A964">
        <v>195.01826845170632</v>
      </c>
      <c r="B964">
        <v>-264.54276074575927</v>
      </c>
      <c r="C964">
        <v>615.42419199999995</v>
      </c>
      <c r="E964">
        <f t="shared" si="51"/>
        <v>-195.01826845170623</v>
      </c>
      <c r="F964">
        <f t="shared" si="52"/>
        <v>248.11063943231494</v>
      </c>
    </row>
    <row r="965" spans="1:6" x14ac:dyDescent="0.25">
      <c r="A965">
        <v>243.92989985897304</v>
      </c>
      <c r="B965">
        <v>-240.00735086956178</v>
      </c>
      <c r="C965">
        <v>615.42419199999995</v>
      </c>
      <c r="E965">
        <f t="shared" si="51"/>
        <v>-243.92989985897296</v>
      </c>
      <c r="F965">
        <f t="shared" si="52"/>
        <v>265.45979413496559</v>
      </c>
    </row>
    <row r="966" spans="1:6" x14ac:dyDescent="0.25">
      <c r="A966">
        <v>285.16814447725909</v>
      </c>
      <c r="B966">
        <v>-216.51017589071088</v>
      </c>
      <c r="C966">
        <v>615.42419199999995</v>
      </c>
      <c r="E966">
        <f t="shared" si="51"/>
        <v>-285.16814447725903</v>
      </c>
      <c r="F966">
        <f t="shared" si="52"/>
        <v>282.07480590123794</v>
      </c>
    </row>
    <row r="967" spans="1:6" x14ac:dyDescent="0.25">
      <c r="A967">
        <v>318.6058809173374</v>
      </c>
      <c r="B967">
        <v>-195.63259898016676</v>
      </c>
      <c r="C967">
        <v>615.42419199999995</v>
      </c>
      <c r="E967">
        <f t="shared" si="51"/>
        <v>-318.60588091733734</v>
      </c>
      <c r="F967">
        <f t="shared" si="52"/>
        <v>296.83748210942736</v>
      </c>
    </row>
    <row r="968" spans="1:6" x14ac:dyDescent="0.25">
      <c r="A968">
        <v>349.60791503610261</v>
      </c>
      <c r="B968">
        <v>-173.81739989302866</v>
      </c>
      <c r="C968">
        <v>615.42419199999995</v>
      </c>
      <c r="E968">
        <f t="shared" si="51"/>
        <v>-349.60791503610255</v>
      </c>
      <c r="F968">
        <f t="shared" si="52"/>
        <v>312.26315731687725</v>
      </c>
    </row>
    <row r="969" spans="1:6" x14ac:dyDescent="0.25">
      <c r="A969">
        <v>379.00756046839768</v>
      </c>
      <c r="B969">
        <v>-151.02451195186399</v>
      </c>
      <c r="C969">
        <v>615.42419199999995</v>
      </c>
      <c r="E969">
        <f t="shared" si="51"/>
        <v>-379.00756046839763</v>
      </c>
      <c r="F969">
        <f t="shared" si="52"/>
        <v>328.38016294289991</v>
      </c>
    </row>
    <row r="970" spans="1:6" x14ac:dyDescent="0.25">
      <c r="A970">
        <v>403.84290068053451</v>
      </c>
      <c r="B970">
        <v>-129.54148748197647</v>
      </c>
      <c r="C970">
        <v>615.42419199999995</v>
      </c>
      <c r="E970">
        <f t="shared" si="51"/>
        <v>-403.84290068053446</v>
      </c>
      <c r="F970">
        <f t="shared" si="52"/>
        <v>343.57095522595392</v>
      </c>
    </row>
    <row r="971" spans="1:6" x14ac:dyDescent="0.25">
      <c r="A971">
        <v>425.37656576548238</v>
      </c>
      <c r="B971">
        <v>-109.37784821210347</v>
      </c>
      <c r="C971">
        <v>615.42419199999995</v>
      </c>
      <c r="E971">
        <f t="shared" si="51"/>
        <v>-425.37656576548233</v>
      </c>
      <c r="F971">
        <f t="shared" si="52"/>
        <v>357.82880128708047</v>
      </c>
    </row>
    <row r="972" spans="1:6" x14ac:dyDescent="0.25">
      <c r="A972">
        <v>443.36585133183559</v>
      </c>
      <c r="B972">
        <v>-91.15687248447756</v>
      </c>
      <c r="C972">
        <v>615.42419199999995</v>
      </c>
      <c r="E972">
        <f t="shared" si="51"/>
        <v>-443.36585133183553</v>
      </c>
      <c r="F972">
        <f t="shared" si="52"/>
        <v>370.71297678392023</v>
      </c>
    </row>
    <row r="973" spans="1:6" x14ac:dyDescent="0.25">
      <c r="A973">
        <v>458.92334792051264</v>
      </c>
      <c r="B973">
        <v>-74.306140087679594</v>
      </c>
      <c r="C973">
        <v>615.42419199999995</v>
      </c>
      <c r="E973">
        <f t="shared" si="51"/>
        <v>-458.92334792051258</v>
      </c>
      <c r="F973">
        <f t="shared" si="52"/>
        <v>382.62824392965592</v>
      </c>
    </row>
    <row r="974" spans="1:6" x14ac:dyDescent="0.25">
      <c r="A974">
        <v>472.81707730682996</v>
      </c>
      <c r="B974">
        <v>-58.385909402112752</v>
      </c>
      <c r="C974">
        <v>615.42419199999995</v>
      </c>
      <c r="E974">
        <f t="shared" si="51"/>
        <v>-472.8170773068299</v>
      </c>
      <c r="F974">
        <f t="shared" si="52"/>
        <v>393.88554700547445</v>
      </c>
    </row>
    <row r="975" spans="1:6" x14ac:dyDescent="0.25">
      <c r="A975">
        <v>485.61189561991245</v>
      </c>
      <c r="B975">
        <v>-43.036628476614773</v>
      </c>
      <c r="C975">
        <v>615.42419199999995</v>
      </c>
      <c r="E975">
        <f t="shared" si="51"/>
        <v>-485.61189561991239</v>
      </c>
      <c r="F975">
        <f t="shared" si="52"/>
        <v>404.73912763423135</v>
      </c>
    </row>
    <row r="976" spans="1:6" x14ac:dyDescent="0.25">
      <c r="A976">
        <v>497.55577681539626</v>
      </c>
      <c r="B976">
        <v>-27.93911015467355</v>
      </c>
      <c r="C976">
        <v>615.42419199999995</v>
      </c>
      <c r="E976">
        <f t="shared" si="51"/>
        <v>-497.5557768153962</v>
      </c>
      <c r="F976">
        <f t="shared" si="52"/>
        <v>415.41468521876413</v>
      </c>
    </row>
    <row r="977" spans="1:6" x14ac:dyDescent="0.25">
      <c r="A977">
        <v>509.06013121545737</v>
      </c>
      <c r="B977">
        <v>-14.332231458617091</v>
      </c>
      <c r="C977">
        <v>615.42419199999995</v>
      </c>
      <c r="E977">
        <f t="shared" si="51"/>
        <v>-509.06013121545732</v>
      </c>
      <c r="F977">
        <f t="shared" si="52"/>
        <v>425.03620141552847</v>
      </c>
    </row>
    <row r="978" spans="1:6" x14ac:dyDescent="0.25">
      <c r="A978">
        <v>517.8921745494016</v>
      </c>
      <c r="B978">
        <v>0</v>
      </c>
      <c r="C978">
        <v>615.42419199999995</v>
      </c>
      <c r="E978">
        <f t="shared" si="51"/>
        <v>-517.89217454940149</v>
      </c>
      <c r="F978">
        <f t="shared" si="52"/>
        <v>435.17061946945176</v>
      </c>
    </row>
    <row r="979" spans="1:6" x14ac:dyDescent="0.25">
      <c r="A979">
        <v>509.06013121545737</v>
      </c>
      <c r="B979">
        <v>14.332231458617066</v>
      </c>
      <c r="C979">
        <v>615.42419199999995</v>
      </c>
      <c r="E979">
        <f t="shared" si="51"/>
        <v>-509.06013121545732</v>
      </c>
      <c r="F979">
        <f t="shared" si="52"/>
        <v>445.30503752337506</v>
      </c>
    </row>
    <row r="980" spans="1:6" x14ac:dyDescent="0.25">
      <c r="A980">
        <v>497.55577681539643</v>
      </c>
      <c r="B980">
        <v>27.939110154673486</v>
      </c>
      <c r="C980">
        <v>615.42419199999995</v>
      </c>
      <c r="E980">
        <f t="shared" ref="E980:E1043" si="53">($I$2*A980)+($K$2*B980)+($M$2*C980)</f>
        <v>-497.55577681539637</v>
      </c>
      <c r="F980">
        <f t="shared" ref="F980:F1043" si="54">($J$2*A980)+($L$2*B980)+($N$2*C980)</f>
        <v>454.92655372013928</v>
      </c>
    </row>
    <row r="981" spans="1:6" x14ac:dyDescent="0.25">
      <c r="A981">
        <v>485.61189561991245</v>
      </c>
      <c r="B981">
        <v>43.036628476614801</v>
      </c>
      <c r="C981">
        <v>615.42419199999995</v>
      </c>
      <c r="E981">
        <f t="shared" si="53"/>
        <v>-485.61189561991239</v>
      </c>
      <c r="F981">
        <f t="shared" si="54"/>
        <v>465.60211130467218</v>
      </c>
    </row>
    <row r="982" spans="1:6" x14ac:dyDescent="0.25">
      <c r="A982">
        <v>472.81707730682996</v>
      </c>
      <c r="B982">
        <v>58.385909402112752</v>
      </c>
      <c r="C982">
        <v>615.42419199999995</v>
      </c>
      <c r="E982">
        <f t="shared" si="53"/>
        <v>-472.8170773068299</v>
      </c>
      <c r="F982">
        <f t="shared" si="54"/>
        <v>476.45569193342908</v>
      </c>
    </row>
    <row r="983" spans="1:6" x14ac:dyDescent="0.25">
      <c r="A983">
        <v>458.92334792051264</v>
      </c>
      <c r="B983">
        <v>74.306140087679623</v>
      </c>
      <c r="C983">
        <v>615.42419199999995</v>
      </c>
      <c r="E983">
        <f t="shared" si="53"/>
        <v>-458.92334792051258</v>
      </c>
      <c r="F983">
        <f t="shared" si="54"/>
        <v>487.71299500924761</v>
      </c>
    </row>
    <row r="984" spans="1:6" x14ac:dyDescent="0.25">
      <c r="A984">
        <v>443.36585133183559</v>
      </c>
      <c r="B984">
        <v>91.156872484477617</v>
      </c>
      <c r="C984">
        <v>615.42419199999995</v>
      </c>
      <c r="E984">
        <f t="shared" si="53"/>
        <v>-443.36585133183553</v>
      </c>
      <c r="F984">
        <f t="shared" si="54"/>
        <v>499.6282621549833</v>
      </c>
    </row>
    <row r="985" spans="1:6" x14ac:dyDescent="0.25">
      <c r="A985">
        <v>425.37656576548244</v>
      </c>
      <c r="B985">
        <v>109.37784821210337</v>
      </c>
      <c r="C985">
        <v>615.42419199999995</v>
      </c>
      <c r="E985">
        <f t="shared" si="53"/>
        <v>-425.37656576548238</v>
      </c>
      <c r="F985">
        <f t="shared" si="54"/>
        <v>512.51243765182289</v>
      </c>
    </row>
    <row r="986" spans="1:6" x14ac:dyDescent="0.25">
      <c r="A986">
        <v>403.84290068053451</v>
      </c>
      <c r="B986">
        <v>129.54148748197647</v>
      </c>
      <c r="C986">
        <v>615.42419199999995</v>
      </c>
      <c r="E986">
        <f t="shared" si="53"/>
        <v>-403.84290068053446</v>
      </c>
      <c r="F986">
        <f t="shared" si="54"/>
        <v>526.77028371294955</v>
      </c>
    </row>
    <row r="987" spans="1:6" x14ac:dyDescent="0.25">
      <c r="A987">
        <v>379.00756046839768</v>
      </c>
      <c r="B987">
        <v>151.02451195186393</v>
      </c>
      <c r="C987">
        <v>615.42419199999995</v>
      </c>
      <c r="E987">
        <f t="shared" si="53"/>
        <v>-379.00756046839763</v>
      </c>
      <c r="F987">
        <f t="shared" si="54"/>
        <v>541.9610759960035</v>
      </c>
    </row>
    <row r="988" spans="1:6" x14ac:dyDescent="0.25">
      <c r="A988">
        <v>349.60791503610272</v>
      </c>
      <c r="B988">
        <v>173.81739989302864</v>
      </c>
      <c r="C988">
        <v>615.42419199999995</v>
      </c>
      <c r="E988">
        <f t="shared" si="53"/>
        <v>-349.60791503610267</v>
      </c>
      <c r="F988">
        <f t="shared" si="54"/>
        <v>558.07808162202616</v>
      </c>
    </row>
    <row r="989" spans="1:6" x14ac:dyDescent="0.25">
      <c r="A989">
        <v>318.60588091733752</v>
      </c>
      <c r="B989">
        <v>195.63259898016653</v>
      </c>
      <c r="C989">
        <v>615.42419199999995</v>
      </c>
      <c r="E989">
        <f t="shared" si="53"/>
        <v>-318.60588091733746</v>
      </c>
      <c r="F989">
        <f t="shared" si="54"/>
        <v>573.50375682947595</v>
      </c>
    </row>
    <row r="990" spans="1:6" x14ac:dyDescent="0.25">
      <c r="A990">
        <v>285.16814447725932</v>
      </c>
      <c r="B990">
        <v>216.51017589071066</v>
      </c>
      <c r="C990">
        <v>615.42419199999995</v>
      </c>
      <c r="E990">
        <f t="shared" si="53"/>
        <v>-285.16814447725926</v>
      </c>
      <c r="F990">
        <f t="shared" si="54"/>
        <v>588.26643303766537</v>
      </c>
    </row>
    <row r="991" spans="1:6" x14ac:dyDescent="0.25">
      <c r="A991">
        <v>243.92989985897333</v>
      </c>
      <c r="B991">
        <v>240.00735086956163</v>
      </c>
      <c r="C991">
        <v>615.42419199999995</v>
      </c>
      <c r="E991">
        <f t="shared" si="53"/>
        <v>-243.92989985897324</v>
      </c>
      <c r="F991">
        <f t="shared" si="54"/>
        <v>604.88144480393782</v>
      </c>
    </row>
    <row r="992" spans="1:6" x14ac:dyDescent="0.25">
      <c r="A992">
        <v>195.01826845170666</v>
      </c>
      <c r="B992">
        <v>264.54276074575915</v>
      </c>
      <c r="C992">
        <v>615.42419199999995</v>
      </c>
      <c r="E992">
        <f t="shared" si="53"/>
        <v>-195.01826845170658</v>
      </c>
      <c r="F992">
        <f t="shared" si="54"/>
        <v>622.23059950658842</v>
      </c>
    </row>
    <row r="993" spans="1:6" x14ac:dyDescent="0.25">
      <c r="A993">
        <v>149.5140733374763</v>
      </c>
      <c r="B993">
        <v>285.02657016945483</v>
      </c>
      <c r="C993">
        <v>615.42419199999995</v>
      </c>
      <c r="E993">
        <f t="shared" si="53"/>
        <v>-149.51407333747622</v>
      </c>
      <c r="F993">
        <f t="shared" si="54"/>
        <v>636.71484005461662</v>
      </c>
    </row>
    <row r="994" spans="1:6" x14ac:dyDescent="0.25">
      <c r="A994">
        <v>103.62036879825398</v>
      </c>
      <c r="B994">
        <v>302.00517083263185</v>
      </c>
      <c r="C994">
        <v>615.42419199999995</v>
      </c>
      <c r="E994">
        <f t="shared" si="53"/>
        <v>-103.62036879825391</v>
      </c>
      <c r="F994">
        <f t="shared" si="54"/>
        <v>648.72052371860741</v>
      </c>
    </row>
    <row r="995" spans="1:6" x14ac:dyDescent="0.25">
      <c r="A995">
        <v>53.523968902076199</v>
      </c>
      <c r="B995">
        <v>318.2281902417601</v>
      </c>
      <c r="C995">
        <v>615.42419199999995</v>
      </c>
      <c r="E995">
        <f t="shared" si="53"/>
        <v>-53.52396890207612</v>
      </c>
      <c r="F995">
        <f t="shared" si="54"/>
        <v>660.19193075412295</v>
      </c>
    </row>
    <row r="996" spans="1:6" x14ac:dyDescent="0.25">
      <c r="A996">
        <v>8.1618052792913928E-14</v>
      </c>
      <c r="B996">
        <v>334.02756810008816</v>
      </c>
      <c r="C996">
        <v>615.42419199999995</v>
      </c>
      <c r="E996">
        <f t="shared" si="53"/>
        <v>-6.2194529986953392E-15</v>
      </c>
      <c r="F996">
        <f t="shared" si="54"/>
        <v>671.3637779762754</v>
      </c>
    </row>
    <row r="997" spans="1:6" x14ac:dyDescent="0.25">
      <c r="A997">
        <v>-53.523968902076227</v>
      </c>
      <c r="B997">
        <v>318.22819024176005</v>
      </c>
      <c r="C997">
        <v>615.42419199999995</v>
      </c>
      <c r="E997">
        <f t="shared" si="53"/>
        <v>53.523968902076305</v>
      </c>
      <c r="F997">
        <f t="shared" si="54"/>
        <v>660.19193075412295</v>
      </c>
    </row>
    <row r="998" spans="1:6" x14ac:dyDescent="0.25">
      <c r="A998">
        <v>-103.62036879825389</v>
      </c>
      <c r="B998">
        <v>302.00517083263185</v>
      </c>
      <c r="C998">
        <v>615.42419199999995</v>
      </c>
      <c r="E998">
        <f t="shared" si="53"/>
        <v>103.62036879825396</v>
      </c>
      <c r="F998">
        <f t="shared" si="54"/>
        <v>648.72052371860741</v>
      </c>
    </row>
    <row r="999" spans="1:6" x14ac:dyDescent="0.25">
      <c r="A999">
        <v>-149.5140733374763</v>
      </c>
      <c r="B999">
        <v>285.02657016945494</v>
      </c>
      <c r="C999">
        <v>615.42419199999995</v>
      </c>
      <c r="E999">
        <f t="shared" si="53"/>
        <v>149.51407333747639</v>
      </c>
      <c r="F999">
        <f t="shared" si="54"/>
        <v>636.71484005461662</v>
      </c>
    </row>
    <row r="1000" spans="1:6" x14ac:dyDescent="0.25">
      <c r="A1000">
        <v>-195.01826845170604</v>
      </c>
      <c r="B1000">
        <v>264.54276074575944</v>
      </c>
      <c r="C1000">
        <v>615.42419199999995</v>
      </c>
      <c r="E1000">
        <f t="shared" si="53"/>
        <v>195.01826845170612</v>
      </c>
      <c r="F1000">
        <f t="shared" si="54"/>
        <v>622.23059950658865</v>
      </c>
    </row>
    <row r="1001" spans="1:6" x14ac:dyDescent="0.25">
      <c r="A1001">
        <v>-243.92989985897273</v>
      </c>
      <c r="B1001">
        <v>240.00735086956195</v>
      </c>
      <c r="C1001">
        <v>615.42419199999995</v>
      </c>
      <c r="E1001">
        <f t="shared" si="53"/>
        <v>243.92989985897282</v>
      </c>
      <c r="F1001">
        <f t="shared" si="54"/>
        <v>604.88144480393794</v>
      </c>
    </row>
    <row r="1002" spans="1:6" x14ac:dyDescent="0.25">
      <c r="A1002">
        <v>-285.1681444772592</v>
      </c>
      <c r="B1002">
        <v>216.51017589071077</v>
      </c>
      <c r="C1002">
        <v>615.42419199999995</v>
      </c>
      <c r="E1002">
        <f t="shared" si="53"/>
        <v>285.16814447725926</v>
      </c>
      <c r="F1002">
        <f t="shared" si="54"/>
        <v>588.26643303766537</v>
      </c>
    </row>
    <row r="1003" spans="1:6" x14ac:dyDescent="0.25">
      <c r="A1003">
        <v>-318.60588091733752</v>
      </c>
      <c r="B1003">
        <v>195.63259898016659</v>
      </c>
      <c r="C1003">
        <v>615.42419199999995</v>
      </c>
      <c r="E1003">
        <f t="shared" si="53"/>
        <v>318.60588091733757</v>
      </c>
      <c r="F1003">
        <f t="shared" si="54"/>
        <v>573.50375682947595</v>
      </c>
    </row>
    <row r="1004" spans="1:6" x14ac:dyDescent="0.25">
      <c r="A1004">
        <v>-349.60791503610272</v>
      </c>
      <c r="B1004">
        <v>173.81739989302878</v>
      </c>
      <c r="C1004">
        <v>615.42419199999995</v>
      </c>
      <c r="E1004">
        <f t="shared" si="53"/>
        <v>349.60791503610278</v>
      </c>
      <c r="F1004">
        <f t="shared" si="54"/>
        <v>558.07808162202627</v>
      </c>
    </row>
    <row r="1005" spans="1:6" x14ac:dyDescent="0.25">
      <c r="A1005">
        <v>-379.00756046839768</v>
      </c>
      <c r="B1005">
        <v>151.02451195186399</v>
      </c>
      <c r="C1005">
        <v>615.42419199999995</v>
      </c>
      <c r="E1005">
        <f t="shared" si="53"/>
        <v>379.00756046839774</v>
      </c>
      <c r="F1005">
        <f t="shared" si="54"/>
        <v>541.9610759960035</v>
      </c>
    </row>
    <row r="1006" spans="1:6" x14ac:dyDescent="0.25">
      <c r="A1006">
        <v>-403.84290068053429</v>
      </c>
      <c r="B1006">
        <v>129.54148748197647</v>
      </c>
      <c r="C1006">
        <v>615.42419199999995</v>
      </c>
      <c r="E1006">
        <f t="shared" si="53"/>
        <v>403.84290068053434</v>
      </c>
      <c r="F1006">
        <f t="shared" si="54"/>
        <v>526.77028371294955</v>
      </c>
    </row>
    <row r="1007" spans="1:6" x14ac:dyDescent="0.25">
      <c r="A1007">
        <v>-425.37656576548244</v>
      </c>
      <c r="B1007">
        <v>109.37784821210353</v>
      </c>
      <c r="C1007">
        <v>615.42419199999995</v>
      </c>
      <c r="E1007">
        <f t="shared" si="53"/>
        <v>425.3765657654825</v>
      </c>
      <c r="F1007">
        <f t="shared" si="54"/>
        <v>512.51243765182301</v>
      </c>
    </row>
    <row r="1008" spans="1:6" x14ac:dyDescent="0.25">
      <c r="A1008">
        <v>-443.36585133183564</v>
      </c>
      <c r="B1008">
        <v>91.156872484477745</v>
      </c>
      <c r="C1008">
        <v>615.42419199999995</v>
      </c>
      <c r="E1008">
        <f t="shared" si="53"/>
        <v>443.3658513318357</v>
      </c>
      <c r="F1008">
        <f t="shared" si="54"/>
        <v>499.6282621549833</v>
      </c>
    </row>
    <row r="1009" spans="1:6" x14ac:dyDescent="0.25">
      <c r="A1009">
        <v>-458.92334792051264</v>
      </c>
      <c r="B1009">
        <v>74.306140087679765</v>
      </c>
      <c r="C1009">
        <v>615.42419199999995</v>
      </c>
      <c r="E1009">
        <f t="shared" si="53"/>
        <v>458.9233479205127</v>
      </c>
      <c r="F1009">
        <f t="shared" si="54"/>
        <v>487.71299500924761</v>
      </c>
    </row>
    <row r="1010" spans="1:6" x14ac:dyDescent="0.25">
      <c r="A1010">
        <v>-472.81707730683002</v>
      </c>
      <c r="B1010">
        <v>58.385909402112965</v>
      </c>
      <c r="C1010">
        <v>615.42419199999995</v>
      </c>
      <c r="E1010">
        <f t="shared" si="53"/>
        <v>472.81707730683007</v>
      </c>
      <c r="F1010">
        <f t="shared" si="54"/>
        <v>476.45569193342914</v>
      </c>
    </row>
    <row r="1011" spans="1:6" x14ac:dyDescent="0.25">
      <c r="A1011">
        <v>-485.61189561991245</v>
      </c>
      <c r="B1011">
        <v>43.036628476614737</v>
      </c>
      <c r="C1011">
        <v>615.42419199999995</v>
      </c>
      <c r="E1011">
        <f t="shared" si="53"/>
        <v>485.6118956199125</v>
      </c>
      <c r="F1011">
        <f t="shared" si="54"/>
        <v>465.60211130467201</v>
      </c>
    </row>
    <row r="1012" spans="1:6" x14ac:dyDescent="0.25">
      <c r="A1012">
        <v>-497.55577681539626</v>
      </c>
      <c r="B1012">
        <v>27.939110154673486</v>
      </c>
      <c r="C1012">
        <v>615.42419199999995</v>
      </c>
      <c r="E1012">
        <f t="shared" si="53"/>
        <v>497.55577681539631</v>
      </c>
      <c r="F1012">
        <f t="shared" si="54"/>
        <v>454.92655372013922</v>
      </c>
    </row>
    <row r="1013" spans="1:6" x14ac:dyDescent="0.25">
      <c r="A1013">
        <v>-516.35913945105312</v>
      </c>
      <c r="B1013">
        <v>-5.094558610113181E-14</v>
      </c>
      <c r="C1013">
        <v>695.50297599999999</v>
      </c>
      <c r="E1013">
        <f t="shared" si="53"/>
        <v>516.35913945105324</v>
      </c>
      <c r="F1013">
        <f t="shared" si="54"/>
        <v>491.79487066502452</v>
      </c>
    </row>
    <row r="1014" spans="1:6" x14ac:dyDescent="0.25">
      <c r="A1014">
        <v>-510.22403138632757</v>
      </c>
      <c r="B1014">
        <v>-12.652278141894046</v>
      </c>
      <c r="C1014">
        <v>695.50297599999999</v>
      </c>
      <c r="E1014">
        <f t="shared" si="53"/>
        <v>510.22403138632762</v>
      </c>
      <c r="F1014">
        <f t="shared" si="54"/>
        <v>482.8483589934329</v>
      </c>
    </row>
    <row r="1015" spans="1:6" x14ac:dyDescent="0.25">
      <c r="A1015">
        <v>-501.88544970769766</v>
      </c>
      <c r="B1015">
        <v>-27.019296859733792</v>
      </c>
      <c r="C1015">
        <v>695.50297599999999</v>
      </c>
      <c r="E1015">
        <f t="shared" si="53"/>
        <v>501.88544970769772</v>
      </c>
      <c r="F1015">
        <f t="shared" si="54"/>
        <v>472.6893426326144</v>
      </c>
    </row>
    <row r="1016" spans="1:6" x14ac:dyDescent="0.25">
      <c r="A1016">
        <v>-492.09487954223215</v>
      </c>
      <c r="B1016">
        <v>-41.914521408369872</v>
      </c>
      <c r="C1016">
        <v>695.50297599999999</v>
      </c>
      <c r="E1016">
        <f t="shared" si="53"/>
        <v>492.09487954223221</v>
      </c>
      <c r="F1016">
        <f t="shared" si="54"/>
        <v>462.15682834697748</v>
      </c>
    </row>
    <row r="1017" spans="1:6" x14ac:dyDescent="0.25">
      <c r="A1017">
        <v>-480.84052917334935</v>
      </c>
      <c r="B1017">
        <v>-57.091983729990638</v>
      </c>
      <c r="C1017">
        <v>695.50297599999999</v>
      </c>
      <c r="E1017">
        <f t="shared" si="53"/>
        <v>480.84052917334941</v>
      </c>
      <c r="F1017">
        <f t="shared" si="54"/>
        <v>451.42474181815612</v>
      </c>
    </row>
    <row r="1018" spans="1:6" x14ac:dyDescent="0.25">
      <c r="A1018">
        <v>-468.34185936576057</v>
      </c>
      <c r="B1018">
        <v>-72.869837610358346</v>
      </c>
      <c r="C1018">
        <v>695.50297599999999</v>
      </c>
      <c r="E1018">
        <f t="shared" si="53"/>
        <v>468.34185936576063</v>
      </c>
      <c r="F1018">
        <f t="shared" si="54"/>
        <v>440.26811434677762</v>
      </c>
    </row>
    <row r="1019" spans="1:6" x14ac:dyDescent="0.25">
      <c r="A1019">
        <v>-454.13531869253075</v>
      </c>
      <c r="B1019">
        <v>-89.604779276495378</v>
      </c>
      <c r="C1019">
        <v>695.50297599999999</v>
      </c>
      <c r="E1019">
        <f t="shared" si="53"/>
        <v>454.1353186925308</v>
      </c>
      <c r="F1019">
        <f t="shared" si="54"/>
        <v>428.43472361189083</v>
      </c>
    </row>
    <row r="1020" spans="1:6" x14ac:dyDescent="0.25">
      <c r="A1020">
        <v>-437.47313166076367</v>
      </c>
      <c r="B1020">
        <v>-107.73378250535605</v>
      </c>
      <c r="C1020">
        <v>695.50297599999999</v>
      </c>
      <c r="E1020">
        <f t="shared" si="53"/>
        <v>437.47313166076373</v>
      </c>
      <c r="F1020">
        <f t="shared" si="54"/>
        <v>415.61558249261066</v>
      </c>
    </row>
    <row r="1021" spans="1:6" x14ac:dyDescent="0.25">
      <c r="A1021">
        <v>-417.26146698885969</v>
      </c>
      <c r="B1021">
        <v>-127.82788516878659</v>
      </c>
      <c r="C1021">
        <v>695.50297599999999</v>
      </c>
      <c r="E1021">
        <f t="shared" si="53"/>
        <v>417.26146698885975</v>
      </c>
      <c r="F1021">
        <f t="shared" si="54"/>
        <v>401.40690623744024</v>
      </c>
    </row>
    <row r="1022" spans="1:6" x14ac:dyDescent="0.25">
      <c r="A1022">
        <v>-391.81088969261998</v>
      </c>
      <c r="B1022">
        <v>-150.67543610308832</v>
      </c>
      <c r="C1022">
        <v>695.50297599999999</v>
      </c>
      <c r="E1022">
        <f t="shared" si="53"/>
        <v>391.81088969262004</v>
      </c>
      <c r="F1022">
        <f t="shared" si="54"/>
        <v>385.25124803829044</v>
      </c>
    </row>
    <row r="1023" spans="1:6" x14ac:dyDescent="0.25">
      <c r="A1023">
        <v>-361.79374889202359</v>
      </c>
      <c r="B1023">
        <v>-175.00075710332587</v>
      </c>
      <c r="C1023">
        <v>695.50297599999999</v>
      </c>
      <c r="E1023">
        <f t="shared" si="53"/>
        <v>361.79374889202364</v>
      </c>
      <c r="F1023">
        <f t="shared" si="54"/>
        <v>368.05064860448294</v>
      </c>
    </row>
    <row r="1024" spans="1:6" x14ac:dyDescent="0.25">
      <c r="A1024">
        <v>-328.062596478008</v>
      </c>
      <c r="B1024">
        <v>-198.73192145666974</v>
      </c>
      <c r="C1024">
        <v>695.50297599999999</v>
      </c>
      <c r="E1024">
        <f t="shared" si="53"/>
        <v>328.06259647800806</v>
      </c>
      <c r="F1024">
        <f t="shared" si="54"/>
        <v>351.27018136478102</v>
      </c>
    </row>
    <row r="1025" spans="1:6" x14ac:dyDescent="0.25">
      <c r="A1025">
        <v>-288.61613805057914</v>
      </c>
      <c r="B1025">
        <v>-223.81363965974504</v>
      </c>
      <c r="C1025">
        <v>695.50297599999999</v>
      </c>
      <c r="E1025">
        <f t="shared" si="53"/>
        <v>288.6161380505792</v>
      </c>
      <c r="F1025">
        <f t="shared" si="54"/>
        <v>333.53472833957642</v>
      </c>
    </row>
    <row r="1026" spans="1:6" x14ac:dyDescent="0.25">
      <c r="A1026">
        <v>-241.49244555716521</v>
      </c>
      <c r="B1026">
        <v>-250.13310954874507</v>
      </c>
      <c r="C1026">
        <v>695.50297599999999</v>
      </c>
      <c r="E1026">
        <f t="shared" si="53"/>
        <v>241.4924455571653</v>
      </c>
      <c r="F1026">
        <f t="shared" si="54"/>
        <v>314.92405270382937</v>
      </c>
    </row>
    <row r="1027" spans="1:6" x14ac:dyDescent="0.25">
      <c r="A1027">
        <v>-191.90617206876823</v>
      </c>
      <c r="B1027">
        <v>-273.93300603854806</v>
      </c>
      <c r="C1027">
        <v>695.50297599999999</v>
      </c>
      <c r="E1027">
        <f t="shared" si="53"/>
        <v>191.90617206876831</v>
      </c>
      <c r="F1027">
        <f t="shared" si="54"/>
        <v>298.09498450435171</v>
      </c>
    </row>
    <row r="1028" spans="1:6" x14ac:dyDescent="0.25">
      <c r="A1028">
        <v>-146.34142178216464</v>
      </c>
      <c r="B1028">
        <v>-292.35120192359284</v>
      </c>
      <c r="C1028">
        <v>695.50297599999999</v>
      </c>
      <c r="E1028">
        <f t="shared" si="53"/>
        <v>146.34142178216473</v>
      </c>
      <c r="F1028">
        <f t="shared" si="54"/>
        <v>285.07135329681444</v>
      </c>
    </row>
    <row r="1029" spans="1:6" x14ac:dyDescent="0.25">
      <c r="A1029">
        <v>-101.31558768877017</v>
      </c>
      <c r="B1029">
        <v>-308.56402693175005</v>
      </c>
      <c r="C1029">
        <v>695.50297599999999</v>
      </c>
      <c r="E1029">
        <f t="shared" si="53"/>
        <v>101.31558768877025</v>
      </c>
      <c r="F1029">
        <f t="shared" si="54"/>
        <v>273.60715479135558</v>
      </c>
    </row>
    <row r="1030" spans="1:6" x14ac:dyDescent="0.25">
      <c r="A1030">
        <v>-52.380183855878073</v>
      </c>
      <c r="B1030">
        <v>-323.10979145569337</v>
      </c>
      <c r="C1030">
        <v>695.50297599999999</v>
      </c>
      <c r="E1030">
        <f t="shared" si="53"/>
        <v>52.380183855878158</v>
      </c>
      <c r="F1030">
        <f t="shared" si="54"/>
        <v>263.3217460589326</v>
      </c>
    </row>
    <row r="1031" spans="1:6" x14ac:dyDescent="0.25">
      <c r="A1031">
        <v>1.0548293190459072E-13</v>
      </c>
      <c r="B1031">
        <v>-336.57838523015698</v>
      </c>
      <c r="C1031">
        <v>695.50297599999999</v>
      </c>
      <c r="E1031">
        <f t="shared" si="53"/>
        <v>-2.0273492261516012E-14</v>
      </c>
      <c r="F1031">
        <f t="shared" si="54"/>
        <v>253.79801206796245</v>
      </c>
    </row>
    <row r="1032" spans="1:6" x14ac:dyDescent="0.25">
      <c r="A1032">
        <v>52.380183855877917</v>
      </c>
      <c r="B1032">
        <v>-323.10979145569337</v>
      </c>
      <c r="C1032">
        <v>695.50297599999999</v>
      </c>
      <c r="E1032">
        <f t="shared" si="53"/>
        <v>-52.380183855877831</v>
      </c>
      <c r="F1032">
        <f t="shared" si="54"/>
        <v>263.3217460589326</v>
      </c>
    </row>
    <row r="1033" spans="1:6" x14ac:dyDescent="0.25">
      <c r="A1033">
        <v>101.31558768877028</v>
      </c>
      <c r="B1033">
        <v>-308.56402693175005</v>
      </c>
      <c r="C1033">
        <v>695.50297599999999</v>
      </c>
      <c r="E1033">
        <f t="shared" si="53"/>
        <v>-101.31558768877019</v>
      </c>
      <c r="F1033">
        <f t="shared" si="54"/>
        <v>273.60715479135558</v>
      </c>
    </row>
    <row r="1034" spans="1:6" x14ac:dyDescent="0.25">
      <c r="A1034">
        <v>146.3414217821647</v>
      </c>
      <c r="B1034">
        <v>-292.35120192359284</v>
      </c>
      <c r="C1034">
        <v>695.50297599999999</v>
      </c>
      <c r="E1034">
        <f t="shared" si="53"/>
        <v>-146.34142178216462</v>
      </c>
      <c r="F1034">
        <f t="shared" si="54"/>
        <v>285.07135329681444</v>
      </c>
    </row>
    <row r="1035" spans="1:6" x14ac:dyDescent="0.25">
      <c r="A1035">
        <v>191.90617206876817</v>
      </c>
      <c r="B1035">
        <v>-273.93300603854777</v>
      </c>
      <c r="C1035">
        <v>695.50297599999999</v>
      </c>
      <c r="E1035">
        <f t="shared" si="53"/>
        <v>-191.90617206876809</v>
      </c>
      <c r="F1035">
        <f t="shared" si="54"/>
        <v>298.094984504352</v>
      </c>
    </row>
    <row r="1036" spans="1:6" x14ac:dyDescent="0.25">
      <c r="A1036">
        <v>241.49244555716521</v>
      </c>
      <c r="B1036">
        <v>-250.13310954874507</v>
      </c>
      <c r="C1036">
        <v>695.50297599999999</v>
      </c>
      <c r="E1036">
        <f t="shared" si="53"/>
        <v>-241.49244555716513</v>
      </c>
      <c r="F1036">
        <f t="shared" si="54"/>
        <v>314.92405270382937</v>
      </c>
    </row>
    <row r="1037" spans="1:6" x14ac:dyDescent="0.25">
      <c r="A1037">
        <v>288.61613805057891</v>
      </c>
      <c r="B1037">
        <v>-223.81363965974521</v>
      </c>
      <c r="C1037">
        <v>695.50297599999999</v>
      </c>
      <c r="E1037">
        <f t="shared" si="53"/>
        <v>-288.61613805057885</v>
      </c>
      <c r="F1037">
        <f t="shared" si="54"/>
        <v>333.5347283395763</v>
      </c>
    </row>
    <row r="1038" spans="1:6" x14ac:dyDescent="0.25">
      <c r="A1038">
        <v>328.06259647800789</v>
      </c>
      <c r="B1038">
        <v>-198.73192145666991</v>
      </c>
      <c r="C1038">
        <v>695.50297599999999</v>
      </c>
      <c r="E1038">
        <f t="shared" si="53"/>
        <v>-328.06259647800783</v>
      </c>
      <c r="F1038">
        <f t="shared" si="54"/>
        <v>351.27018136478097</v>
      </c>
    </row>
    <row r="1039" spans="1:6" x14ac:dyDescent="0.25">
      <c r="A1039">
        <v>361.79374889202364</v>
      </c>
      <c r="B1039">
        <v>-175.00075710332584</v>
      </c>
      <c r="C1039">
        <v>695.50297599999999</v>
      </c>
      <c r="E1039">
        <f t="shared" si="53"/>
        <v>-361.79374889202359</v>
      </c>
      <c r="F1039">
        <f t="shared" si="54"/>
        <v>368.050648604483</v>
      </c>
    </row>
    <row r="1040" spans="1:6" x14ac:dyDescent="0.25">
      <c r="A1040">
        <v>391.81088969262009</v>
      </c>
      <c r="B1040">
        <v>-150.67543610308837</v>
      </c>
      <c r="C1040">
        <v>695.50297599999999</v>
      </c>
      <c r="E1040">
        <f t="shared" si="53"/>
        <v>-391.81088969262004</v>
      </c>
      <c r="F1040">
        <f t="shared" si="54"/>
        <v>385.25124803829044</v>
      </c>
    </row>
    <row r="1041" spans="1:6" x14ac:dyDescent="0.25">
      <c r="A1041">
        <v>417.26146698885987</v>
      </c>
      <c r="B1041">
        <v>-127.82788516878657</v>
      </c>
      <c r="C1041">
        <v>695.50297599999999</v>
      </c>
      <c r="E1041">
        <f t="shared" si="53"/>
        <v>-417.26146698885981</v>
      </c>
      <c r="F1041">
        <f t="shared" si="54"/>
        <v>401.40690623744035</v>
      </c>
    </row>
    <row r="1042" spans="1:6" x14ac:dyDescent="0.25">
      <c r="A1042">
        <v>437.47313166076384</v>
      </c>
      <c r="B1042">
        <v>-107.73378250535598</v>
      </c>
      <c r="C1042">
        <v>695.50297599999999</v>
      </c>
      <c r="E1042">
        <f t="shared" si="53"/>
        <v>-437.47313166076378</v>
      </c>
      <c r="F1042">
        <f t="shared" si="54"/>
        <v>415.61558249261077</v>
      </c>
    </row>
    <row r="1043" spans="1:6" x14ac:dyDescent="0.25">
      <c r="A1043">
        <v>454.1353186925308</v>
      </c>
      <c r="B1043">
        <v>-89.604779276495265</v>
      </c>
      <c r="C1043">
        <v>695.50297599999999</v>
      </c>
      <c r="E1043">
        <f t="shared" si="53"/>
        <v>-454.13531869253075</v>
      </c>
      <c r="F1043">
        <f t="shared" si="54"/>
        <v>428.434723611891</v>
      </c>
    </row>
    <row r="1044" spans="1:6" x14ac:dyDescent="0.25">
      <c r="A1044">
        <v>468.34185936576057</v>
      </c>
      <c r="B1044">
        <v>-72.869837610358346</v>
      </c>
      <c r="C1044">
        <v>695.50297599999999</v>
      </c>
      <c r="E1044">
        <f t="shared" ref="E1044:E1107" si="55">($I$2*A1044)+($K$2*B1044)+($M$2*C1044)</f>
        <v>-468.34185936576051</v>
      </c>
      <c r="F1044">
        <f t="shared" ref="F1044:F1107" si="56">($J$2*A1044)+($L$2*B1044)+($N$2*C1044)</f>
        <v>440.26811434677768</v>
      </c>
    </row>
    <row r="1045" spans="1:6" x14ac:dyDescent="0.25">
      <c r="A1045">
        <v>480.84052917334935</v>
      </c>
      <c r="B1045">
        <v>-57.091983729990545</v>
      </c>
      <c r="C1045">
        <v>695.50297599999999</v>
      </c>
      <c r="E1045">
        <f t="shared" si="55"/>
        <v>-480.8405291733493</v>
      </c>
      <c r="F1045">
        <f t="shared" si="56"/>
        <v>451.42474181815624</v>
      </c>
    </row>
    <row r="1046" spans="1:6" x14ac:dyDescent="0.25">
      <c r="A1046">
        <v>492.09487954223221</v>
      </c>
      <c r="B1046">
        <v>-41.914521408369851</v>
      </c>
      <c r="C1046">
        <v>695.50297599999999</v>
      </c>
      <c r="E1046">
        <f t="shared" si="55"/>
        <v>-492.09487954223215</v>
      </c>
      <c r="F1046">
        <f t="shared" si="56"/>
        <v>462.15682834697759</v>
      </c>
    </row>
    <row r="1047" spans="1:6" x14ac:dyDescent="0.25">
      <c r="A1047">
        <v>501.88544970769772</v>
      </c>
      <c r="B1047">
        <v>-27.019296859733917</v>
      </c>
      <c r="C1047">
        <v>695.50297599999999</v>
      </c>
      <c r="E1047">
        <f t="shared" si="55"/>
        <v>-501.88544970769766</v>
      </c>
      <c r="F1047">
        <f t="shared" si="56"/>
        <v>472.6893426326144</v>
      </c>
    </row>
    <row r="1048" spans="1:6" x14ac:dyDescent="0.25">
      <c r="A1048">
        <v>510.22403138632751</v>
      </c>
      <c r="B1048">
        <v>-12.652278141893991</v>
      </c>
      <c r="C1048">
        <v>695.50297599999999</v>
      </c>
      <c r="E1048">
        <f t="shared" si="55"/>
        <v>-510.22403138632745</v>
      </c>
      <c r="F1048">
        <f t="shared" si="56"/>
        <v>482.84835899343307</v>
      </c>
    </row>
    <row r="1049" spans="1:6" x14ac:dyDescent="0.25">
      <c r="A1049">
        <v>516.35913945105312</v>
      </c>
      <c r="B1049">
        <v>0</v>
      </c>
      <c r="C1049">
        <v>695.50297599999999</v>
      </c>
      <c r="E1049">
        <f t="shared" si="55"/>
        <v>-516.35913945105301</v>
      </c>
      <c r="F1049">
        <f t="shared" si="56"/>
        <v>491.79487066502463</v>
      </c>
    </row>
    <row r="1050" spans="1:6" x14ac:dyDescent="0.25">
      <c r="A1050">
        <v>510.22403138632751</v>
      </c>
      <c r="B1050">
        <v>12.652278141894005</v>
      </c>
      <c r="C1050">
        <v>695.50297599999999</v>
      </c>
      <c r="E1050">
        <f t="shared" si="55"/>
        <v>-510.22403138632745</v>
      </c>
      <c r="F1050">
        <f t="shared" si="56"/>
        <v>500.7413823366162</v>
      </c>
    </row>
    <row r="1051" spans="1:6" x14ac:dyDescent="0.25">
      <c r="A1051">
        <v>501.88544970769783</v>
      </c>
      <c r="B1051">
        <v>27.019296859733792</v>
      </c>
      <c r="C1051">
        <v>695.50297599999999</v>
      </c>
      <c r="E1051">
        <f t="shared" si="55"/>
        <v>-501.88544970769777</v>
      </c>
      <c r="F1051">
        <f t="shared" si="56"/>
        <v>510.90039869743475</v>
      </c>
    </row>
    <row r="1052" spans="1:6" x14ac:dyDescent="0.25">
      <c r="A1052">
        <v>492.09487954223215</v>
      </c>
      <c r="B1052">
        <v>41.914521408369836</v>
      </c>
      <c r="C1052">
        <v>695.50297599999999</v>
      </c>
      <c r="E1052">
        <f t="shared" si="55"/>
        <v>-492.09487954223209</v>
      </c>
      <c r="F1052">
        <f t="shared" si="56"/>
        <v>521.43291298307167</v>
      </c>
    </row>
    <row r="1053" spans="1:6" x14ac:dyDescent="0.25">
      <c r="A1053">
        <v>480.84052917334935</v>
      </c>
      <c r="B1053">
        <v>57.091983729990623</v>
      </c>
      <c r="C1053">
        <v>695.50297599999999</v>
      </c>
      <c r="E1053">
        <f t="shared" si="55"/>
        <v>-480.8405291733493</v>
      </c>
      <c r="F1053">
        <f t="shared" si="56"/>
        <v>532.16499951189303</v>
      </c>
    </row>
    <row r="1054" spans="1:6" x14ac:dyDescent="0.25">
      <c r="A1054">
        <v>468.34185936576057</v>
      </c>
      <c r="B1054">
        <v>72.869837610358317</v>
      </c>
      <c r="C1054">
        <v>695.50297599999999</v>
      </c>
      <c r="E1054">
        <f t="shared" si="55"/>
        <v>-468.34185936576051</v>
      </c>
      <c r="F1054">
        <f t="shared" si="56"/>
        <v>543.32162698327147</v>
      </c>
    </row>
    <row r="1055" spans="1:6" x14ac:dyDescent="0.25">
      <c r="A1055">
        <v>454.1353186925308</v>
      </c>
      <c r="B1055">
        <v>89.604779276495307</v>
      </c>
      <c r="C1055">
        <v>695.50297599999999</v>
      </c>
      <c r="E1055">
        <f t="shared" si="55"/>
        <v>-454.13531869253075</v>
      </c>
      <c r="F1055">
        <f t="shared" si="56"/>
        <v>555.15501771815832</v>
      </c>
    </row>
    <row r="1056" spans="1:6" x14ac:dyDescent="0.25">
      <c r="A1056">
        <v>437.47313166076373</v>
      </c>
      <c r="B1056">
        <v>107.73378250535586</v>
      </c>
      <c r="C1056">
        <v>695.50297599999999</v>
      </c>
      <c r="E1056">
        <f t="shared" si="55"/>
        <v>-437.47313166076367</v>
      </c>
      <c r="F1056">
        <f t="shared" si="56"/>
        <v>567.97415883743838</v>
      </c>
    </row>
    <row r="1057" spans="1:6" x14ac:dyDescent="0.25">
      <c r="A1057">
        <v>417.26146698885987</v>
      </c>
      <c r="B1057">
        <v>127.82788516878657</v>
      </c>
      <c r="C1057">
        <v>695.50297599999999</v>
      </c>
      <c r="E1057">
        <f t="shared" si="55"/>
        <v>-417.26146698885981</v>
      </c>
      <c r="F1057">
        <f t="shared" si="56"/>
        <v>582.18283509260891</v>
      </c>
    </row>
    <row r="1058" spans="1:6" x14ac:dyDescent="0.25">
      <c r="A1058">
        <v>391.81088969262009</v>
      </c>
      <c r="B1058">
        <v>150.67543610308837</v>
      </c>
      <c r="C1058">
        <v>695.50297599999999</v>
      </c>
      <c r="E1058">
        <f t="shared" si="55"/>
        <v>-391.81088969262004</v>
      </c>
      <c r="F1058">
        <f t="shared" si="56"/>
        <v>598.33849329175871</v>
      </c>
    </row>
    <row r="1059" spans="1:6" x14ac:dyDescent="0.25">
      <c r="A1059">
        <v>361.79374889202381</v>
      </c>
      <c r="B1059">
        <v>175.00075710332578</v>
      </c>
      <c r="C1059">
        <v>695.50297599999999</v>
      </c>
      <c r="E1059">
        <f t="shared" si="55"/>
        <v>-361.79374889202376</v>
      </c>
      <c r="F1059">
        <f t="shared" si="56"/>
        <v>615.53909272556621</v>
      </c>
    </row>
    <row r="1060" spans="1:6" x14ac:dyDescent="0.25">
      <c r="A1060">
        <v>328.06259647800817</v>
      </c>
      <c r="B1060">
        <v>198.73192145666982</v>
      </c>
      <c r="C1060">
        <v>695.50297599999999</v>
      </c>
      <c r="E1060">
        <f t="shared" si="55"/>
        <v>-328.06259647800812</v>
      </c>
      <c r="F1060">
        <f t="shared" si="56"/>
        <v>632.31955996526813</v>
      </c>
    </row>
    <row r="1061" spans="1:6" x14ac:dyDescent="0.25">
      <c r="A1061">
        <v>288.61613805057925</v>
      </c>
      <c r="B1061">
        <v>223.81363965974506</v>
      </c>
      <c r="C1061">
        <v>695.50297599999999</v>
      </c>
      <c r="E1061">
        <f t="shared" si="55"/>
        <v>-288.6161380505792</v>
      </c>
      <c r="F1061">
        <f t="shared" si="56"/>
        <v>650.05501299047273</v>
      </c>
    </row>
    <row r="1062" spans="1:6" x14ac:dyDescent="0.25">
      <c r="A1062">
        <v>241.4924455571655</v>
      </c>
      <c r="B1062">
        <v>250.13310954874495</v>
      </c>
      <c r="C1062">
        <v>695.50297599999999</v>
      </c>
      <c r="E1062">
        <f t="shared" si="55"/>
        <v>-241.49244555716541</v>
      </c>
      <c r="F1062">
        <f t="shared" si="56"/>
        <v>668.66568862621978</v>
      </c>
    </row>
    <row r="1063" spans="1:6" x14ac:dyDescent="0.25">
      <c r="A1063">
        <v>191.90617206876848</v>
      </c>
      <c r="B1063">
        <v>273.93300603854766</v>
      </c>
      <c r="C1063">
        <v>695.50297599999999</v>
      </c>
      <c r="E1063">
        <f t="shared" si="55"/>
        <v>-191.9061720687684</v>
      </c>
      <c r="F1063">
        <f t="shared" si="56"/>
        <v>685.4947568256971</v>
      </c>
    </row>
    <row r="1064" spans="1:6" x14ac:dyDescent="0.25">
      <c r="A1064">
        <v>146.3414217821645</v>
      </c>
      <c r="B1064">
        <v>292.35120192359273</v>
      </c>
      <c r="C1064">
        <v>695.50297599999999</v>
      </c>
      <c r="E1064">
        <f t="shared" si="55"/>
        <v>-146.34142178216442</v>
      </c>
      <c r="F1064">
        <f t="shared" si="56"/>
        <v>698.5183880332346</v>
      </c>
    </row>
    <row r="1065" spans="1:6" x14ac:dyDescent="0.25">
      <c r="A1065">
        <v>101.31558768877017</v>
      </c>
      <c r="B1065">
        <v>308.56402693175016</v>
      </c>
      <c r="C1065">
        <v>695.50297599999999</v>
      </c>
      <c r="E1065">
        <f t="shared" si="55"/>
        <v>-101.31558768877008</v>
      </c>
      <c r="F1065">
        <f t="shared" si="56"/>
        <v>709.98258653869357</v>
      </c>
    </row>
    <row r="1066" spans="1:6" x14ac:dyDescent="0.25">
      <c r="A1066">
        <v>52.380183855877917</v>
      </c>
      <c r="B1066">
        <v>323.10979145569337</v>
      </c>
      <c r="C1066">
        <v>695.50297599999999</v>
      </c>
      <c r="E1066">
        <f t="shared" si="55"/>
        <v>-52.380183855877831</v>
      </c>
      <c r="F1066">
        <f t="shared" si="56"/>
        <v>720.26799527111655</v>
      </c>
    </row>
    <row r="1067" spans="1:6" x14ac:dyDescent="0.25">
      <c r="A1067">
        <v>9.6091925413628069E-14</v>
      </c>
      <c r="B1067">
        <v>336.57838523015698</v>
      </c>
      <c r="C1067">
        <v>695.50297599999999</v>
      </c>
      <c r="E1067">
        <f t="shared" si="55"/>
        <v>-1.0882485770553363E-14</v>
      </c>
      <c r="F1067">
        <f t="shared" si="56"/>
        <v>729.79172926208673</v>
      </c>
    </row>
    <row r="1068" spans="1:6" x14ac:dyDescent="0.25">
      <c r="A1068">
        <v>-52.380183855877895</v>
      </c>
      <c r="B1068">
        <v>323.10979145569337</v>
      </c>
      <c r="C1068">
        <v>695.50297599999999</v>
      </c>
      <c r="E1068">
        <f t="shared" si="55"/>
        <v>52.380183855877981</v>
      </c>
      <c r="F1068">
        <f t="shared" si="56"/>
        <v>720.26799527111655</v>
      </c>
    </row>
    <row r="1069" spans="1:6" x14ac:dyDescent="0.25">
      <c r="A1069">
        <v>-101.31558768877014</v>
      </c>
      <c r="B1069">
        <v>308.56402693175016</v>
      </c>
      <c r="C1069">
        <v>695.50297599999999</v>
      </c>
      <c r="E1069">
        <f t="shared" si="55"/>
        <v>101.31558768877022</v>
      </c>
      <c r="F1069">
        <f t="shared" si="56"/>
        <v>709.98258653869357</v>
      </c>
    </row>
    <row r="1070" spans="1:6" x14ac:dyDescent="0.25">
      <c r="A1070">
        <v>-146.34142178216445</v>
      </c>
      <c r="B1070">
        <v>292.35120192359284</v>
      </c>
      <c r="C1070">
        <v>695.50297599999999</v>
      </c>
      <c r="E1070">
        <f t="shared" si="55"/>
        <v>146.34142178216453</v>
      </c>
      <c r="F1070">
        <f t="shared" si="56"/>
        <v>698.51838803323471</v>
      </c>
    </row>
    <row r="1071" spans="1:6" x14ac:dyDescent="0.25">
      <c r="A1071">
        <v>-191.90617206876786</v>
      </c>
      <c r="B1071">
        <v>273.93300603854806</v>
      </c>
      <c r="C1071">
        <v>695.50297599999999</v>
      </c>
      <c r="E1071">
        <f t="shared" si="55"/>
        <v>191.90617206876794</v>
      </c>
      <c r="F1071">
        <f t="shared" si="56"/>
        <v>685.49475682569732</v>
      </c>
    </row>
    <row r="1072" spans="1:6" x14ac:dyDescent="0.25">
      <c r="A1072">
        <v>-241.49244555716493</v>
      </c>
      <c r="B1072">
        <v>250.13310954874513</v>
      </c>
      <c r="C1072">
        <v>695.50297599999999</v>
      </c>
      <c r="E1072">
        <f t="shared" si="55"/>
        <v>241.49244555716501</v>
      </c>
      <c r="F1072">
        <f t="shared" si="56"/>
        <v>668.66568862621978</v>
      </c>
    </row>
    <row r="1073" spans="1:6" x14ac:dyDescent="0.25">
      <c r="A1073">
        <v>-288.61613805057914</v>
      </c>
      <c r="B1073">
        <v>223.81363965974518</v>
      </c>
      <c r="C1073">
        <v>695.50297599999999</v>
      </c>
      <c r="E1073">
        <f t="shared" si="55"/>
        <v>288.6161380505792</v>
      </c>
      <c r="F1073">
        <f t="shared" si="56"/>
        <v>650.05501299047273</v>
      </c>
    </row>
    <row r="1074" spans="1:6" x14ac:dyDescent="0.25">
      <c r="A1074">
        <v>-328.062596478008</v>
      </c>
      <c r="B1074">
        <v>198.73192145666974</v>
      </c>
      <c r="C1074">
        <v>695.50297599999999</v>
      </c>
      <c r="E1074">
        <f t="shared" si="55"/>
        <v>328.06259647800806</v>
      </c>
      <c r="F1074">
        <f t="shared" si="56"/>
        <v>632.31955996526813</v>
      </c>
    </row>
    <row r="1075" spans="1:6" x14ac:dyDescent="0.25">
      <c r="A1075">
        <v>-361.79374889202359</v>
      </c>
      <c r="B1075">
        <v>175.00075710332587</v>
      </c>
      <c r="C1075">
        <v>695.50297599999999</v>
      </c>
      <c r="E1075">
        <f t="shared" si="55"/>
        <v>361.79374889202364</v>
      </c>
      <c r="F1075">
        <f t="shared" si="56"/>
        <v>615.53909272556621</v>
      </c>
    </row>
    <row r="1076" spans="1:6" x14ac:dyDescent="0.25">
      <c r="A1076">
        <v>-391.81088969261998</v>
      </c>
      <c r="B1076">
        <v>150.67543610308832</v>
      </c>
      <c r="C1076">
        <v>695.50297599999999</v>
      </c>
      <c r="E1076">
        <f t="shared" si="55"/>
        <v>391.81088969262004</v>
      </c>
      <c r="F1076">
        <f t="shared" si="56"/>
        <v>598.3384932917586</v>
      </c>
    </row>
    <row r="1077" spans="1:6" x14ac:dyDescent="0.25">
      <c r="A1077">
        <v>-417.26146698885969</v>
      </c>
      <c r="B1077">
        <v>127.82788516878669</v>
      </c>
      <c r="C1077">
        <v>695.50297599999999</v>
      </c>
      <c r="E1077">
        <f t="shared" si="55"/>
        <v>417.26146698885975</v>
      </c>
      <c r="F1077">
        <f t="shared" si="56"/>
        <v>582.18283509260891</v>
      </c>
    </row>
    <row r="1078" spans="1:6" x14ac:dyDescent="0.25">
      <c r="A1078">
        <v>-437.47313166076367</v>
      </c>
      <c r="B1078">
        <v>107.73378250535605</v>
      </c>
      <c r="C1078">
        <v>695.50297599999999</v>
      </c>
      <c r="E1078">
        <f t="shared" si="55"/>
        <v>437.47313166076373</v>
      </c>
      <c r="F1078">
        <f t="shared" si="56"/>
        <v>567.97415883743838</v>
      </c>
    </row>
    <row r="1079" spans="1:6" x14ac:dyDescent="0.25">
      <c r="A1079">
        <v>-454.1353186925308</v>
      </c>
      <c r="B1079">
        <v>89.604779276495407</v>
      </c>
      <c r="C1079">
        <v>695.50297599999999</v>
      </c>
      <c r="E1079">
        <f t="shared" si="55"/>
        <v>454.13531869253086</v>
      </c>
      <c r="F1079">
        <f t="shared" si="56"/>
        <v>555.15501771815821</v>
      </c>
    </row>
    <row r="1080" spans="1:6" x14ac:dyDescent="0.25">
      <c r="A1080">
        <v>-468.34185936576057</v>
      </c>
      <c r="B1080">
        <v>72.869837610358459</v>
      </c>
      <c r="C1080">
        <v>695.50297599999999</v>
      </c>
      <c r="E1080">
        <f t="shared" si="55"/>
        <v>468.34185936576063</v>
      </c>
      <c r="F1080">
        <f t="shared" si="56"/>
        <v>543.32162698327147</v>
      </c>
    </row>
    <row r="1081" spans="1:6" x14ac:dyDescent="0.25">
      <c r="A1081">
        <v>-480.84052917334952</v>
      </c>
      <c r="B1081">
        <v>57.091983729990723</v>
      </c>
      <c r="C1081">
        <v>695.50297599999999</v>
      </c>
      <c r="E1081">
        <f t="shared" si="55"/>
        <v>480.84052917334958</v>
      </c>
      <c r="F1081">
        <f t="shared" si="56"/>
        <v>532.16499951189303</v>
      </c>
    </row>
    <row r="1082" spans="1:6" x14ac:dyDescent="0.25">
      <c r="A1082">
        <v>-492.09487954223215</v>
      </c>
      <c r="B1082">
        <v>41.914521408369772</v>
      </c>
      <c r="C1082">
        <v>695.50297599999999</v>
      </c>
      <c r="E1082">
        <f t="shared" si="55"/>
        <v>492.09487954223221</v>
      </c>
      <c r="F1082">
        <f t="shared" si="56"/>
        <v>521.43291298307156</v>
      </c>
    </row>
    <row r="1083" spans="1:6" x14ac:dyDescent="0.25">
      <c r="A1083">
        <v>-501.88544970769772</v>
      </c>
      <c r="B1083">
        <v>27.019296859733828</v>
      </c>
      <c r="C1083">
        <v>695.50297599999999</v>
      </c>
      <c r="E1083">
        <f t="shared" si="55"/>
        <v>501.88544970769777</v>
      </c>
      <c r="F1083">
        <f t="shared" si="56"/>
        <v>510.9003986974347</v>
      </c>
    </row>
    <row r="1084" spans="1:6" x14ac:dyDescent="0.25">
      <c r="A1084">
        <v>-515.22157328331571</v>
      </c>
      <c r="B1084">
        <v>-5.157597198826262E-14</v>
      </c>
      <c r="C1084">
        <v>775.58175999999992</v>
      </c>
      <c r="E1084">
        <f t="shared" si="55"/>
        <v>515.22157328331582</v>
      </c>
      <c r="F1084">
        <f t="shared" si="56"/>
        <v>548.41912186059722</v>
      </c>
    </row>
    <row r="1085" spans="1:6" x14ac:dyDescent="0.25">
      <c r="A1085">
        <v>-509.70810194950394</v>
      </c>
      <c r="B1085">
        <v>-13.836181284649911</v>
      </c>
      <c r="C1085">
        <v>775.58175999999992</v>
      </c>
      <c r="E1085">
        <f t="shared" si="55"/>
        <v>509.70810194950406</v>
      </c>
      <c r="F1085">
        <f t="shared" si="56"/>
        <v>538.63546424849494</v>
      </c>
    </row>
    <row r="1086" spans="1:6" x14ac:dyDescent="0.25">
      <c r="A1086">
        <v>-504.34850162487851</v>
      </c>
      <c r="B1086">
        <v>-26.186815987713011</v>
      </c>
      <c r="C1086">
        <v>775.58175999999992</v>
      </c>
      <c r="E1086">
        <f t="shared" si="55"/>
        <v>504.34850162487862</v>
      </c>
      <c r="F1086">
        <f t="shared" si="56"/>
        <v>529.90224669800114</v>
      </c>
    </row>
    <row r="1087" spans="1:6" x14ac:dyDescent="0.25">
      <c r="A1087">
        <v>-495.83779365568302</v>
      </c>
      <c r="B1087">
        <v>-40.885419798784078</v>
      </c>
      <c r="C1087">
        <v>775.58175999999992</v>
      </c>
      <c r="E1087">
        <f t="shared" si="55"/>
        <v>495.83779365568313</v>
      </c>
      <c r="F1087">
        <f t="shared" si="56"/>
        <v>519.50876426921832</v>
      </c>
    </row>
    <row r="1088" spans="1:6" x14ac:dyDescent="0.25">
      <c r="A1088">
        <v>-486.41102752537512</v>
      </c>
      <c r="B1088">
        <v>-55.914231947270856</v>
      </c>
      <c r="C1088">
        <v>775.58175999999992</v>
      </c>
      <c r="E1088">
        <f t="shared" si="55"/>
        <v>486.41102752537523</v>
      </c>
      <c r="F1088">
        <f t="shared" si="56"/>
        <v>508.88178928584455</v>
      </c>
    </row>
    <row r="1089" spans="1:6" x14ac:dyDescent="0.25">
      <c r="A1089">
        <v>-475.04430072691275</v>
      </c>
      <c r="B1089">
        <v>-71.560191066230814</v>
      </c>
      <c r="C1089">
        <v>775.58175999999992</v>
      </c>
      <c r="E1089">
        <f t="shared" si="55"/>
        <v>475.04430072691287</v>
      </c>
      <c r="F1089">
        <f t="shared" si="56"/>
        <v>497.81842549466046</v>
      </c>
    </row>
    <row r="1090" spans="1:6" x14ac:dyDescent="0.25">
      <c r="A1090">
        <v>-461.91979616963437</v>
      </c>
      <c r="B1090">
        <v>-88.186536098102806</v>
      </c>
      <c r="C1090">
        <v>775.58175999999992</v>
      </c>
      <c r="E1090">
        <f t="shared" si="55"/>
        <v>461.91979616963448</v>
      </c>
      <c r="F1090">
        <f t="shared" si="56"/>
        <v>486.0618241762765</v>
      </c>
    </row>
    <row r="1091" spans="1:6" x14ac:dyDescent="0.25">
      <c r="A1091">
        <v>-446.31532457268872</v>
      </c>
      <c r="B1091">
        <v>-106.227917220446</v>
      </c>
      <c r="C1091">
        <v>775.58175999999992</v>
      </c>
      <c r="E1091">
        <f t="shared" si="55"/>
        <v>446.31532457268884</v>
      </c>
      <c r="F1091">
        <f t="shared" si="56"/>
        <v>473.30464124269668</v>
      </c>
    </row>
    <row r="1092" spans="1:6" x14ac:dyDescent="0.25">
      <c r="A1092">
        <v>-427.15239770315088</v>
      </c>
      <c r="B1092">
        <v>-126.25411718979664</v>
      </c>
      <c r="C1092">
        <v>775.58175999999992</v>
      </c>
      <c r="E1092">
        <f t="shared" si="55"/>
        <v>427.152397703151</v>
      </c>
      <c r="F1092">
        <f t="shared" si="56"/>
        <v>459.14397944297104</v>
      </c>
    </row>
    <row r="1093" spans="1:6" x14ac:dyDescent="0.25">
      <c r="A1093">
        <v>-402.75630495457568</v>
      </c>
      <c r="B1093">
        <v>-149.0534020414182</v>
      </c>
      <c r="C1093">
        <v>775.58175999999992</v>
      </c>
      <c r="E1093">
        <f t="shared" si="55"/>
        <v>402.7563049545758</v>
      </c>
      <c r="F1093">
        <f t="shared" si="56"/>
        <v>443.02245051818568</v>
      </c>
    </row>
    <row r="1094" spans="1:6" x14ac:dyDescent="0.25">
      <c r="A1094">
        <v>-371.66736989536071</v>
      </c>
      <c r="B1094">
        <v>-174.28764632115266</v>
      </c>
      <c r="C1094">
        <v>775.58175999999992</v>
      </c>
      <c r="E1094">
        <f t="shared" si="55"/>
        <v>371.66736989536082</v>
      </c>
      <c r="F1094">
        <f t="shared" si="56"/>
        <v>425.1791452698676</v>
      </c>
    </row>
    <row r="1095" spans="1:6" x14ac:dyDescent="0.25">
      <c r="A1095">
        <v>-334.38634160862625</v>
      </c>
      <c r="B1095">
        <v>-201.57532923321756</v>
      </c>
      <c r="C1095">
        <v>775.58175999999992</v>
      </c>
      <c r="E1095">
        <f t="shared" si="55"/>
        <v>334.38634160862637</v>
      </c>
      <c r="F1095">
        <f t="shared" si="56"/>
        <v>405.88383963987826</v>
      </c>
    </row>
    <row r="1096" spans="1:6" x14ac:dyDescent="0.25">
      <c r="A1096">
        <v>-289.70618177631496</v>
      </c>
      <c r="B1096">
        <v>-229.96661131510479</v>
      </c>
      <c r="C1096">
        <v>775.58175999999992</v>
      </c>
      <c r="E1096">
        <f t="shared" si="55"/>
        <v>289.70618177631508</v>
      </c>
      <c r="F1096">
        <f t="shared" si="56"/>
        <v>385.80817155319568</v>
      </c>
    </row>
    <row r="1097" spans="1:6" x14ac:dyDescent="0.25">
      <c r="A1097">
        <v>-238.54589330790063</v>
      </c>
      <c r="B1097">
        <v>-258.06344641000862</v>
      </c>
      <c r="C1097">
        <v>775.58175999999992</v>
      </c>
      <c r="E1097">
        <f t="shared" si="55"/>
        <v>238.54589330790071</v>
      </c>
      <c r="F1097">
        <f t="shared" si="56"/>
        <v>365.94070892770901</v>
      </c>
    </row>
    <row r="1098" spans="1:6" x14ac:dyDescent="0.25">
      <c r="A1098">
        <v>-191.51299672076397</v>
      </c>
      <c r="B1098">
        <v>-279.78326036278958</v>
      </c>
      <c r="C1098">
        <v>775.58175999999992</v>
      </c>
      <c r="E1098">
        <f t="shared" si="55"/>
        <v>191.51299672076405</v>
      </c>
      <c r="F1098">
        <f t="shared" si="56"/>
        <v>350.58248119558738</v>
      </c>
    </row>
    <row r="1099" spans="1:6" x14ac:dyDescent="0.25">
      <c r="A1099">
        <v>-143.68491225222726</v>
      </c>
      <c r="B1099">
        <v>-298.21715376248727</v>
      </c>
      <c r="C1099">
        <v>775.58175999999992</v>
      </c>
      <c r="E1099">
        <f t="shared" si="55"/>
        <v>143.68491225222735</v>
      </c>
      <c r="F1099">
        <f t="shared" si="56"/>
        <v>337.54775016899123</v>
      </c>
    </row>
    <row r="1100" spans="1:6" x14ac:dyDescent="0.25">
      <c r="A1100">
        <v>-96.305992856783107</v>
      </c>
      <c r="B1100">
        <v>-313.42726406115577</v>
      </c>
      <c r="C1100">
        <v>775.58175999999992</v>
      </c>
      <c r="E1100">
        <f t="shared" si="55"/>
        <v>96.305992856783206</v>
      </c>
      <c r="F1100">
        <f t="shared" si="56"/>
        <v>326.79257803420739</v>
      </c>
    </row>
    <row r="1101" spans="1:6" x14ac:dyDescent="0.25">
      <c r="A1101">
        <v>-50.725034363157206</v>
      </c>
      <c r="B1101">
        <v>-326.31666576018682</v>
      </c>
      <c r="C1101">
        <v>775.58175999999992</v>
      </c>
      <c r="E1101">
        <f t="shared" si="55"/>
        <v>50.725034363157299</v>
      </c>
      <c r="F1101">
        <f t="shared" si="56"/>
        <v>317.67839468738509</v>
      </c>
    </row>
    <row r="1102" spans="1:6" x14ac:dyDescent="0.25">
      <c r="A1102">
        <v>6.9090710821004094E-14</v>
      </c>
      <c r="B1102">
        <v>-338.11237730743551</v>
      </c>
      <c r="C1102">
        <v>775.58175999999992</v>
      </c>
      <c r="E1102">
        <f t="shared" si="55"/>
        <v>2.5929568670926716E-14</v>
      </c>
      <c r="F1102">
        <f t="shared" si="56"/>
        <v>309.33756706340512</v>
      </c>
    </row>
    <row r="1103" spans="1:6" x14ac:dyDescent="0.25">
      <c r="A1103">
        <v>50.725034363157029</v>
      </c>
      <c r="B1103">
        <v>-326.31666576018682</v>
      </c>
      <c r="C1103">
        <v>775.58175999999992</v>
      </c>
      <c r="E1103">
        <f t="shared" si="55"/>
        <v>-50.725034363156936</v>
      </c>
      <c r="F1103">
        <f t="shared" si="56"/>
        <v>317.67839468738509</v>
      </c>
    </row>
    <row r="1104" spans="1:6" x14ac:dyDescent="0.25">
      <c r="A1104">
        <v>96.305992856783107</v>
      </c>
      <c r="B1104">
        <v>-313.42726406115571</v>
      </c>
      <c r="C1104">
        <v>775.58175999999992</v>
      </c>
      <c r="E1104">
        <f t="shared" si="55"/>
        <v>-96.305992856783007</v>
      </c>
      <c r="F1104">
        <f t="shared" si="56"/>
        <v>326.79257803420739</v>
      </c>
    </row>
    <row r="1105" spans="1:6" x14ac:dyDescent="0.25">
      <c r="A1105">
        <v>143.68491225222721</v>
      </c>
      <c r="B1105">
        <v>-298.21715376248721</v>
      </c>
      <c r="C1105">
        <v>775.58175999999992</v>
      </c>
      <c r="E1105">
        <f t="shared" si="55"/>
        <v>-143.68491225222712</v>
      </c>
      <c r="F1105">
        <f t="shared" si="56"/>
        <v>337.54775016899123</v>
      </c>
    </row>
    <row r="1106" spans="1:6" x14ac:dyDescent="0.25">
      <c r="A1106">
        <v>191.51299672076388</v>
      </c>
      <c r="B1106">
        <v>-279.78326036278941</v>
      </c>
      <c r="C1106">
        <v>775.58175999999992</v>
      </c>
      <c r="E1106">
        <f t="shared" si="55"/>
        <v>-191.51299672076379</v>
      </c>
      <c r="F1106">
        <f t="shared" si="56"/>
        <v>350.58248119558755</v>
      </c>
    </row>
    <row r="1107" spans="1:6" x14ac:dyDescent="0.25">
      <c r="A1107">
        <v>238.54589330790063</v>
      </c>
      <c r="B1107">
        <v>-258.06344641000862</v>
      </c>
      <c r="C1107">
        <v>775.58175999999992</v>
      </c>
      <c r="E1107">
        <f t="shared" si="55"/>
        <v>-238.54589330790054</v>
      </c>
      <c r="F1107">
        <f t="shared" si="56"/>
        <v>365.94070892770901</v>
      </c>
    </row>
    <row r="1108" spans="1:6" x14ac:dyDescent="0.25">
      <c r="A1108">
        <v>289.70618177631462</v>
      </c>
      <c r="B1108">
        <v>-229.96661131510493</v>
      </c>
      <c r="C1108">
        <v>775.58175999999992</v>
      </c>
      <c r="E1108">
        <f t="shared" ref="E1108:E1171" si="57">($I$2*A1108)+($K$2*B1108)+($M$2*C1108)</f>
        <v>-289.70618177631451</v>
      </c>
      <c r="F1108">
        <f t="shared" ref="F1108:F1171" si="58">($J$2*A1108)+($L$2*B1108)+($N$2*C1108)</f>
        <v>385.80817155319562</v>
      </c>
    </row>
    <row r="1109" spans="1:6" x14ac:dyDescent="0.25">
      <c r="A1109">
        <v>334.38634160862631</v>
      </c>
      <c r="B1109">
        <v>-201.57532923321784</v>
      </c>
      <c r="C1109">
        <v>775.58175999999992</v>
      </c>
      <c r="E1109">
        <f t="shared" si="57"/>
        <v>-334.3863416086262</v>
      </c>
      <c r="F1109">
        <f t="shared" si="58"/>
        <v>405.88383963987809</v>
      </c>
    </row>
    <row r="1110" spans="1:6" x14ac:dyDescent="0.25">
      <c r="A1110">
        <v>371.66736989536076</v>
      </c>
      <c r="B1110">
        <v>-174.28764632115252</v>
      </c>
      <c r="C1110">
        <v>775.58175999999992</v>
      </c>
      <c r="E1110">
        <f t="shared" si="57"/>
        <v>-371.66736989536065</v>
      </c>
      <c r="F1110">
        <f t="shared" si="58"/>
        <v>425.17914526986777</v>
      </c>
    </row>
    <row r="1111" spans="1:6" x14ac:dyDescent="0.25">
      <c r="A1111">
        <v>402.75630495457585</v>
      </c>
      <c r="B1111">
        <v>-149.05340204141825</v>
      </c>
      <c r="C1111">
        <v>775.58175999999992</v>
      </c>
      <c r="E1111">
        <f t="shared" si="57"/>
        <v>-402.75630495457574</v>
      </c>
      <c r="F1111">
        <f t="shared" si="58"/>
        <v>443.02245051818574</v>
      </c>
    </row>
    <row r="1112" spans="1:6" x14ac:dyDescent="0.25">
      <c r="A1112">
        <v>427.15239770315105</v>
      </c>
      <c r="B1112">
        <v>-126.25411718979664</v>
      </c>
      <c r="C1112">
        <v>775.58175999999992</v>
      </c>
      <c r="E1112">
        <f t="shared" si="57"/>
        <v>-427.15239770315094</v>
      </c>
      <c r="F1112">
        <f t="shared" si="58"/>
        <v>459.1439794429711</v>
      </c>
    </row>
    <row r="1113" spans="1:6" x14ac:dyDescent="0.25">
      <c r="A1113">
        <v>446.31532457268884</v>
      </c>
      <c r="B1113">
        <v>-106.22791722044593</v>
      </c>
      <c r="C1113">
        <v>775.58175999999992</v>
      </c>
      <c r="E1113">
        <f t="shared" si="57"/>
        <v>-446.31532457268872</v>
      </c>
      <c r="F1113">
        <f t="shared" si="58"/>
        <v>473.30464124269679</v>
      </c>
    </row>
    <row r="1114" spans="1:6" x14ac:dyDescent="0.25">
      <c r="A1114">
        <v>461.91979616963437</v>
      </c>
      <c r="B1114">
        <v>-88.18653609810265</v>
      </c>
      <c r="C1114">
        <v>775.58175999999992</v>
      </c>
      <c r="E1114">
        <f t="shared" si="57"/>
        <v>-461.91979616963425</v>
      </c>
      <c r="F1114">
        <f t="shared" si="58"/>
        <v>486.06182417627673</v>
      </c>
    </row>
    <row r="1115" spans="1:6" x14ac:dyDescent="0.25">
      <c r="A1115">
        <v>475.04430072691275</v>
      </c>
      <c r="B1115">
        <v>-71.560191066230786</v>
      </c>
      <c r="C1115">
        <v>775.58175999999992</v>
      </c>
      <c r="E1115">
        <f t="shared" si="57"/>
        <v>-475.04430072691264</v>
      </c>
      <c r="F1115">
        <f t="shared" si="58"/>
        <v>497.81842549466057</v>
      </c>
    </row>
    <row r="1116" spans="1:6" x14ac:dyDescent="0.25">
      <c r="A1116">
        <v>486.411027525375</v>
      </c>
      <c r="B1116">
        <v>-55.914231947270828</v>
      </c>
      <c r="C1116">
        <v>775.58175999999992</v>
      </c>
      <c r="E1116">
        <f t="shared" si="57"/>
        <v>-486.41102752537489</v>
      </c>
      <c r="F1116">
        <f t="shared" si="58"/>
        <v>508.88178928584466</v>
      </c>
    </row>
    <row r="1117" spans="1:6" x14ac:dyDescent="0.25">
      <c r="A1117">
        <v>495.83779365568302</v>
      </c>
      <c r="B1117">
        <v>-40.885419798784021</v>
      </c>
      <c r="C1117">
        <v>775.58175999999992</v>
      </c>
      <c r="E1117">
        <f t="shared" si="57"/>
        <v>-495.8377936556829</v>
      </c>
      <c r="F1117">
        <f t="shared" si="58"/>
        <v>519.50876426921843</v>
      </c>
    </row>
    <row r="1118" spans="1:6" x14ac:dyDescent="0.25">
      <c r="A1118">
        <v>504.34850162487862</v>
      </c>
      <c r="B1118">
        <v>-26.186815987713114</v>
      </c>
      <c r="C1118">
        <v>775.58175999999992</v>
      </c>
      <c r="E1118">
        <f t="shared" si="57"/>
        <v>-504.34850162487851</v>
      </c>
      <c r="F1118">
        <f t="shared" si="58"/>
        <v>529.90224669800114</v>
      </c>
    </row>
    <row r="1119" spans="1:6" x14ac:dyDescent="0.25">
      <c r="A1119">
        <v>509.70810194950388</v>
      </c>
      <c r="B1119">
        <v>-13.836181284649863</v>
      </c>
      <c r="C1119">
        <v>775.58175999999992</v>
      </c>
      <c r="E1119">
        <f t="shared" si="57"/>
        <v>-509.70810194950377</v>
      </c>
      <c r="F1119">
        <f t="shared" si="58"/>
        <v>538.63546424849505</v>
      </c>
    </row>
    <row r="1120" spans="1:6" x14ac:dyDescent="0.25">
      <c r="A1120">
        <v>515.22157328331582</v>
      </c>
      <c r="B1120">
        <v>0</v>
      </c>
      <c r="C1120">
        <v>775.58175999999992</v>
      </c>
      <c r="E1120">
        <f t="shared" si="57"/>
        <v>-515.22157328331571</v>
      </c>
      <c r="F1120">
        <f t="shared" si="58"/>
        <v>548.41912186059733</v>
      </c>
    </row>
    <row r="1121" spans="1:6" x14ac:dyDescent="0.25">
      <c r="A1121">
        <v>509.70810194950377</v>
      </c>
      <c r="B1121">
        <v>13.836181284649863</v>
      </c>
      <c r="C1121">
        <v>775.58175999999992</v>
      </c>
      <c r="E1121">
        <f t="shared" si="57"/>
        <v>-509.70810194950366</v>
      </c>
      <c r="F1121">
        <f t="shared" si="58"/>
        <v>558.20277947269972</v>
      </c>
    </row>
    <row r="1122" spans="1:6" x14ac:dyDescent="0.25">
      <c r="A1122">
        <v>504.34850162487862</v>
      </c>
      <c r="B1122">
        <v>26.186815987713011</v>
      </c>
      <c r="C1122">
        <v>775.58175999999992</v>
      </c>
      <c r="E1122">
        <f t="shared" si="57"/>
        <v>-504.34850162487851</v>
      </c>
      <c r="F1122">
        <f t="shared" si="58"/>
        <v>566.93599702319352</v>
      </c>
    </row>
    <row r="1123" spans="1:6" x14ac:dyDescent="0.25">
      <c r="A1123">
        <v>495.83779365568302</v>
      </c>
      <c r="B1123">
        <v>40.885419798784049</v>
      </c>
      <c r="C1123">
        <v>775.58175999999992</v>
      </c>
      <c r="E1123">
        <f t="shared" si="57"/>
        <v>-495.8377936556829</v>
      </c>
      <c r="F1123">
        <f t="shared" si="58"/>
        <v>577.32947945197634</v>
      </c>
    </row>
    <row r="1124" spans="1:6" x14ac:dyDescent="0.25">
      <c r="A1124">
        <v>486.411027525375</v>
      </c>
      <c r="B1124">
        <v>55.914231947270856</v>
      </c>
      <c r="C1124">
        <v>775.58175999999992</v>
      </c>
      <c r="E1124">
        <f t="shared" si="57"/>
        <v>-486.41102752537489</v>
      </c>
      <c r="F1124">
        <f t="shared" si="58"/>
        <v>587.95645443535011</v>
      </c>
    </row>
    <row r="1125" spans="1:6" x14ac:dyDescent="0.25">
      <c r="A1125">
        <v>475.04430072691275</v>
      </c>
      <c r="B1125">
        <v>71.560191066230786</v>
      </c>
      <c r="C1125">
        <v>775.58175999999992</v>
      </c>
      <c r="E1125">
        <f t="shared" si="57"/>
        <v>-475.04430072691264</v>
      </c>
      <c r="F1125">
        <f t="shared" si="58"/>
        <v>599.0198182265342</v>
      </c>
    </row>
    <row r="1126" spans="1:6" x14ac:dyDescent="0.25">
      <c r="A1126">
        <v>461.91979616963437</v>
      </c>
      <c r="B1126">
        <v>88.18653609810265</v>
      </c>
      <c r="C1126">
        <v>775.58175999999992</v>
      </c>
      <c r="E1126">
        <f t="shared" si="57"/>
        <v>-461.91979616963425</v>
      </c>
      <c r="F1126">
        <f t="shared" si="58"/>
        <v>610.77641954491799</v>
      </c>
    </row>
    <row r="1127" spans="1:6" x14ac:dyDescent="0.25">
      <c r="A1127">
        <v>446.31532457268884</v>
      </c>
      <c r="B1127">
        <v>106.22791722044583</v>
      </c>
      <c r="C1127">
        <v>775.58175999999992</v>
      </c>
      <c r="E1127">
        <f t="shared" si="57"/>
        <v>-446.31532457268872</v>
      </c>
      <c r="F1127">
        <f t="shared" si="58"/>
        <v>623.53360247849787</v>
      </c>
    </row>
    <row r="1128" spans="1:6" x14ac:dyDescent="0.25">
      <c r="A1128">
        <v>427.15239770315105</v>
      </c>
      <c r="B1128">
        <v>126.25411718979672</v>
      </c>
      <c r="C1128">
        <v>775.58175999999992</v>
      </c>
      <c r="E1128">
        <f t="shared" si="57"/>
        <v>-427.15239770315094</v>
      </c>
      <c r="F1128">
        <f t="shared" si="58"/>
        <v>637.69426427822373</v>
      </c>
    </row>
    <row r="1129" spans="1:6" x14ac:dyDescent="0.25">
      <c r="A1129">
        <v>402.75630495457591</v>
      </c>
      <c r="B1129">
        <v>149.05340204141825</v>
      </c>
      <c r="C1129">
        <v>775.58175999999992</v>
      </c>
      <c r="E1129">
        <f t="shared" si="57"/>
        <v>-402.7563049545758</v>
      </c>
      <c r="F1129">
        <f t="shared" si="58"/>
        <v>653.81579320300898</v>
      </c>
    </row>
    <row r="1130" spans="1:6" x14ac:dyDescent="0.25">
      <c r="A1130">
        <v>371.66736989536076</v>
      </c>
      <c r="B1130">
        <v>174.28764632115252</v>
      </c>
      <c r="C1130">
        <v>775.58175999999992</v>
      </c>
      <c r="E1130">
        <f t="shared" si="57"/>
        <v>-371.66736989536065</v>
      </c>
      <c r="F1130">
        <f t="shared" si="58"/>
        <v>671.65909845132694</v>
      </c>
    </row>
    <row r="1131" spans="1:6" x14ac:dyDescent="0.25">
      <c r="A1131">
        <v>334.38634160862654</v>
      </c>
      <c r="B1131">
        <v>201.57532923321759</v>
      </c>
      <c r="C1131">
        <v>775.58175999999992</v>
      </c>
      <c r="E1131">
        <f t="shared" si="57"/>
        <v>-334.38634160862642</v>
      </c>
      <c r="F1131">
        <f t="shared" si="58"/>
        <v>690.9544040813164</v>
      </c>
    </row>
    <row r="1132" spans="1:6" x14ac:dyDescent="0.25">
      <c r="A1132">
        <v>289.70618177631508</v>
      </c>
      <c r="B1132">
        <v>229.9666113151047</v>
      </c>
      <c r="C1132">
        <v>775.58175999999992</v>
      </c>
      <c r="E1132">
        <f t="shared" si="57"/>
        <v>-289.70618177631496</v>
      </c>
      <c r="F1132">
        <f t="shared" si="58"/>
        <v>711.03007216799892</v>
      </c>
    </row>
    <row r="1133" spans="1:6" x14ac:dyDescent="0.25">
      <c r="A1133">
        <v>238.54589330790094</v>
      </c>
      <c r="B1133">
        <v>258.06344641000851</v>
      </c>
      <c r="C1133">
        <v>775.58175999999992</v>
      </c>
      <c r="E1133">
        <f t="shared" si="57"/>
        <v>-238.54589330790085</v>
      </c>
      <c r="F1133">
        <f t="shared" si="58"/>
        <v>730.89753479348565</v>
      </c>
    </row>
    <row r="1134" spans="1:6" x14ac:dyDescent="0.25">
      <c r="A1134">
        <v>191.51299672076419</v>
      </c>
      <c r="B1134">
        <v>279.78326036278941</v>
      </c>
      <c r="C1134">
        <v>775.58175999999992</v>
      </c>
      <c r="E1134">
        <f t="shared" si="57"/>
        <v>-191.51299672076411</v>
      </c>
      <c r="F1134">
        <f t="shared" si="58"/>
        <v>746.25576252560722</v>
      </c>
    </row>
    <row r="1135" spans="1:6" x14ac:dyDescent="0.25">
      <c r="A1135">
        <v>143.68491225222709</v>
      </c>
      <c r="B1135">
        <v>298.21715376248721</v>
      </c>
      <c r="C1135">
        <v>775.58175999999992</v>
      </c>
      <c r="E1135">
        <f t="shared" si="57"/>
        <v>-143.68491225222701</v>
      </c>
      <c r="F1135">
        <f t="shared" si="58"/>
        <v>759.29049355220343</v>
      </c>
    </row>
    <row r="1136" spans="1:6" x14ac:dyDescent="0.25">
      <c r="A1136">
        <v>96.305992856783064</v>
      </c>
      <c r="B1136">
        <v>313.42726406115571</v>
      </c>
      <c r="C1136">
        <v>775.58175999999992</v>
      </c>
      <c r="E1136">
        <f t="shared" si="57"/>
        <v>-96.305992856782964</v>
      </c>
      <c r="F1136">
        <f t="shared" si="58"/>
        <v>770.04566568698726</v>
      </c>
    </row>
    <row r="1137" spans="1:6" x14ac:dyDescent="0.25">
      <c r="A1137">
        <v>50.725034363157071</v>
      </c>
      <c r="B1137">
        <v>326.31666576018694</v>
      </c>
      <c r="C1137">
        <v>775.58175999999992</v>
      </c>
      <c r="E1137">
        <f t="shared" si="57"/>
        <v>-50.725034363156979</v>
      </c>
      <c r="F1137">
        <f t="shared" si="58"/>
        <v>779.15984903380968</v>
      </c>
    </row>
    <row r="1138" spans="1:6" x14ac:dyDescent="0.25">
      <c r="A1138">
        <v>6.1239213590854984E-14</v>
      </c>
      <c r="B1138">
        <v>338.11237730743551</v>
      </c>
      <c r="C1138">
        <v>775.58175999999992</v>
      </c>
      <c r="E1138">
        <f t="shared" si="57"/>
        <v>3.3781065901075826E-14</v>
      </c>
      <c r="F1138">
        <f t="shared" si="58"/>
        <v>787.50067665778954</v>
      </c>
    </row>
    <row r="1139" spans="1:6" x14ac:dyDescent="0.25">
      <c r="A1139">
        <v>-50.725034363157029</v>
      </c>
      <c r="B1139">
        <v>326.31666576018682</v>
      </c>
      <c r="C1139">
        <v>775.58175999999992</v>
      </c>
      <c r="E1139">
        <f t="shared" si="57"/>
        <v>50.725034363157121</v>
      </c>
      <c r="F1139">
        <f t="shared" si="58"/>
        <v>779.15984903380956</v>
      </c>
    </row>
    <row r="1140" spans="1:6" x14ac:dyDescent="0.25">
      <c r="A1140">
        <v>-96.305992856782993</v>
      </c>
      <c r="B1140">
        <v>313.42726406115588</v>
      </c>
      <c r="C1140">
        <v>775.58175999999992</v>
      </c>
      <c r="E1140">
        <f t="shared" si="57"/>
        <v>96.305992856783092</v>
      </c>
      <c r="F1140">
        <f t="shared" si="58"/>
        <v>770.04566568698738</v>
      </c>
    </row>
    <row r="1141" spans="1:6" x14ac:dyDescent="0.25">
      <c r="A1141">
        <v>-143.68491225222709</v>
      </c>
      <c r="B1141">
        <v>298.21715376248721</v>
      </c>
      <c r="C1141">
        <v>775.58175999999992</v>
      </c>
      <c r="E1141">
        <f t="shared" si="57"/>
        <v>143.68491225222718</v>
      </c>
      <c r="F1141">
        <f t="shared" si="58"/>
        <v>759.29049355220343</v>
      </c>
    </row>
    <row r="1142" spans="1:6" x14ac:dyDescent="0.25">
      <c r="A1142">
        <v>-191.51299672076362</v>
      </c>
      <c r="B1142">
        <v>279.78326036278969</v>
      </c>
      <c r="C1142">
        <v>775.58175999999992</v>
      </c>
      <c r="E1142">
        <f t="shared" si="57"/>
        <v>191.51299672076371</v>
      </c>
      <c r="F1142">
        <f t="shared" si="58"/>
        <v>746.25576252560734</v>
      </c>
    </row>
    <row r="1143" spans="1:6" x14ac:dyDescent="0.25">
      <c r="A1143">
        <v>-238.54589330790029</v>
      </c>
      <c r="B1143">
        <v>258.06344641000874</v>
      </c>
      <c r="C1143">
        <v>775.58175999999992</v>
      </c>
      <c r="E1143">
        <f t="shared" si="57"/>
        <v>238.54589330790037</v>
      </c>
      <c r="F1143">
        <f t="shared" si="58"/>
        <v>730.89753479348565</v>
      </c>
    </row>
    <row r="1144" spans="1:6" x14ac:dyDescent="0.25">
      <c r="A1144">
        <v>-289.70618177631485</v>
      </c>
      <c r="B1144">
        <v>229.96661131510479</v>
      </c>
      <c r="C1144">
        <v>775.58175999999992</v>
      </c>
      <c r="E1144">
        <f t="shared" si="57"/>
        <v>289.70618177631496</v>
      </c>
      <c r="F1144">
        <f t="shared" si="58"/>
        <v>711.03007216799892</v>
      </c>
    </row>
    <row r="1145" spans="1:6" x14ac:dyDescent="0.25">
      <c r="A1145">
        <v>-334.38634160862625</v>
      </c>
      <c r="B1145">
        <v>201.57532923321759</v>
      </c>
      <c r="C1145">
        <v>775.58175999999992</v>
      </c>
      <c r="E1145">
        <f t="shared" si="57"/>
        <v>334.38634160862637</v>
      </c>
      <c r="F1145">
        <f t="shared" si="58"/>
        <v>690.9544040813164</v>
      </c>
    </row>
    <row r="1146" spans="1:6" x14ac:dyDescent="0.25">
      <c r="A1146">
        <v>-371.66736989536071</v>
      </c>
      <c r="B1146">
        <v>174.28764632115258</v>
      </c>
      <c r="C1146">
        <v>775.58175999999992</v>
      </c>
      <c r="E1146">
        <f t="shared" si="57"/>
        <v>371.66736989536082</v>
      </c>
      <c r="F1146">
        <f t="shared" si="58"/>
        <v>671.65909845132694</v>
      </c>
    </row>
    <row r="1147" spans="1:6" x14ac:dyDescent="0.25">
      <c r="A1147">
        <v>-402.7563049545758</v>
      </c>
      <c r="B1147">
        <v>149.05340204141825</v>
      </c>
      <c r="C1147">
        <v>775.58175999999992</v>
      </c>
      <c r="E1147">
        <f t="shared" si="57"/>
        <v>402.75630495457591</v>
      </c>
      <c r="F1147">
        <f t="shared" si="58"/>
        <v>653.81579320300898</v>
      </c>
    </row>
    <row r="1148" spans="1:6" x14ac:dyDescent="0.25">
      <c r="A1148">
        <v>-427.15239770315083</v>
      </c>
      <c r="B1148">
        <v>126.25411718979666</v>
      </c>
      <c r="C1148">
        <v>775.58175999999992</v>
      </c>
      <c r="E1148">
        <f t="shared" si="57"/>
        <v>427.15239770315094</v>
      </c>
      <c r="F1148">
        <f t="shared" si="58"/>
        <v>637.69426427822361</v>
      </c>
    </row>
    <row r="1149" spans="1:6" x14ac:dyDescent="0.25">
      <c r="A1149">
        <v>-446.31532457268884</v>
      </c>
      <c r="B1149">
        <v>106.22791722044596</v>
      </c>
      <c r="C1149">
        <v>775.58175999999992</v>
      </c>
      <c r="E1149">
        <f t="shared" si="57"/>
        <v>446.31532457268895</v>
      </c>
      <c r="F1149">
        <f t="shared" si="58"/>
        <v>623.53360247849787</v>
      </c>
    </row>
    <row r="1150" spans="1:6" x14ac:dyDescent="0.25">
      <c r="A1150">
        <v>-461.91979616963437</v>
      </c>
      <c r="B1150">
        <v>88.186536098102891</v>
      </c>
      <c r="C1150">
        <v>775.58175999999992</v>
      </c>
      <c r="E1150">
        <f t="shared" si="57"/>
        <v>461.91979616963448</v>
      </c>
      <c r="F1150">
        <f t="shared" si="58"/>
        <v>610.7764195449181</v>
      </c>
    </row>
    <row r="1151" spans="1:6" x14ac:dyDescent="0.25">
      <c r="A1151">
        <v>-475.04430072691275</v>
      </c>
      <c r="B1151">
        <v>71.560191066230928</v>
      </c>
      <c r="C1151">
        <v>775.58175999999992</v>
      </c>
      <c r="E1151">
        <f t="shared" si="57"/>
        <v>475.04430072691287</v>
      </c>
      <c r="F1151">
        <f t="shared" si="58"/>
        <v>599.0198182265342</v>
      </c>
    </row>
    <row r="1152" spans="1:6" x14ac:dyDescent="0.25">
      <c r="A1152">
        <v>-486.41102752537512</v>
      </c>
      <c r="B1152">
        <v>55.914231947271013</v>
      </c>
      <c r="C1152">
        <v>775.58175999999992</v>
      </c>
      <c r="E1152">
        <f t="shared" si="57"/>
        <v>486.41102752537523</v>
      </c>
      <c r="F1152">
        <f t="shared" si="58"/>
        <v>587.95645443535011</v>
      </c>
    </row>
    <row r="1153" spans="1:6" x14ac:dyDescent="0.25">
      <c r="A1153">
        <v>-495.83779365568302</v>
      </c>
      <c r="B1153">
        <v>40.885419798784021</v>
      </c>
      <c r="C1153">
        <v>775.58175999999992</v>
      </c>
      <c r="E1153">
        <f t="shared" si="57"/>
        <v>495.83779365568313</v>
      </c>
      <c r="F1153">
        <f t="shared" si="58"/>
        <v>577.32947945197623</v>
      </c>
    </row>
    <row r="1154" spans="1:6" x14ac:dyDescent="0.25">
      <c r="A1154">
        <v>-504.34850162487851</v>
      </c>
      <c r="B1154">
        <v>26.186815987713</v>
      </c>
      <c r="C1154">
        <v>775.58175999999992</v>
      </c>
      <c r="E1154">
        <f t="shared" si="57"/>
        <v>504.34850162487862</v>
      </c>
      <c r="F1154">
        <f t="shared" si="58"/>
        <v>566.93599702319341</v>
      </c>
    </row>
    <row r="1155" spans="1:6" x14ac:dyDescent="0.25">
      <c r="A1155">
        <v>-512.13572075671152</v>
      </c>
      <c r="B1155">
        <v>-5.2737418503571664E-14</v>
      </c>
      <c r="C1155">
        <v>855.66054399999996</v>
      </c>
      <c r="E1155">
        <f t="shared" si="57"/>
        <v>512.13572075671163</v>
      </c>
      <c r="F1155">
        <f t="shared" si="58"/>
        <v>605.04337305617003</v>
      </c>
    </row>
    <row r="1156" spans="1:6" x14ac:dyDescent="0.25">
      <c r="A1156">
        <v>-507.77610025326578</v>
      </c>
      <c r="B1156">
        <v>-13.6343473971374</v>
      </c>
      <c r="C1156">
        <v>855.66054399999996</v>
      </c>
      <c r="E1156">
        <f t="shared" si="57"/>
        <v>507.77610025326589</v>
      </c>
      <c r="F1156">
        <f t="shared" si="58"/>
        <v>595.40243355460109</v>
      </c>
    </row>
    <row r="1157" spans="1:6" x14ac:dyDescent="0.25">
      <c r="A1157">
        <v>-502.70451423653378</v>
      </c>
      <c r="B1157">
        <v>-27.191708940868608</v>
      </c>
      <c r="C1157">
        <v>855.66054399999996</v>
      </c>
      <c r="E1157">
        <f t="shared" si="57"/>
        <v>502.7045142365339</v>
      </c>
      <c r="F1157">
        <f t="shared" si="58"/>
        <v>585.81593127203098</v>
      </c>
    </row>
    <row r="1158" spans="1:6" x14ac:dyDescent="0.25">
      <c r="A1158">
        <v>-495.95787948462271</v>
      </c>
      <c r="B1158">
        <v>-41.33369189110153</v>
      </c>
      <c r="C1158">
        <v>855.66054399999996</v>
      </c>
      <c r="E1158">
        <f t="shared" si="57"/>
        <v>495.95787948462282</v>
      </c>
      <c r="F1158">
        <f t="shared" si="58"/>
        <v>575.81603922849683</v>
      </c>
    </row>
    <row r="1159" spans="1:6" x14ac:dyDescent="0.25">
      <c r="A1159">
        <v>-488.37637399984993</v>
      </c>
      <c r="B1159">
        <v>-54.832400771746585</v>
      </c>
      <c r="C1159">
        <v>855.66054399999996</v>
      </c>
      <c r="E1159">
        <f t="shared" si="57"/>
        <v>488.37637399985005</v>
      </c>
      <c r="F1159">
        <f t="shared" si="58"/>
        <v>566.27101064172962</v>
      </c>
    </row>
    <row r="1160" spans="1:6" x14ac:dyDescent="0.25">
      <c r="A1160">
        <v>-478.52528973533481</v>
      </c>
      <c r="B1160">
        <v>-70.366608758889484</v>
      </c>
      <c r="C1160">
        <v>855.66054399999996</v>
      </c>
      <c r="E1160">
        <f t="shared" si="57"/>
        <v>478.52528973533492</v>
      </c>
      <c r="F1160">
        <f t="shared" si="58"/>
        <v>555.28666683365861</v>
      </c>
    </row>
    <row r="1161" spans="1:6" x14ac:dyDescent="0.25">
      <c r="A1161">
        <v>-466.24493657778595</v>
      </c>
      <c r="B1161">
        <v>-86.890789051472083</v>
      </c>
      <c r="C1161">
        <v>855.66054399999996</v>
      </c>
      <c r="E1161">
        <f t="shared" si="57"/>
        <v>466.24493657778606</v>
      </c>
      <c r="F1161">
        <f t="shared" si="58"/>
        <v>543.60230689522439</v>
      </c>
    </row>
    <row r="1162" spans="1:6" x14ac:dyDescent="0.25">
      <c r="A1162">
        <v>-451.46130396241438</v>
      </c>
      <c r="B1162">
        <v>-104.84843051869875</v>
      </c>
      <c r="C1162">
        <v>855.66054399999996</v>
      </c>
      <c r="E1162">
        <f t="shared" si="57"/>
        <v>451.46130396241449</v>
      </c>
      <c r="F1162">
        <f t="shared" si="58"/>
        <v>530.9043368396317</v>
      </c>
    </row>
    <row r="1163" spans="1:6" x14ac:dyDescent="0.25">
      <c r="A1163">
        <v>-433.10800071683002</v>
      </c>
      <c r="B1163">
        <v>-124.80819179955711</v>
      </c>
      <c r="C1163">
        <v>855.66054399999996</v>
      </c>
      <c r="E1163">
        <f t="shared" si="57"/>
        <v>433.10800071683013</v>
      </c>
      <c r="F1163">
        <f t="shared" si="58"/>
        <v>516.79065428707202</v>
      </c>
    </row>
    <row r="1164" spans="1:6" x14ac:dyDescent="0.25">
      <c r="A1164">
        <v>-410.57704301352555</v>
      </c>
      <c r="B1164">
        <v>-146.0772457285214</v>
      </c>
      <c r="C1164">
        <v>855.66054399999996</v>
      </c>
      <c r="E1164">
        <f t="shared" si="57"/>
        <v>410.57704301352567</v>
      </c>
      <c r="F1164">
        <f t="shared" si="58"/>
        <v>501.75116202447896</v>
      </c>
    </row>
    <row r="1165" spans="1:6" x14ac:dyDescent="0.25">
      <c r="A1165">
        <v>-379.0534948940001</v>
      </c>
      <c r="B1165">
        <v>-172.76675231602761</v>
      </c>
      <c r="C1165">
        <v>855.66054399999996</v>
      </c>
      <c r="E1165">
        <f t="shared" si="57"/>
        <v>379.05349489400021</v>
      </c>
      <c r="F1165">
        <f t="shared" si="58"/>
        <v>482.8788309299303</v>
      </c>
    </row>
    <row r="1166" spans="1:6" x14ac:dyDescent="0.25">
      <c r="A1166">
        <v>-336.16156607456503</v>
      </c>
      <c r="B1166">
        <v>-204.26195848540056</v>
      </c>
      <c r="C1166">
        <v>855.66054399999996</v>
      </c>
      <c r="E1166">
        <f t="shared" si="57"/>
        <v>336.16156607456514</v>
      </c>
      <c r="F1166">
        <f t="shared" si="58"/>
        <v>460.60835707269831</v>
      </c>
    </row>
    <row r="1167" spans="1:6" x14ac:dyDescent="0.25">
      <c r="A1167">
        <v>-288.23951016102762</v>
      </c>
      <c r="B1167">
        <v>-234.81830297729209</v>
      </c>
      <c r="C1167">
        <v>855.66054399999996</v>
      </c>
      <c r="E1167">
        <f t="shared" si="57"/>
        <v>288.23951016102774</v>
      </c>
      <c r="F1167">
        <f t="shared" si="58"/>
        <v>439.00175867420961</v>
      </c>
    </row>
    <row r="1168" spans="1:6" x14ac:dyDescent="0.25">
      <c r="A1168">
        <v>-235.82748562450874</v>
      </c>
      <c r="B1168">
        <v>-263.12891678195359</v>
      </c>
      <c r="C1168">
        <v>855.66054399999996</v>
      </c>
      <c r="E1168">
        <f t="shared" si="57"/>
        <v>235.82748562450885</v>
      </c>
      <c r="F1168">
        <f t="shared" si="58"/>
        <v>418.98313167337994</v>
      </c>
    </row>
    <row r="1169" spans="1:6" x14ac:dyDescent="0.25">
      <c r="A1169">
        <v>-188.89969608182184</v>
      </c>
      <c r="B1169">
        <v>-284.04192506824631</v>
      </c>
      <c r="C1169">
        <v>855.66054399999996</v>
      </c>
      <c r="E1169">
        <f t="shared" si="57"/>
        <v>188.89969608182196</v>
      </c>
      <c r="F1169">
        <f t="shared" si="58"/>
        <v>404.19540169913193</v>
      </c>
    </row>
    <row r="1170" spans="1:6" x14ac:dyDescent="0.25">
      <c r="A1170">
        <v>-141.25708346269079</v>
      </c>
      <c r="B1170">
        <v>-301.68157701970091</v>
      </c>
      <c r="C1170">
        <v>855.66054399999996</v>
      </c>
      <c r="E1170">
        <f t="shared" si="57"/>
        <v>141.2570834626909</v>
      </c>
      <c r="F1170">
        <f t="shared" si="58"/>
        <v>391.72228418648785</v>
      </c>
    </row>
    <row r="1171" spans="1:6" x14ac:dyDescent="0.25">
      <c r="A1171">
        <v>-94.194960025844566</v>
      </c>
      <c r="B1171">
        <v>-315.93407471120639</v>
      </c>
      <c r="C1171">
        <v>855.66054399999996</v>
      </c>
      <c r="E1171">
        <f t="shared" si="57"/>
        <v>94.194960025844665</v>
      </c>
      <c r="F1171">
        <f t="shared" si="58"/>
        <v>381.64424641997874</v>
      </c>
    </row>
    <row r="1172" spans="1:6" x14ac:dyDescent="0.25">
      <c r="A1172">
        <v>-49.125675568921714</v>
      </c>
      <c r="B1172">
        <v>-327.71646738192942</v>
      </c>
      <c r="C1172">
        <v>855.66054399999996</v>
      </c>
      <c r="E1172">
        <f t="shared" ref="E1172:E1235" si="59">($I$2*A1172)+($K$2*B1172)+($M$2*C1172)</f>
        <v>49.125675568921821</v>
      </c>
      <c r="F1172">
        <f t="shared" ref="F1172:F1235" si="60">($J$2*A1172)+($L$2*B1172)+($N$2*C1172)</f>
        <v>373.31283666390783</v>
      </c>
    </row>
    <row r="1173" spans="1:6" x14ac:dyDescent="0.25">
      <c r="A1173">
        <v>9.1015022209155337E-14</v>
      </c>
      <c r="B1173">
        <v>-336.62927466530584</v>
      </c>
      <c r="C1173">
        <v>855.66054399999996</v>
      </c>
      <c r="E1173">
        <f t="shared" si="59"/>
        <v>1.381609713163159E-14</v>
      </c>
      <c r="F1173">
        <f t="shared" si="60"/>
        <v>367.0105301944235</v>
      </c>
    </row>
    <row r="1174" spans="1:6" x14ac:dyDescent="0.25">
      <c r="A1174">
        <v>49.125675568921544</v>
      </c>
      <c r="B1174">
        <v>-327.71646738192953</v>
      </c>
      <c r="C1174">
        <v>855.66054399999996</v>
      </c>
      <c r="E1174">
        <f t="shared" si="59"/>
        <v>-49.125675568921437</v>
      </c>
      <c r="F1174">
        <f t="shared" si="60"/>
        <v>373.31283666390777</v>
      </c>
    </row>
    <row r="1175" spans="1:6" x14ac:dyDescent="0.25">
      <c r="A1175">
        <v>94.194960025844622</v>
      </c>
      <c r="B1175">
        <v>-315.93407471120639</v>
      </c>
      <c r="C1175">
        <v>855.66054399999996</v>
      </c>
      <c r="E1175">
        <f t="shared" si="59"/>
        <v>-94.194960025844523</v>
      </c>
      <c r="F1175">
        <f t="shared" si="60"/>
        <v>381.64424641997874</v>
      </c>
    </row>
    <row r="1176" spans="1:6" x14ac:dyDescent="0.25">
      <c r="A1176">
        <v>141.25708346269084</v>
      </c>
      <c r="B1176">
        <v>-301.68157701970091</v>
      </c>
      <c r="C1176">
        <v>855.66054399999996</v>
      </c>
      <c r="E1176">
        <f t="shared" si="59"/>
        <v>-141.25708346269073</v>
      </c>
      <c r="F1176">
        <f t="shared" si="60"/>
        <v>391.72228418648785</v>
      </c>
    </row>
    <row r="1177" spans="1:6" x14ac:dyDescent="0.25">
      <c r="A1177">
        <v>188.89969608182193</v>
      </c>
      <c r="B1177">
        <v>-284.04192506824614</v>
      </c>
      <c r="C1177">
        <v>855.66054399999996</v>
      </c>
      <c r="E1177">
        <f t="shared" si="59"/>
        <v>-188.89969608182182</v>
      </c>
      <c r="F1177">
        <f t="shared" si="60"/>
        <v>404.19540169913211</v>
      </c>
    </row>
    <row r="1178" spans="1:6" x14ac:dyDescent="0.25">
      <c r="A1178">
        <v>235.82748562450863</v>
      </c>
      <c r="B1178">
        <v>-263.12891678195348</v>
      </c>
      <c r="C1178">
        <v>855.66054399999996</v>
      </c>
      <c r="E1178">
        <f t="shared" si="59"/>
        <v>-235.82748562450851</v>
      </c>
      <c r="F1178">
        <f t="shared" si="60"/>
        <v>418.98313167338011</v>
      </c>
    </row>
    <row r="1179" spans="1:6" x14ac:dyDescent="0.25">
      <c r="A1179">
        <v>288.23951016102734</v>
      </c>
      <c r="B1179">
        <v>-234.81830297729218</v>
      </c>
      <c r="C1179">
        <v>855.66054399999996</v>
      </c>
      <c r="E1179">
        <f t="shared" si="59"/>
        <v>-288.23951016102723</v>
      </c>
      <c r="F1179">
        <f t="shared" si="60"/>
        <v>439.00175867420955</v>
      </c>
    </row>
    <row r="1180" spans="1:6" x14ac:dyDescent="0.25">
      <c r="A1180">
        <v>336.16156607456492</v>
      </c>
      <c r="B1180">
        <v>-204.26195848540061</v>
      </c>
      <c r="C1180">
        <v>855.66054399999996</v>
      </c>
      <c r="E1180">
        <f t="shared" si="59"/>
        <v>-336.1615660745648</v>
      </c>
      <c r="F1180">
        <f t="shared" si="60"/>
        <v>460.60835707269837</v>
      </c>
    </row>
    <row r="1181" spans="1:6" x14ac:dyDescent="0.25">
      <c r="A1181">
        <v>379.05349489400027</v>
      </c>
      <c r="B1181">
        <v>-172.76675231602744</v>
      </c>
      <c r="C1181">
        <v>855.66054399999996</v>
      </c>
      <c r="E1181">
        <f t="shared" si="59"/>
        <v>-379.05349489400015</v>
      </c>
      <c r="F1181">
        <f t="shared" si="60"/>
        <v>482.87883092993047</v>
      </c>
    </row>
    <row r="1182" spans="1:6" x14ac:dyDescent="0.25">
      <c r="A1182">
        <v>410.57704301352572</v>
      </c>
      <c r="B1182">
        <v>-146.07724572852146</v>
      </c>
      <c r="C1182">
        <v>855.66054399999996</v>
      </c>
      <c r="E1182">
        <f t="shared" si="59"/>
        <v>-410.57704301352561</v>
      </c>
      <c r="F1182">
        <f t="shared" si="60"/>
        <v>501.75116202447902</v>
      </c>
    </row>
    <row r="1183" spans="1:6" x14ac:dyDescent="0.25">
      <c r="A1183">
        <v>433.10800071683013</v>
      </c>
      <c r="B1183">
        <v>-124.80819179955706</v>
      </c>
      <c r="C1183">
        <v>855.66054399999996</v>
      </c>
      <c r="E1183">
        <f t="shared" si="59"/>
        <v>-433.10800071683002</v>
      </c>
      <c r="F1183">
        <f t="shared" si="60"/>
        <v>516.79065428707213</v>
      </c>
    </row>
    <row r="1184" spans="1:6" x14ac:dyDescent="0.25">
      <c r="A1184">
        <v>451.4613039624146</v>
      </c>
      <c r="B1184">
        <v>-104.84843051869872</v>
      </c>
      <c r="C1184">
        <v>855.66054399999996</v>
      </c>
      <c r="E1184">
        <f t="shared" si="59"/>
        <v>-451.46130396241449</v>
      </c>
      <c r="F1184">
        <f t="shared" si="60"/>
        <v>530.9043368396317</v>
      </c>
    </row>
    <row r="1185" spans="1:6" x14ac:dyDescent="0.25">
      <c r="A1185">
        <v>466.24493657778606</v>
      </c>
      <c r="B1185">
        <v>-86.890789051471941</v>
      </c>
      <c r="C1185">
        <v>855.66054399999996</v>
      </c>
      <c r="E1185">
        <f t="shared" si="59"/>
        <v>-466.24493657778595</v>
      </c>
      <c r="F1185">
        <f t="shared" si="60"/>
        <v>543.6023068952245</v>
      </c>
    </row>
    <row r="1186" spans="1:6" x14ac:dyDescent="0.25">
      <c r="A1186">
        <v>478.52528973533481</v>
      </c>
      <c r="B1186">
        <v>-70.366608758889456</v>
      </c>
      <c r="C1186">
        <v>855.66054399999996</v>
      </c>
      <c r="E1186">
        <f t="shared" si="59"/>
        <v>-478.5252897353347</v>
      </c>
      <c r="F1186">
        <f t="shared" si="60"/>
        <v>555.28666683365873</v>
      </c>
    </row>
    <row r="1187" spans="1:6" x14ac:dyDescent="0.25">
      <c r="A1187">
        <v>488.37637399985005</v>
      </c>
      <c r="B1187">
        <v>-54.832400771746514</v>
      </c>
      <c r="C1187">
        <v>855.66054399999996</v>
      </c>
      <c r="E1187">
        <f t="shared" si="59"/>
        <v>-488.37637399984993</v>
      </c>
      <c r="F1187">
        <f t="shared" si="60"/>
        <v>566.27101064172973</v>
      </c>
    </row>
    <row r="1188" spans="1:6" x14ac:dyDescent="0.25">
      <c r="A1188">
        <v>495.95787948462271</v>
      </c>
      <c r="B1188">
        <v>-41.333691891101495</v>
      </c>
      <c r="C1188">
        <v>855.66054399999996</v>
      </c>
      <c r="E1188">
        <f t="shared" si="59"/>
        <v>-495.95787948462259</v>
      </c>
      <c r="F1188">
        <f t="shared" si="60"/>
        <v>575.81603922849695</v>
      </c>
    </row>
    <row r="1189" spans="1:6" x14ac:dyDescent="0.25">
      <c r="A1189">
        <v>502.70451423653401</v>
      </c>
      <c r="B1189">
        <v>-27.191708940868654</v>
      </c>
      <c r="C1189">
        <v>855.66054399999996</v>
      </c>
      <c r="E1189">
        <f t="shared" si="59"/>
        <v>-502.7045142365339</v>
      </c>
      <c r="F1189">
        <f t="shared" si="60"/>
        <v>585.81593127203109</v>
      </c>
    </row>
    <row r="1190" spans="1:6" x14ac:dyDescent="0.25">
      <c r="A1190">
        <v>507.77610025326578</v>
      </c>
      <c r="B1190">
        <v>-13.634347397137315</v>
      </c>
      <c r="C1190">
        <v>855.66054399999996</v>
      </c>
      <c r="E1190">
        <f t="shared" si="59"/>
        <v>-507.77610025326567</v>
      </c>
      <c r="F1190">
        <f t="shared" si="60"/>
        <v>595.4024335546012</v>
      </c>
    </row>
    <row r="1191" spans="1:6" x14ac:dyDescent="0.25">
      <c r="A1191">
        <v>512.13572075671163</v>
      </c>
      <c r="B1191">
        <v>0</v>
      </c>
      <c r="C1191">
        <v>855.66054399999996</v>
      </c>
      <c r="E1191">
        <f t="shared" si="59"/>
        <v>-512.13572075671152</v>
      </c>
      <c r="F1191">
        <f t="shared" si="60"/>
        <v>605.04337305617014</v>
      </c>
    </row>
    <row r="1192" spans="1:6" x14ac:dyDescent="0.25">
      <c r="A1192">
        <v>507.77610025326567</v>
      </c>
      <c r="B1192">
        <v>13.634347397137338</v>
      </c>
      <c r="C1192">
        <v>855.66054399999996</v>
      </c>
      <c r="E1192">
        <f t="shared" si="59"/>
        <v>-507.77610025326555</v>
      </c>
      <c r="F1192">
        <f t="shared" si="60"/>
        <v>614.68431255773919</v>
      </c>
    </row>
    <row r="1193" spans="1:6" x14ac:dyDescent="0.25">
      <c r="A1193">
        <v>502.70451423653401</v>
      </c>
      <c r="B1193">
        <v>27.191708940868619</v>
      </c>
      <c r="C1193">
        <v>855.66054399999996</v>
      </c>
      <c r="E1193">
        <f t="shared" si="59"/>
        <v>-502.7045142365339</v>
      </c>
      <c r="F1193">
        <f t="shared" si="60"/>
        <v>624.2708148403093</v>
      </c>
    </row>
    <row r="1194" spans="1:6" x14ac:dyDescent="0.25">
      <c r="A1194">
        <v>495.95787948462265</v>
      </c>
      <c r="B1194">
        <v>41.333691891101523</v>
      </c>
      <c r="C1194">
        <v>855.66054399999996</v>
      </c>
      <c r="E1194">
        <f t="shared" si="59"/>
        <v>-495.95787948462254</v>
      </c>
      <c r="F1194">
        <f t="shared" si="60"/>
        <v>634.27070688384345</v>
      </c>
    </row>
    <row r="1195" spans="1:6" x14ac:dyDescent="0.25">
      <c r="A1195">
        <v>488.37637399985005</v>
      </c>
      <c r="B1195">
        <v>54.832400771746514</v>
      </c>
      <c r="C1195">
        <v>855.66054399999996</v>
      </c>
      <c r="E1195">
        <f t="shared" si="59"/>
        <v>-488.37637399984993</v>
      </c>
      <c r="F1195">
        <f t="shared" si="60"/>
        <v>643.81573547061066</v>
      </c>
    </row>
    <row r="1196" spans="1:6" x14ac:dyDescent="0.25">
      <c r="A1196">
        <v>478.52528973533475</v>
      </c>
      <c r="B1196">
        <v>70.366608758889413</v>
      </c>
      <c r="C1196">
        <v>855.66054399999996</v>
      </c>
      <c r="E1196">
        <f t="shared" si="59"/>
        <v>-478.52528973533464</v>
      </c>
      <c r="F1196">
        <f t="shared" si="60"/>
        <v>654.80007927868155</v>
      </c>
    </row>
    <row r="1197" spans="1:6" x14ac:dyDescent="0.25">
      <c r="A1197">
        <v>466.24493657778606</v>
      </c>
      <c r="B1197">
        <v>86.890789051471955</v>
      </c>
      <c r="C1197">
        <v>855.66054399999996</v>
      </c>
      <c r="E1197">
        <f t="shared" si="59"/>
        <v>-466.24493657778595</v>
      </c>
      <c r="F1197">
        <f t="shared" si="60"/>
        <v>666.48443921711578</v>
      </c>
    </row>
    <row r="1198" spans="1:6" x14ac:dyDescent="0.25">
      <c r="A1198">
        <v>451.4613039624146</v>
      </c>
      <c r="B1198">
        <v>104.84843051869865</v>
      </c>
      <c r="C1198">
        <v>855.66054399999996</v>
      </c>
      <c r="E1198">
        <f t="shared" si="59"/>
        <v>-451.46130396241449</v>
      </c>
      <c r="F1198">
        <f t="shared" si="60"/>
        <v>679.18240927270858</v>
      </c>
    </row>
    <row r="1199" spans="1:6" x14ac:dyDescent="0.25">
      <c r="A1199">
        <v>433.10800071683013</v>
      </c>
      <c r="B1199">
        <v>124.80819179955714</v>
      </c>
      <c r="C1199">
        <v>855.66054399999996</v>
      </c>
      <c r="E1199">
        <f t="shared" si="59"/>
        <v>-433.10800071683002</v>
      </c>
      <c r="F1199">
        <f t="shared" si="60"/>
        <v>693.29609182526826</v>
      </c>
    </row>
    <row r="1200" spans="1:6" x14ac:dyDescent="0.25">
      <c r="A1200">
        <v>410.57704301352572</v>
      </c>
      <c r="B1200">
        <v>146.07724572852146</v>
      </c>
      <c r="C1200">
        <v>855.66054399999996</v>
      </c>
      <c r="E1200">
        <f t="shared" si="59"/>
        <v>-410.57704301352561</v>
      </c>
      <c r="F1200">
        <f t="shared" si="60"/>
        <v>708.33558408786132</v>
      </c>
    </row>
    <row r="1201" spans="1:6" x14ac:dyDescent="0.25">
      <c r="A1201">
        <v>379.05349489400027</v>
      </c>
      <c r="B1201">
        <v>172.76675231602746</v>
      </c>
      <c r="C1201">
        <v>855.66054399999996</v>
      </c>
      <c r="E1201">
        <f t="shared" si="59"/>
        <v>-379.05349489400015</v>
      </c>
      <c r="F1201">
        <f t="shared" si="60"/>
        <v>727.20791518240981</v>
      </c>
    </row>
    <row r="1202" spans="1:6" x14ac:dyDescent="0.25">
      <c r="A1202">
        <v>336.16156607456503</v>
      </c>
      <c r="B1202">
        <v>204.26195848540047</v>
      </c>
      <c r="C1202">
        <v>855.66054399999996</v>
      </c>
      <c r="E1202">
        <f t="shared" si="59"/>
        <v>-336.16156607456492</v>
      </c>
      <c r="F1202">
        <f t="shared" si="60"/>
        <v>749.47838903964191</v>
      </c>
    </row>
    <row r="1203" spans="1:6" x14ac:dyDescent="0.25">
      <c r="A1203">
        <v>288.23951016102774</v>
      </c>
      <c r="B1203">
        <v>234.81830297729206</v>
      </c>
      <c r="C1203">
        <v>855.66054399999996</v>
      </c>
      <c r="E1203">
        <f t="shared" si="59"/>
        <v>-288.23951016102762</v>
      </c>
      <c r="F1203">
        <f t="shared" si="60"/>
        <v>771.08498743813061</v>
      </c>
    </row>
    <row r="1204" spans="1:6" x14ac:dyDescent="0.25">
      <c r="A1204">
        <v>235.82748562450891</v>
      </c>
      <c r="B1204">
        <v>263.12891678195342</v>
      </c>
      <c r="C1204">
        <v>855.66054399999996</v>
      </c>
      <c r="E1204">
        <f t="shared" si="59"/>
        <v>-235.8274856245088</v>
      </c>
      <c r="F1204">
        <f t="shared" si="60"/>
        <v>791.10361443896022</v>
      </c>
    </row>
    <row r="1205" spans="1:6" x14ac:dyDescent="0.25">
      <c r="A1205">
        <v>188.89969608182213</v>
      </c>
      <c r="B1205">
        <v>284.04192506824614</v>
      </c>
      <c r="C1205">
        <v>855.66054399999996</v>
      </c>
      <c r="E1205">
        <f t="shared" si="59"/>
        <v>-188.89969608182201</v>
      </c>
      <c r="F1205">
        <f t="shared" si="60"/>
        <v>805.89134441320823</v>
      </c>
    </row>
    <row r="1206" spans="1:6" x14ac:dyDescent="0.25">
      <c r="A1206">
        <v>141.2570834626907</v>
      </c>
      <c r="B1206">
        <v>301.68157701970091</v>
      </c>
      <c r="C1206">
        <v>855.66054399999996</v>
      </c>
      <c r="E1206">
        <f t="shared" si="59"/>
        <v>-141.25708346269059</v>
      </c>
      <c r="F1206">
        <f t="shared" si="60"/>
        <v>818.36446192585242</v>
      </c>
    </row>
    <row r="1207" spans="1:6" x14ac:dyDescent="0.25">
      <c r="A1207">
        <v>94.194960025844622</v>
      </c>
      <c r="B1207">
        <v>315.93407471120651</v>
      </c>
      <c r="C1207">
        <v>855.66054399999996</v>
      </c>
      <c r="E1207">
        <f t="shared" si="59"/>
        <v>-94.194960025844523</v>
      </c>
      <c r="F1207">
        <f t="shared" si="60"/>
        <v>828.44249969236159</v>
      </c>
    </row>
    <row r="1208" spans="1:6" x14ac:dyDescent="0.25">
      <c r="A1208">
        <v>49.125675568921523</v>
      </c>
      <c r="B1208">
        <v>327.71646738192953</v>
      </c>
      <c r="C1208">
        <v>855.66054399999996</v>
      </c>
      <c r="E1208">
        <f t="shared" si="59"/>
        <v>-49.125675568921416</v>
      </c>
      <c r="F1208">
        <f t="shared" si="60"/>
        <v>836.77390944843251</v>
      </c>
    </row>
    <row r="1209" spans="1:6" x14ac:dyDescent="0.25">
      <c r="A1209">
        <v>7.9314751826972367E-14</v>
      </c>
      <c r="B1209">
        <v>336.62927466530584</v>
      </c>
      <c r="C1209">
        <v>855.66054399999996</v>
      </c>
      <c r="E1209">
        <f t="shared" si="59"/>
        <v>2.551636751381456E-14</v>
      </c>
      <c r="F1209">
        <f t="shared" si="60"/>
        <v>843.07621591791678</v>
      </c>
    </row>
    <row r="1210" spans="1:6" x14ac:dyDescent="0.25">
      <c r="A1210">
        <v>-49.125675568921608</v>
      </c>
      <c r="B1210">
        <v>327.71646738192953</v>
      </c>
      <c r="C1210">
        <v>855.66054399999996</v>
      </c>
      <c r="E1210">
        <f t="shared" si="59"/>
        <v>49.125675568921714</v>
      </c>
      <c r="F1210">
        <f t="shared" si="60"/>
        <v>836.77390944843251</v>
      </c>
    </row>
    <row r="1211" spans="1:6" x14ac:dyDescent="0.25">
      <c r="A1211">
        <v>-94.194960025844495</v>
      </c>
      <c r="B1211">
        <v>315.93407471120656</v>
      </c>
      <c r="C1211">
        <v>855.66054399999996</v>
      </c>
      <c r="E1211">
        <f t="shared" si="59"/>
        <v>94.194960025844594</v>
      </c>
      <c r="F1211">
        <f t="shared" si="60"/>
        <v>828.44249969236171</v>
      </c>
    </row>
    <row r="1212" spans="1:6" x14ac:dyDescent="0.25">
      <c r="A1212">
        <v>-141.25708346269062</v>
      </c>
      <c r="B1212">
        <v>301.68157701970091</v>
      </c>
      <c r="C1212">
        <v>855.66054399999996</v>
      </c>
      <c r="E1212">
        <f t="shared" si="59"/>
        <v>141.25708346269073</v>
      </c>
      <c r="F1212">
        <f t="shared" si="60"/>
        <v>818.36446192585242</v>
      </c>
    </row>
    <row r="1213" spans="1:6" x14ac:dyDescent="0.25">
      <c r="A1213">
        <v>-188.89969608182156</v>
      </c>
      <c r="B1213">
        <v>284.04192506824631</v>
      </c>
      <c r="C1213">
        <v>855.66054399999996</v>
      </c>
      <c r="E1213">
        <f t="shared" si="59"/>
        <v>188.89969608182167</v>
      </c>
      <c r="F1213">
        <f t="shared" si="60"/>
        <v>805.89134441320834</v>
      </c>
    </row>
    <row r="1214" spans="1:6" x14ac:dyDescent="0.25">
      <c r="A1214">
        <v>-235.82748562450845</v>
      </c>
      <c r="B1214">
        <v>263.12891678195365</v>
      </c>
      <c r="C1214">
        <v>855.66054399999996</v>
      </c>
      <c r="E1214">
        <f t="shared" si="59"/>
        <v>235.82748562450857</v>
      </c>
      <c r="F1214">
        <f t="shared" si="60"/>
        <v>791.10361443896034</v>
      </c>
    </row>
    <row r="1215" spans="1:6" x14ac:dyDescent="0.25">
      <c r="A1215">
        <v>-288.23951016102762</v>
      </c>
      <c r="B1215">
        <v>234.81830297729221</v>
      </c>
      <c r="C1215">
        <v>855.66054399999996</v>
      </c>
      <c r="E1215">
        <f t="shared" si="59"/>
        <v>288.23951016102774</v>
      </c>
      <c r="F1215">
        <f t="shared" si="60"/>
        <v>771.08498743813072</v>
      </c>
    </row>
    <row r="1216" spans="1:6" x14ac:dyDescent="0.25">
      <c r="A1216">
        <v>-336.16156607456503</v>
      </c>
      <c r="B1216">
        <v>204.26195848540056</v>
      </c>
      <c r="C1216">
        <v>855.66054399999996</v>
      </c>
      <c r="E1216">
        <f t="shared" si="59"/>
        <v>336.16156607456514</v>
      </c>
      <c r="F1216">
        <f t="shared" si="60"/>
        <v>749.47838903964191</v>
      </c>
    </row>
    <row r="1217" spans="1:6" x14ac:dyDescent="0.25">
      <c r="A1217">
        <v>-379.05349489400027</v>
      </c>
      <c r="B1217">
        <v>172.76675231602749</v>
      </c>
      <c r="C1217">
        <v>855.66054399999996</v>
      </c>
      <c r="E1217">
        <f t="shared" si="59"/>
        <v>379.05349489400038</v>
      </c>
      <c r="F1217">
        <f t="shared" si="60"/>
        <v>727.20791518240981</v>
      </c>
    </row>
    <row r="1218" spans="1:6" x14ac:dyDescent="0.25">
      <c r="A1218">
        <v>-410.57704301352555</v>
      </c>
      <c r="B1218">
        <v>146.0772457285214</v>
      </c>
      <c r="C1218">
        <v>855.66054399999996</v>
      </c>
      <c r="E1218">
        <f t="shared" si="59"/>
        <v>410.57704301352567</v>
      </c>
      <c r="F1218">
        <f t="shared" si="60"/>
        <v>708.33558408786121</v>
      </c>
    </row>
    <row r="1219" spans="1:6" x14ac:dyDescent="0.25">
      <c r="A1219">
        <v>-433.10800071683002</v>
      </c>
      <c r="B1219">
        <v>124.80819179955712</v>
      </c>
      <c r="C1219">
        <v>855.66054399999996</v>
      </c>
      <c r="E1219">
        <f t="shared" si="59"/>
        <v>433.10800071683013</v>
      </c>
      <c r="F1219">
        <f t="shared" si="60"/>
        <v>693.29609182526815</v>
      </c>
    </row>
    <row r="1220" spans="1:6" x14ac:dyDescent="0.25">
      <c r="A1220">
        <v>-451.46130396241455</v>
      </c>
      <c r="B1220">
        <v>104.84843051869886</v>
      </c>
      <c r="C1220">
        <v>855.66054399999996</v>
      </c>
      <c r="E1220">
        <f t="shared" si="59"/>
        <v>451.46130396241466</v>
      </c>
      <c r="F1220">
        <f t="shared" si="60"/>
        <v>679.18240927270858</v>
      </c>
    </row>
    <row r="1221" spans="1:6" x14ac:dyDescent="0.25">
      <c r="A1221">
        <v>-466.24493657778612</v>
      </c>
      <c r="B1221">
        <v>86.890789051472225</v>
      </c>
      <c r="C1221">
        <v>855.66054399999996</v>
      </c>
      <c r="E1221">
        <f t="shared" si="59"/>
        <v>466.24493657778623</v>
      </c>
      <c r="F1221">
        <f t="shared" si="60"/>
        <v>666.48443921711589</v>
      </c>
    </row>
    <row r="1222" spans="1:6" x14ac:dyDescent="0.25">
      <c r="A1222">
        <v>-478.52528973533481</v>
      </c>
      <c r="B1222">
        <v>70.366608758889569</v>
      </c>
      <c r="C1222">
        <v>855.66054399999996</v>
      </c>
      <c r="E1222">
        <f t="shared" si="59"/>
        <v>478.52528973533492</v>
      </c>
      <c r="F1222">
        <f t="shared" si="60"/>
        <v>654.80007927868166</v>
      </c>
    </row>
    <row r="1223" spans="1:6" x14ac:dyDescent="0.25">
      <c r="A1223">
        <v>-488.37637399985005</v>
      </c>
      <c r="B1223">
        <v>54.832400771746649</v>
      </c>
      <c r="C1223">
        <v>855.66054399999996</v>
      </c>
      <c r="E1223">
        <f t="shared" si="59"/>
        <v>488.37637399985016</v>
      </c>
      <c r="F1223">
        <f t="shared" si="60"/>
        <v>643.81573547061066</v>
      </c>
    </row>
    <row r="1224" spans="1:6" x14ac:dyDescent="0.25">
      <c r="A1224">
        <v>-495.95787948462265</v>
      </c>
      <c r="B1224">
        <v>41.33369189110153</v>
      </c>
      <c r="C1224">
        <v>855.66054399999996</v>
      </c>
      <c r="E1224">
        <f t="shared" si="59"/>
        <v>495.95787948462277</v>
      </c>
      <c r="F1224">
        <f t="shared" si="60"/>
        <v>634.27070688384345</v>
      </c>
    </row>
    <row r="1225" spans="1:6" x14ac:dyDescent="0.25">
      <c r="A1225">
        <v>-502.70451423653378</v>
      </c>
      <c r="B1225">
        <v>27.191708940868608</v>
      </c>
      <c r="C1225">
        <v>855.66054399999996</v>
      </c>
      <c r="E1225">
        <f t="shared" si="59"/>
        <v>502.7045142365339</v>
      </c>
      <c r="F1225">
        <f t="shared" si="60"/>
        <v>624.27081484030919</v>
      </c>
    </row>
    <row r="1226" spans="1:6" x14ac:dyDescent="0.25">
      <c r="A1226">
        <v>-506.45538946253782</v>
      </c>
      <c r="B1226">
        <v>-5.2426370907932455E-14</v>
      </c>
      <c r="C1226">
        <v>935.739328</v>
      </c>
      <c r="E1226">
        <f t="shared" si="59"/>
        <v>506.45538946253794</v>
      </c>
      <c r="F1226">
        <f t="shared" si="60"/>
        <v>661.66762425174284</v>
      </c>
    </row>
    <row r="1227" spans="1:6" x14ac:dyDescent="0.25">
      <c r="A1227">
        <v>-503.0022335180667</v>
      </c>
      <c r="B1227">
        <v>-13.452917460031758</v>
      </c>
      <c r="C1227">
        <v>935.739328</v>
      </c>
      <c r="E1227">
        <f t="shared" si="59"/>
        <v>503.00223351806682</v>
      </c>
      <c r="F1227">
        <f t="shared" si="60"/>
        <v>652.15497508901149</v>
      </c>
    </row>
    <row r="1228" spans="1:6" x14ac:dyDescent="0.25">
      <c r="A1228">
        <v>-498.77380874085549</v>
      </c>
      <c r="B1228">
        <v>-26.858281763069886</v>
      </c>
      <c r="C1228">
        <v>935.739328</v>
      </c>
      <c r="E1228">
        <f t="shared" si="59"/>
        <v>498.7738087408556</v>
      </c>
      <c r="F1228">
        <f t="shared" si="60"/>
        <v>642.67595108605724</v>
      </c>
    </row>
    <row r="1229" spans="1:6" x14ac:dyDescent="0.25">
      <c r="A1229">
        <v>-493.53364506080777</v>
      </c>
      <c r="B1229">
        <v>-40.494097626961299</v>
      </c>
      <c r="C1229">
        <v>935.739328</v>
      </c>
      <c r="E1229">
        <f t="shared" si="59"/>
        <v>493.53364506080788</v>
      </c>
      <c r="F1229">
        <f t="shared" si="60"/>
        <v>633.03397322168848</v>
      </c>
    </row>
    <row r="1230" spans="1:6" x14ac:dyDescent="0.25">
      <c r="A1230">
        <v>-485.82998575669717</v>
      </c>
      <c r="B1230">
        <v>-55.228741632932731</v>
      </c>
      <c r="C1230">
        <v>935.739328</v>
      </c>
      <c r="E1230">
        <f t="shared" si="59"/>
        <v>485.82998575669728</v>
      </c>
      <c r="F1230">
        <f t="shared" si="60"/>
        <v>622.61500652669633</v>
      </c>
    </row>
    <row r="1231" spans="1:6" x14ac:dyDescent="0.25">
      <c r="A1231">
        <v>-476.75242989628265</v>
      </c>
      <c r="B1231">
        <v>-70.641952056410787</v>
      </c>
      <c r="C1231">
        <v>935.739328</v>
      </c>
      <c r="E1231">
        <f t="shared" si="59"/>
        <v>476.75242989628276</v>
      </c>
      <c r="F1231">
        <f t="shared" si="60"/>
        <v>611.71622091639983</v>
      </c>
    </row>
    <row r="1232" spans="1:6" x14ac:dyDescent="0.25">
      <c r="A1232">
        <v>-466.67390144478759</v>
      </c>
      <c r="B1232">
        <v>-85.706568479625787</v>
      </c>
      <c r="C1232">
        <v>935.739328</v>
      </c>
      <c r="E1232">
        <f t="shared" si="59"/>
        <v>466.6739014447877</v>
      </c>
      <c r="F1232">
        <f t="shared" si="60"/>
        <v>601.06392848757025</v>
      </c>
    </row>
    <row r="1233" spans="1:6" x14ac:dyDescent="0.25">
      <c r="A1233">
        <v>-452.50614522135601</v>
      </c>
      <c r="B1233">
        <v>-103.58402974524802</v>
      </c>
      <c r="C1233">
        <v>935.739328</v>
      </c>
      <c r="E1233">
        <f t="shared" si="59"/>
        <v>452.50614522135612</v>
      </c>
      <c r="F1233">
        <f t="shared" si="60"/>
        <v>588.42265439624896</v>
      </c>
    </row>
    <row r="1234" spans="1:6" x14ac:dyDescent="0.25">
      <c r="A1234">
        <v>-435.5854410285454</v>
      </c>
      <c r="B1234">
        <v>-122.0047358957252</v>
      </c>
      <c r="C1234">
        <v>935.739328</v>
      </c>
      <c r="E1234">
        <f t="shared" si="59"/>
        <v>435.58544102854552</v>
      </c>
      <c r="F1234">
        <f t="shared" si="60"/>
        <v>575.39724816300179</v>
      </c>
    </row>
    <row r="1235" spans="1:6" x14ac:dyDescent="0.25">
      <c r="A1235">
        <v>-412.61989567941436</v>
      </c>
      <c r="B1235">
        <v>-144.7027064405622</v>
      </c>
      <c r="C1235">
        <v>935.739328</v>
      </c>
      <c r="E1235">
        <f t="shared" si="59"/>
        <v>412.61989567941447</v>
      </c>
      <c r="F1235">
        <f t="shared" si="60"/>
        <v>559.3473592715751</v>
      </c>
    </row>
    <row r="1236" spans="1:6" x14ac:dyDescent="0.25">
      <c r="A1236">
        <v>-381.69011692187132</v>
      </c>
      <c r="B1236">
        <v>-171.35827063527253</v>
      </c>
      <c r="C1236">
        <v>935.739328</v>
      </c>
      <c r="E1236">
        <f t="shared" ref="E1236:E1299" si="61">($I$2*A1236)+($K$2*B1236)+($M$2*C1236)</f>
        <v>381.69011692187144</v>
      </c>
      <c r="F1236">
        <f t="shared" ref="F1236:F1299" si="62">($J$2*A1236)+($L$2*B1236)+($N$2*C1236)</f>
        <v>540.49902907314208</v>
      </c>
    </row>
    <row r="1237" spans="1:6" x14ac:dyDescent="0.25">
      <c r="A1237">
        <v>-338.02090936999571</v>
      </c>
      <c r="B1237">
        <v>-203.74939093817437</v>
      </c>
      <c r="C1237">
        <v>935.739328</v>
      </c>
      <c r="E1237">
        <f t="shared" si="61"/>
        <v>338.02090936999582</v>
      </c>
      <c r="F1237">
        <f t="shared" si="62"/>
        <v>517.59504825673093</v>
      </c>
    </row>
    <row r="1238" spans="1:6" x14ac:dyDescent="0.25">
      <c r="A1238">
        <v>-285.68888291739137</v>
      </c>
      <c r="B1238">
        <v>-237.22758575570856</v>
      </c>
      <c r="C1238">
        <v>935.739328</v>
      </c>
      <c r="E1238">
        <f t="shared" si="61"/>
        <v>285.68888291739148</v>
      </c>
      <c r="F1238">
        <f t="shared" si="62"/>
        <v>493.92238967936817</v>
      </c>
    </row>
    <row r="1239" spans="1:6" x14ac:dyDescent="0.25">
      <c r="A1239">
        <v>-235.79475943198935</v>
      </c>
      <c r="B1239">
        <v>-263.7077079692362</v>
      </c>
      <c r="C1239">
        <v>935.739328</v>
      </c>
      <c r="E1239">
        <f t="shared" si="61"/>
        <v>235.79475943198946</v>
      </c>
      <c r="F1239">
        <f t="shared" si="62"/>
        <v>475.19811569553423</v>
      </c>
    </row>
    <row r="1240" spans="1:6" x14ac:dyDescent="0.25">
      <c r="A1240">
        <v>-186.49827623306902</v>
      </c>
      <c r="B1240">
        <v>-285.40102671000233</v>
      </c>
      <c r="C1240">
        <v>935.739328</v>
      </c>
      <c r="E1240">
        <f t="shared" si="61"/>
        <v>186.49827623306913</v>
      </c>
      <c r="F1240">
        <f t="shared" si="62"/>
        <v>459.85862290749731</v>
      </c>
    </row>
    <row r="1241" spans="1:6" x14ac:dyDescent="0.25">
      <c r="A1241">
        <v>-139.03733966455965</v>
      </c>
      <c r="B1241">
        <v>-302.46246554824171</v>
      </c>
      <c r="C1241">
        <v>935.739328</v>
      </c>
      <c r="E1241">
        <f t="shared" si="61"/>
        <v>139.03733966455977</v>
      </c>
      <c r="F1241">
        <f t="shared" si="62"/>
        <v>447.79436380817873</v>
      </c>
    </row>
    <row r="1242" spans="1:6" x14ac:dyDescent="0.25">
      <c r="A1242">
        <v>-92.274915993047131</v>
      </c>
      <c r="B1242">
        <v>-316.00768129573163</v>
      </c>
      <c r="C1242">
        <v>935.739328</v>
      </c>
      <c r="E1242">
        <f t="shared" si="61"/>
        <v>92.274915993047244</v>
      </c>
      <c r="F1242">
        <f t="shared" si="62"/>
        <v>438.21644990049379</v>
      </c>
    </row>
    <row r="1243" spans="1:6" x14ac:dyDescent="0.25">
      <c r="A1243">
        <v>-44.826387699534024</v>
      </c>
      <c r="B1243">
        <v>-326.56743422128534</v>
      </c>
      <c r="C1243">
        <v>935.739328</v>
      </c>
      <c r="E1243">
        <f t="shared" si="61"/>
        <v>44.826387699534138</v>
      </c>
      <c r="F1243">
        <f t="shared" si="62"/>
        <v>430.74957699918025</v>
      </c>
    </row>
    <row r="1244" spans="1:6" x14ac:dyDescent="0.25">
      <c r="A1244">
        <v>1.0051545478162048E-13</v>
      </c>
      <c r="B1244">
        <v>-333.38631023282119</v>
      </c>
      <c r="C1244">
        <v>935.739328</v>
      </c>
      <c r="E1244">
        <f t="shared" si="61"/>
        <v>1.4126504408022548E-14</v>
      </c>
      <c r="F1244">
        <f t="shared" si="62"/>
        <v>425.92790353135297</v>
      </c>
    </row>
    <row r="1245" spans="1:6" x14ac:dyDescent="0.25">
      <c r="A1245">
        <v>44.82638769953391</v>
      </c>
      <c r="B1245">
        <v>-326.56743422128534</v>
      </c>
      <c r="C1245">
        <v>935.739328</v>
      </c>
      <c r="E1245">
        <f t="shared" si="61"/>
        <v>-44.826387699533797</v>
      </c>
      <c r="F1245">
        <f t="shared" si="62"/>
        <v>430.74957699918025</v>
      </c>
    </row>
    <row r="1246" spans="1:6" x14ac:dyDescent="0.25">
      <c r="A1246">
        <v>92.274915993047102</v>
      </c>
      <c r="B1246">
        <v>-316.00768129573157</v>
      </c>
      <c r="C1246">
        <v>935.739328</v>
      </c>
      <c r="E1246">
        <f t="shared" si="61"/>
        <v>-92.274915993046989</v>
      </c>
      <c r="F1246">
        <f t="shared" si="62"/>
        <v>438.21644990049379</v>
      </c>
    </row>
    <row r="1247" spans="1:6" x14ac:dyDescent="0.25">
      <c r="A1247">
        <v>139.0373396645596</v>
      </c>
      <c r="B1247">
        <v>-302.46246554824171</v>
      </c>
      <c r="C1247">
        <v>935.739328</v>
      </c>
      <c r="E1247">
        <f t="shared" si="61"/>
        <v>-139.03733966455948</v>
      </c>
      <c r="F1247">
        <f t="shared" si="62"/>
        <v>447.79436380817873</v>
      </c>
    </row>
    <row r="1248" spans="1:6" x14ac:dyDescent="0.25">
      <c r="A1248">
        <v>186.49827623306899</v>
      </c>
      <c r="B1248">
        <v>-285.4010267100021</v>
      </c>
      <c r="C1248">
        <v>935.739328</v>
      </c>
      <c r="E1248">
        <f t="shared" si="61"/>
        <v>-186.49827623306888</v>
      </c>
      <c r="F1248">
        <f t="shared" si="62"/>
        <v>459.85862290749753</v>
      </c>
    </row>
    <row r="1249" spans="1:6" x14ac:dyDescent="0.25">
      <c r="A1249">
        <v>235.79475943198943</v>
      </c>
      <c r="B1249">
        <v>-263.70770796923614</v>
      </c>
      <c r="C1249">
        <v>935.739328</v>
      </c>
      <c r="E1249">
        <f t="shared" si="61"/>
        <v>-235.79475943198932</v>
      </c>
      <c r="F1249">
        <f t="shared" si="62"/>
        <v>475.19811569553434</v>
      </c>
    </row>
    <row r="1250" spans="1:6" x14ac:dyDescent="0.25">
      <c r="A1250">
        <v>285.68888291739097</v>
      </c>
      <c r="B1250">
        <v>-237.22758575570865</v>
      </c>
      <c r="C1250">
        <v>935.739328</v>
      </c>
      <c r="E1250">
        <f t="shared" si="61"/>
        <v>-285.68888291739086</v>
      </c>
      <c r="F1250">
        <f t="shared" si="62"/>
        <v>493.92238967936817</v>
      </c>
    </row>
    <row r="1251" spans="1:6" x14ac:dyDescent="0.25">
      <c r="A1251">
        <v>338.02090936999571</v>
      </c>
      <c r="B1251">
        <v>-203.7493909381746</v>
      </c>
      <c r="C1251">
        <v>935.739328</v>
      </c>
      <c r="E1251">
        <f t="shared" si="61"/>
        <v>-338.02090936999559</v>
      </c>
      <c r="F1251">
        <f t="shared" si="62"/>
        <v>517.59504825673082</v>
      </c>
    </row>
    <row r="1252" spans="1:6" x14ac:dyDescent="0.25">
      <c r="A1252">
        <v>381.69011692187132</v>
      </c>
      <c r="B1252">
        <v>-171.35827063527228</v>
      </c>
      <c r="C1252">
        <v>935.739328</v>
      </c>
      <c r="E1252">
        <f t="shared" si="61"/>
        <v>-381.69011692187121</v>
      </c>
      <c r="F1252">
        <f t="shared" si="62"/>
        <v>540.49902907314231</v>
      </c>
    </row>
    <row r="1253" spans="1:6" x14ac:dyDescent="0.25">
      <c r="A1253">
        <v>412.61989567941447</v>
      </c>
      <c r="B1253">
        <v>-144.7027064405622</v>
      </c>
      <c r="C1253">
        <v>935.739328</v>
      </c>
      <c r="E1253">
        <f t="shared" si="61"/>
        <v>-412.61989567941436</v>
      </c>
      <c r="F1253">
        <f t="shared" si="62"/>
        <v>559.34735927157521</v>
      </c>
    </row>
    <row r="1254" spans="1:6" x14ac:dyDescent="0.25">
      <c r="A1254">
        <v>435.58544102854546</v>
      </c>
      <c r="B1254">
        <v>-122.00473589572519</v>
      </c>
      <c r="C1254">
        <v>935.739328</v>
      </c>
      <c r="E1254">
        <f t="shared" si="61"/>
        <v>-435.58544102854535</v>
      </c>
      <c r="F1254">
        <f t="shared" si="62"/>
        <v>575.3972481630019</v>
      </c>
    </row>
    <row r="1255" spans="1:6" x14ac:dyDescent="0.25">
      <c r="A1255">
        <v>452.50614522135623</v>
      </c>
      <c r="B1255">
        <v>-103.58402974524797</v>
      </c>
      <c r="C1255">
        <v>935.739328</v>
      </c>
      <c r="E1255">
        <f t="shared" si="61"/>
        <v>-452.50614522135612</v>
      </c>
      <c r="F1255">
        <f t="shared" si="62"/>
        <v>588.42265439624907</v>
      </c>
    </row>
    <row r="1256" spans="1:6" x14ac:dyDescent="0.25">
      <c r="A1256">
        <v>466.67390144478759</v>
      </c>
      <c r="B1256">
        <v>-85.706568479625687</v>
      </c>
      <c r="C1256">
        <v>935.739328</v>
      </c>
      <c r="E1256">
        <f t="shared" si="61"/>
        <v>-466.67390144478748</v>
      </c>
      <c r="F1256">
        <f t="shared" si="62"/>
        <v>601.06392848757048</v>
      </c>
    </row>
    <row r="1257" spans="1:6" x14ac:dyDescent="0.25">
      <c r="A1257">
        <v>476.75242989628265</v>
      </c>
      <c r="B1257">
        <v>-70.641952056410787</v>
      </c>
      <c r="C1257">
        <v>935.739328</v>
      </c>
      <c r="E1257">
        <f t="shared" si="61"/>
        <v>-476.75242989628254</v>
      </c>
      <c r="F1257">
        <f t="shared" si="62"/>
        <v>611.71622091639995</v>
      </c>
    </row>
    <row r="1258" spans="1:6" x14ac:dyDescent="0.25">
      <c r="A1258">
        <v>485.8299857566974</v>
      </c>
      <c r="B1258">
        <v>-55.228741632932717</v>
      </c>
      <c r="C1258">
        <v>935.739328</v>
      </c>
      <c r="E1258">
        <f t="shared" si="61"/>
        <v>-485.82998575669728</v>
      </c>
      <c r="F1258">
        <f t="shared" si="62"/>
        <v>622.61500652669645</v>
      </c>
    </row>
    <row r="1259" spans="1:6" x14ac:dyDescent="0.25">
      <c r="A1259">
        <v>493.53364506080777</v>
      </c>
      <c r="B1259">
        <v>-40.494097626961299</v>
      </c>
      <c r="C1259">
        <v>935.739328</v>
      </c>
      <c r="E1259">
        <f t="shared" si="61"/>
        <v>-493.53364506080766</v>
      </c>
      <c r="F1259">
        <f t="shared" si="62"/>
        <v>633.0339732216886</v>
      </c>
    </row>
    <row r="1260" spans="1:6" x14ac:dyDescent="0.25">
      <c r="A1260">
        <v>498.77380874085549</v>
      </c>
      <c r="B1260">
        <v>-26.858281763069947</v>
      </c>
      <c r="C1260">
        <v>935.739328</v>
      </c>
      <c r="E1260">
        <f t="shared" si="61"/>
        <v>-498.77380874085537</v>
      </c>
      <c r="F1260">
        <f t="shared" si="62"/>
        <v>642.67595108605724</v>
      </c>
    </row>
    <row r="1261" spans="1:6" x14ac:dyDescent="0.25">
      <c r="A1261">
        <v>503.0022335180667</v>
      </c>
      <c r="B1261">
        <v>-13.452917460031665</v>
      </c>
      <c r="C1261">
        <v>935.739328</v>
      </c>
      <c r="E1261">
        <f t="shared" si="61"/>
        <v>-503.00223351806659</v>
      </c>
      <c r="F1261">
        <f t="shared" si="62"/>
        <v>652.15497508901171</v>
      </c>
    </row>
    <row r="1262" spans="1:6" x14ac:dyDescent="0.25">
      <c r="A1262">
        <v>506.45538946253805</v>
      </c>
      <c r="B1262">
        <v>0</v>
      </c>
      <c r="C1262">
        <v>935.739328</v>
      </c>
      <c r="E1262">
        <f t="shared" si="61"/>
        <v>-506.45538946253794</v>
      </c>
      <c r="F1262">
        <f t="shared" si="62"/>
        <v>661.66762425174295</v>
      </c>
    </row>
    <row r="1263" spans="1:6" x14ac:dyDescent="0.25">
      <c r="A1263">
        <v>503.0022335180667</v>
      </c>
      <c r="B1263">
        <v>13.452917460031665</v>
      </c>
      <c r="C1263">
        <v>935.739328</v>
      </c>
      <c r="E1263">
        <f t="shared" si="61"/>
        <v>-503.00223351806659</v>
      </c>
      <c r="F1263">
        <f t="shared" si="62"/>
        <v>671.1802734144743</v>
      </c>
    </row>
    <row r="1264" spans="1:6" x14ac:dyDescent="0.25">
      <c r="A1264">
        <v>498.77380874085571</v>
      </c>
      <c r="B1264">
        <v>26.858281763069872</v>
      </c>
      <c r="C1264">
        <v>935.739328</v>
      </c>
      <c r="E1264">
        <f t="shared" si="61"/>
        <v>-498.7738087408556</v>
      </c>
      <c r="F1264">
        <f t="shared" si="62"/>
        <v>680.65929741742866</v>
      </c>
    </row>
    <row r="1265" spans="1:6" x14ac:dyDescent="0.25">
      <c r="A1265">
        <v>493.53364506080777</v>
      </c>
      <c r="B1265">
        <v>40.494097626961299</v>
      </c>
      <c r="C1265">
        <v>935.739328</v>
      </c>
      <c r="E1265">
        <f t="shared" si="61"/>
        <v>-493.53364506080766</v>
      </c>
      <c r="F1265">
        <f t="shared" si="62"/>
        <v>690.30127528179742</v>
      </c>
    </row>
    <row r="1266" spans="1:6" x14ac:dyDescent="0.25">
      <c r="A1266">
        <v>485.82998575669723</v>
      </c>
      <c r="B1266">
        <v>55.228741632932731</v>
      </c>
      <c r="C1266">
        <v>935.739328</v>
      </c>
      <c r="E1266">
        <f t="shared" si="61"/>
        <v>-485.82998575669711</v>
      </c>
      <c r="F1266">
        <f t="shared" si="62"/>
        <v>700.72024197678957</v>
      </c>
    </row>
    <row r="1267" spans="1:6" x14ac:dyDescent="0.25">
      <c r="A1267">
        <v>476.75242989628265</v>
      </c>
      <c r="B1267">
        <v>70.641952056410759</v>
      </c>
      <c r="C1267">
        <v>935.739328</v>
      </c>
      <c r="E1267">
        <f t="shared" si="61"/>
        <v>-476.75242989628254</v>
      </c>
      <c r="F1267">
        <f t="shared" si="62"/>
        <v>711.61902758708607</v>
      </c>
    </row>
    <row r="1268" spans="1:6" x14ac:dyDescent="0.25">
      <c r="A1268">
        <v>466.67390144478759</v>
      </c>
      <c r="B1268">
        <v>85.706568479625702</v>
      </c>
      <c r="C1268">
        <v>935.739328</v>
      </c>
      <c r="E1268">
        <f t="shared" si="61"/>
        <v>-466.67390144478748</v>
      </c>
      <c r="F1268">
        <f t="shared" si="62"/>
        <v>722.27132001591553</v>
      </c>
    </row>
    <row r="1269" spans="1:6" x14ac:dyDescent="0.25">
      <c r="A1269">
        <v>452.50614522135623</v>
      </c>
      <c r="B1269">
        <v>103.5840297452479</v>
      </c>
      <c r="C1269">
        <v>935.739328</v>
      </c>
      <c r="E1269">
        <f t="shared" si="61"/>
        <v>-452.50614522135612</v>
      </c>
      <c r="F1269">
        <f t="shared" si="62"/>
        <v>734.91259410723683</v>
      </c>
    </row>
    <row r="1270" spans="1:6" x14ac:dyDescent="0.25">
      <c r="A1270">
        <v>435.58544102854546</v>
      </c>
      <c r="B1270">
        <v>122.00473589572526</v>
      </c>
      <c r="C1270">
        <v>935.739328</v>
      </c>
      <c r="E1270">
        <f t="shared" si="61"/>
        <v>-435.58544102854535</v>
      </c>
      <c r="F1270">
        <f t="shared" si="62"/>
        <v>747.93800034048411</v>
      </c>
    </row>
    <row r="1271" spans="1:6" x14ac:dyDescent="0.25">
      <c r="A1271">
        <v>412.61989567941447</v>
      </c>
      <c r="B1271">
        <v>144.70270644056214</v>
      </c>
      <c r="C1271">
        <v>935.739328</v>
      </c>
      <c r="E1271">
        <f t="shared" si="61"/>
        <v>-412.61989567941436</v>
      </c>
      <c r="F1271">
        <f t="shared" si="62"/>
        <v>763.9878892319108</v>
      </c>
    </row>
    <row r="1272" spans="1:6" x14ac:dyDescent="0.25">
      <c r="A1272">
        <v>381.69011692187138</v>
      </c>
      <c r="B1272">
        <v>171.35827063527228</v>
      </c>
      <c r="C1272">
        <v>935.739328</v>
      </c>
      <c r="E1272">
        <f t="shared" si="61"/>
        <v>-381.69011692187127</v>
      </c>
      <c r="F1272">
        <f t="shared" si="62"/>
        <v>782.83621943034359</v>
      </c>
    </row>
    <row r="1273" spans="1:6" x14ac:dyDescent="0.25">
      <c r="A1273">
        <v>338.02090936999582</v>
      </c>
      <c r="B1273">
        <v>203.74939093817437</v>
      </c>
      <c r="C1273">
        <v>935.739328</v>
      </c>
      <c r="E1273">
        <f t="shared" si="61"/>
        <v>-338.02090936999571</v>
      </c>
      <c r="F1273">
        <f t="shared" si="62"/>
        <v>805.74020024675497</v>
      </c>
    </row>
    <row r="1274" spans="1:6" x14ac:dyDescent="0.25">
      <c r="A1274">
        <v>285.68888291739154</v>
      </c>
      <c r="B1274">
        <v>237.22758575570856</v>
      </c>
      <c r="C1274">
        <v>935.739328</v>
      </c>
      <c r="E1274">
        <f t="shared" si="61"/>
        <v>-285.68888291739142</v>
      </c>
      <c r="F1274">
        <f t="shared" si="62"/>
        <v>829.41285882411773</v>
      </c>
    </row>
    <row r="1275" spans="1:6" x14ac:dyDescent="0.25">
      <c r="A1275">
        <v>235.79475943198977</v>
      </c>
      <c r="B1275">
        <v>263.70770796923608</v>
      </c>
      <c r="C1275">
        <v>935.739328</v>
      </c>
      <c r="E1275">
        <f t="shared" si="61"/>
        <v>-235.79475943198966</v>
      </c>
      <c r="F1275">
        <f t="shared" si="62"/>
        <v>848.13713280795162</v>
      </c>
    </row>
    <row r="1276" spans="1:6" x14ac:dyDescent="0.25">
      <c r="A1276">
        <v>186.49827623306928</v>
      </c>
      <c r="B1276">
        <v>285.40102671000216</v>
      </c>
      <c r="C1276">
        <v>935.739328</v>
      </c>
      <c r="E1276">
        <f t="shared" si="61"/>
        <v>-186.49827623306916</v>
      </c>
      <c r="F1276">
        <f t="shared" si="62"/>
        <v>863.47662559598848</v>
      </c>
    </row>
    <row r="1277" spans="1:6" x14ac:dyDescent="0.25">
      <c r="A1277">
        <v>139.03733966455948</v>
      </c>
      <c r="B1277">
        <v>302.46246554824171</v>
      </c>
      <c r="C1277">
        <v>935.739328</v>
      </c>
      <c r="E1277">
        <f t="shared" si="61"/>
        <v>-139.03733966455937</v>
      </c>
      <c r="F1277">
        <f t="shared" si="62"/>
        <v>875.54088469530711</v>
      </c>
    </row>
    <row r="1278" spans="1:6" x14ac:dyDescent="0.25">
      <c r="A1278">
        <v>92.27491599304706</v>
      </c>
      <c r="B1278">
        <v>316.00768129573174</v>
      </c>
      <c r="C1278">
        <v>935.739328</v>
      </c>
      <c r="E1278">
        <f t="shared" si="61"/>
        <v>-92.274915993046946</v>
      </c>
      <c r="F1278">
        <f t="shared" si="62"/>
        <v>885.11879860299223</v>
      </c>
    </row>
    <row r="1279" spans="1:6" x14ac:dyDescent="0.25">
      <c r="A1279">
        <v>44.826387699533868</v>
      </c>
      <c r="B1279">
        <v>326.56743422128528</v>
      </c>
      <c r="C1279">
        <v>935.739328</v>
      </c>
      <c r="E1279">
        <f t="shared" si="61"/>
        <v>-44.826387699533754</v>
      </c>
      <c r="F1279">
        <f t="shared" si="62"/>
        <v>892.58567150430554</v>
      </c>
    </row>
    <row r="1280" spans="1:6" x14ac:dyDescent="0.25">
      <c r="A1280">
        <v>8.9584939029844359E-14</v>
      </c>
      <c r="B1280">
        <v>333.38631023282119</v>
      </c>
      <c r="C1280">
        <v>935.739328</v>
      </c>
      <c r="E1280">
        <f t="shared" si="61"/>
        <v>2.5057020159798673E-14</v>
      </c>
      <c r="F1280">
        <f t="shared" si="62"/>
        <v>897.40734497213293</v>
      </c>
    </row>
    <row r="1281" spans="1:6" x14ac:dyDescent="0.25">
      <c r="A1281">
        <v>-44.82638769953391</v>
      </c>
      <c r="B1281">
        <v>326.56743422128528</v>
      </c>
      <c r="C1281">
        <v>935.739328</v>
      </c>
      <c r="E1281">
        <f t="shared" si="61"/>
        <v>44.826387699534024</v>
      </c>
      <c r="F1281">
        <f t="shared" si="62"/>
        <v>892.58567150430554</v>
      </c>
    </row>
    <row r="1282" spans="1:6" x14ac:dyDescent="0.25">
      <c r="A1282">
        <v>-92.274915993046989</v>
      </c>
      <c r="B1282">
        <v>316.00768129573174</v>
      </c>
      <c r="C1282">
        <v>935.739328</v>
      </c>
      <c r="E1282">
        <f t="shared" si="61"/>
        <v>92.274915993047102</v>
      </c>
      <c r="F1282">
        <f t="shared" si="62"/>
        <v>885.11879860299223</v>
      </c>
    </row>
    <row r="1283" spans="1:6" x14ac:dyDescent="0.25">
      <c r="A1283">
        <v>-139.03733966455948</v>
      </c>
      <c r="B1283">
        <v>302.46246554824171</v>
      </c>
      <c r="C1283">
        <v>935.739328</v>
      </c>
      <c r="E1283">
        <f t="shared" si="61"/>
        <v>139.0373396645596</v>
      </c>
      <c r="F1283">
        <f t="shared" si="62"/>
        <v>875.54088469530711</v>
      </c>
    </row>
    <row r="1284" spans="1:6" x14ac:dyDescent="0.25">
      <c r="A1284">
        <v>-186.49827623306862</v>
      </c>
      <c r="B1284">
        <v>285.40102671000233</v>
      </c>
      <c r="C1284">
        <v>935.739328</v>
      </c>
      <c r="E1284">
        <f t="shared" si="61"/>
        <v>186.49827623306874</v>
      </c>
      <c r="F1284">
        <f t="shared" si="62"/>
        <v>863.47662559598859</v>
      </c>
    </row>
    <row r="1285" spans="1:6" x14ac:dyDescent="0.25">
      <c r="A1285">
        <v>-235.79475943198915</v>
      </c>
      <c r="B1285">
        <v>263.70770796923637</v>
      </c>
      <c r="C1285">
        <v>935.739328</v>
      </c>
      <c r="E1285">
        <f t="shared" si="61"/>
        <v>235.79475943198926</v>
      </c>
      <c r="F1285">
        <f t="shared" si="62"/>
        <v>848.13713280795173</v>
      </c>
    </row>
    <row r="1286" spans="1:6" x14ac:dyDescent="0.25">
      <c r="A1286">
        <v>-285.68888291739131</v>
      </c>
      <c r="B1286">
        <v>237.22758575570856</v>
      </c>
      <c r="C1286">
        <v>935.739328</v>
      </c>
      <c r="E1286">
        <f t="shared" si="61"/>
        <v>285.68888291739142</v>
      </c>
      <c r="F1286">
        <f t="shared" si="62"/>
        <v>829.41285882411762</v>
      </c>
    </row>
    <row r="1287" spans="1:6" x14ac:dyDescent="0.25">
      <c r="A1287">
        <v>-338.02090936999565</v>
      </c>
      <c r="B1287">
        <v>203.74939093817446</v>
      </c>
      <c r="C1287">
        <v>935.739328</v>
      </c>
      <c r="E1287">
        <f t="shared" si="61"/>
        <v>338.02090936999576</v>
      </c>
      <c r="F1287">
        <f t="shared" si="62"/>
        <v>805.74020024675497</v>
      </c>
    </row>
    <row r="1288" spans="1:6" x14ac:dyDescent="0.25">
      <c r="A1288">
        <v>-381.69011692187132</v>
      </c>
      <c r="B1288">
        <v>171.35827063527242</v>
      </c>
      <c r="C1288">
        <v>935.739328</v>
      </c>
      <c r="E1288">
        <f t="shared" si="61"/>
        <v>381.69011692187144</v>
      </c>
      <c r="F1288">
        <f t="shared" si="62"/>
        <v>782.8362194303437</v>
      </c>
    </row>
    <row r="1289" spans="1:6" x14ac:dyDescent="0.25">
      <c r="A1289">
        <v>-412.61989567941441</v>
      </c>
      <c r="B1289">
        <v>144.70270644056214</v>
      </c>
      <c r="C1289">
        <v>935.739328</v>
      </c>
      <c r="E1289">
        <f t="shared" si="61"/>
        <v>412.61989567941453</v>
      </c>
      <c r="F1289">
        <f t="shared" si="62"/>
        <v>763.98788923191069</v>
      </c>
    </row>
    <row r="1290" spans="1:6" x14ac:dyDescent="0.25">
      <c r="A1290">
        <v>-435.5854410285454</v>
      </c>
      <c r="B1290">
        <v>122.0047358957252</v>
      </c>
      <c r="C1290">
        <v>935.739328</v>
      </c>
      <c r="E1290">
        <f t="shared" si="61"/>
        <v>435.58544102854552</v>
      </c>
      <c r="F1290">
        <f t="shared" si="62"/>
        <v>747.938000340484</v>
      </c>
    </row>
    <row r="1291" spans="1:6" x14ac:dyDescent="0.25">
      <c r="A1291">
        <v>-452.50614522135601</v>
      </c>
      <c r="B1291">
        <v>103.58402974524806</v>
      </c>
      <c r="C1291">
        <v>935.739328</v>
      </c>
      <c r="E1291">
        <f t="shared" si="61"/>
        <v>452.50614522135612</v>
      </c>
      <c r="F1291">
        <f t="shared" si="62"/>
        <v>734.91259410723683</v>
      </c>
    </row>
    <row r="1292" spans="1:6" x14ac:dyDescent="0.25">
      <c r="A1292">
        <v>-466.67390144478765</v>
      </c>
      <c r="B1292">
        <v>85.706568479625929</v>
      </c>
      <c r="C1292">
        <v>935.739328</v>
      </c>
      <c r="E1292">
        <f t="shared" si="61"/>
        <v>466.67390144478776</v>
      </c>
      <c r="F1292">
        <f t="shared" si="62"/>
        <v>722.27132001591565</v>
      </c>
    </row>
    <row r="1293" spans="1:6" x14ac:dyDescent="0.25">
      <c r="A1293">
        <v>-476.75242989628265</v>
      </c>
      <c r="B1293">
        <v>70.641952056410929</v>
      </c>
      <c r="C1293">
        <v>935.739328</v>
      </c>
      <c r="E1293">
        <f t="shared" si="61"/>
        <v>476.75242989628276</v>
      </c>
      <c r="F1293">
        <f t="shared" si="62"/>
        <v>711.61902758708607</v>
      </c>
    </row>
    <row r="1294" spans="1:6" x14ac:dyDescent="0.25">
      <c r="A1294">
        <v>-485.82998575669723</v>
      </c>
      <c r="B1294">
        <v>55.228741632932845</v>
      </c>
      <c r="C1294">
        <v>935.739328</v>
      </c>
      <c r="E1294">
        <f t="shared" si="61"/>
        <v>485.82998575669734</v>
      </c>
      <c r="F1294">
        <f t="shared" si="62"/>
        <v>700.72024197678957</v>
      </c>
    </row>
    <row r="1295" spans="1:6" x14ac:dyDescent="0.25">
      <c r="A1295">
        <v>-493.53364506080788</v>
      </c>
      <c r="B1295">
        <v>40.494097626961313</v>
      </c>
      <c r="C1295">
        <v>935.739328</v>
      </c>
      <c r="E1295">
        <f t="shared" si="61"/>
        <v>493.533645060808</v>
      </c>
      <c r="F1295">
        <f t="shared" si="62"/>
        <v>690.3012752817973</v>
      </c>
    </row>
    <row r="1296" spans="1:6" x14ac:dyDescent="0.25">
      <c r="A1296">
        <v>-498.77380874085549</v>
      </c>
      <c r="B1296">
        <v>26.858281763069865</v>
      </c>
      <c r="C1296">
        <v>935.739328</v>
      </c>
      <c r="E1296">
        <f t="shared" si="61"/>
        <v>498.7738087408556</v>
      </c>
      <c r="F1296">
        <f t="shared" si="62"/>
        <v>680.65929741742855</v>
      </c>
    </row>
    <row r="1297" spans="1:6" x14ac:dyDescent="0.25">
      <c r="A1297">
        <v>-497.57759196451093</v>
      </c>
      <c r="B1297">
        <v>-5.2300902207170983E-14</v>
      </c>
      <c r="C1297">
        <v>1015.8181119999999</v>
      </c>
      <c r="E1297">
        <f t="shared" si="61"/>
        <v>497.57759196451104</v>
      </c>
      <c r="F1297">
        <f t="shared" si="62"/>
        <v>718.29187544731565</v>
      </c>
    </row>
    <row r="1298" spans="1:6" x14ac:dyDescent="0.25">
      <c r="A1298">
        <v>-494.81524110857629</v>
      </c>
      <c r="B1298">
        <v>-13.289841058720741</v>
      </c>
      <c r="C1298">
        <v>1015.8181119999999</v>
      </c>
      <c r="E1298">
        <f t="shared" si="61"/>
        <v>494.8152411085764</v>
      </c>
      <c r="F1298">
        <f t="shared" si="62"/>
        <v>708.89453871380283</v>
      </c>
    </row>
    <row r="1299" spans="1:6" x14ac:dyDescent="0.25">
      <c r="A1299">
        <v>-491.22773191891304</v>
      </c>
      <c r="B1299">
        <v>-26.557851214435527</v>
      </c>
      <c r="C1299">
        <v>1015.8181119999999</v>
      </c>
      <c r="E1299">
        <f t="shared" si="61"/>
        <v>491.22773191891315</v>
      </c>
      <c r="F1299">
        <f t="shared" si="62"/>
        <v>699.512638759845</v>
      </c>
    </row>
    <row r="1300" spans="1:6" x14ac:dyDescent="0.25">
      <c r="A1300">
        <v>-486.6751990063031</v>
      </c>
      <c r="B1300">
        <v>-40.034960334530794</v>
      </c>
      <c r="C1300">
        <v>1015.8181119999999</v>
      </c>
      <c r="E1300">
        <f t="shared" ref="E1300:E1363" si="63">($I$2*A1300)+($K$2*B1300)+($M$2*C1300)</f>
        <v>486.67519900630322</v>
      </c>
      <c r="F1300">
        <f t="shared" ref="F1300:F1363" si="64">($J$2*A1300)+($L$2*B1300)+($N$2*C1300)</f>
        <v>689.9828835102345</v>
      </c>
    </row>
    <row r="1301" spans="1:6" x14ac:dyDescent="0.25">
      <c r="A1301">
        <v>-480.15237190642961</v>
      </c>
      <c r="B1301">
        <v>-54.341454353102002</v>
      </c>
      <c r="C1301">
        <v>1015.8181119999999</v>
      </c>
      <c r="E1301">
        <f t="shared" si="63"/>
        <v>480.15237190642972</v>
      </c>
      <c r="F1301">
        <f t="shared" si="64"/>
        <v>679.86666457469801</v>
      </c>
    </row>
    <row r="1302" spans="1:6" x14ac:dyDescent="0.25">
      <c r="A1302">
        <v>-471.58723401976511</v>
      </c>
      <c r="B1302">
        <v>-69.646009839876996</v>
      </c>
      <c r="C1302">
        <v>1015.8181119999999</v>
      </c>
      <c r="E1302">
        <f t="shared" si="63"/>
        <v>471.58723401976522</v>
      </c>
      <c r="F1302">
        <f t="shared" si="64"/>
        <v>669.04470960695369</v>
      </c>
    </row>
    <row r="1303" spans="1:6" x14ac:dyDescent="0.25">
      <c r="A1303">
        <v>-461.70085366123885</v>
      </c>
      <c r="B1303">
        <v>-84.524820999115661</v>
      </c>
      <c r="C1303">
        <v>1015.8181119999999</v>
      </c>
      <c r="E1303">
        <f t="shared" si="63"/>
        <v>461.70085366123897</v>
      </c>
      <c r="F1303">
        <f t="shared" si="64"/>
        <v>658.52380134026191</v>
      </c>
    </row>
    <row r="1304" spans="1:6" x14ac:dyDescent="0.25">
      <c r="A1304">
        <v>-449.6870902732818</v>
      </c>
      <c r="B1304">
        <v>-100.95720260891252</v>
      </c>
      <c r="C1304">
        <v>1015.8181119999999</v>
      </c>
      <c r="E1304">
        <f t="shared" si="63"/>
        <v>449.68709027328191</v>
      </c>
      <c r="F1304">
        <f t="shared" si="64"/>
        <v>646.90435287292951</v>
      </c>
    </row>
    <row r="1305" spans="1:6" x14ac:dyDescent="0.25">
      <c r="A1305">
        <v>-432.37943949981792</v>
      </c>
      <c r="B1305">
        <v>-120.78560718494714</v>
      </c>
      <c r="C1305">
        <v>1015.8181119999999</v>
      </c>
      <c r="E1305">
        <f t="shared" si="63"/>
        <v>432.37943949981803</v>
      </c>
      <c r="F1305">
        <f t="shared" si="64"/>
        <v>632.88355353710506</v>
      </c>
    </row>
    <row r="1306" spans="1:6" x14ac:dyDescent="0.25">
      <c r="A1306">
        <v>-409.82588386278013</v>
      </c>
      <c r="B1306">
        <v>-143.43319301778556</v>
      </c>
      <c r="C1306">
        <v>1015.8181119999999</v>
      </c>
      <c r="E1306">
        <f t="shared" si="63"/>
        <v>409.82588386278024</v>
      </c>
      <c r="F1306">
        <f t="shared" si="64"/>
        <v>616.86929201720056</v>
      </c>
    </row>
    <row r="1307" spans="1:6" x14ac:dyDescent="0.25">
      <c r="A1307">
        <v>-379.3045437894225</v>
      </c>
      <c r="B1307">
        <v>-170.05242359989413</v>
      </c>
      <c r="C1307">
        <v>1015.8181119999999</v>
      </c>
      <c r="E1307">
        <f t="shared" si="63"/>
        <v>379.30454378942261</v>
      </c>
      <c r="F1307">
        <f t="shared" si="64"/>
        <v>598.04665356262331</v>
      </c>
    </row>
    <row r="1308" spans="1:6" x14ac:dyDescent="0.25">
      <c r="A1308">
        <v>-336.04443444420815</v>
      </c>
      <c r="B1308">
        <v>-202.42335381636781</v>
      </c>
      <c r="C1308">
        <v>1015.8181119999999</v>
      </c>
      <c r="E1308">
        <f t="shared" si="63"/>
        <v>336.04443444420826</v>
      </c>
      <c r="F1308">
        <f t="shared" si="64"/>
        <v>575.1569492932382</v>
      </c>
    </row>
    <row r="1309" spans="1:6" x14ac:dyDescent="0.25">
      <c r="A1309">
        <v>-283.12102200712678</v>
      </c>
      <c r="B1309">
        <v>-235.95598073102127</v>
      </c>
      <c r="C1309">
        <v>1015.8181119999999</v>
      </c>
      <c r="E1309">
        <f t="shared" si="63"/>
        <v>283.1210220071269</v>
      </c>
      <c r="F1309">
        <f t="shared" si="64"/>
        <v>551.44580141088818</v>
      </c>
    </row>
    <row r="1310" spans="1:6" x14ac:dyDescent="0.25">
      <c r="A1310">
        <v>-233.48218006658149</v>
      </c>
      <c r="B1310">
        <v>-262.26757727713948</v>
      </c>
      <c r="C1310">
        <v>1015.8181119999999</v>
      </c>
      <c r="E1310">
        <f t="shared" si="63"/>
        <v>233.48218006658161</v>
      </c>
      <c r="F1310">
        <f t="shared" si="64"/>
        <v>532.84069306928347</v>
      </c>
    </row>
    <row r="1311" spans="1:6" x14ac:dyDescent="0.25">
      <c r="A1311">
        <v>-184.28937072654148</v>
      </c>
      <c r="B1311">
        <v>-283.63709061165201</v>
      </c>
      <c r="C1311">
        <v>1015.8181119999999</v>
      </c>
      <c r="E1311">
        <f t="shared" si="63"/>
        <v>184.28937072654159</v>
      </c>
      <c r="F1311">
        <f t="shared" si="64"/>
        <v>517.73016527979337</v>
      </c>
    </row>
    <row r="1312" spans="1:6" x14ac:dyDescent="0.25">
      <c r="A1312">
        <v>-137.00623713105614</v>
      </c>
      <c r="B1312">
        <v>-300.30381137733895</v>
      </c>
      <c r="C1312">
        <v>1015.8181119999999</v>
      </c>
      <c r="E1312">
        <f t="shared" si="63"/>
        <v>137.00623713105625</v>
      </c>
      <c r="F1312">
        <f t="shared" si="64"/>
        <v>505.94501400623346</v>
      </c>
    </row>
    <row r="1313" spans="1:6" x14ac:dyDescent="0.25">
      <c r="A1313">
        <v>-90.358261600076005</v>
      </c>
      <c r="B1313">
        <v>-313.06454184646861</v>
      </c>
      <c r="C1313">
        <v>1015.8181119999999</v>
      </c>
      <c r="E1313">
        <f t="shared" si="63"/>
        <v>90.358261600076133</v>
      </c>
      <c r="F1313">
        <f t="shared" si="64"/>
        <v>496.92181495861814</v>
      </c>
    </row>
    <row r="1314" spans="1:6" x14ac:dyDescent="0.25">
      <c r="A1314">
        <v>-43.309376165764327</v>
      </c>
      <c r="B1314">
        <v>-322.86041924315901</v>
      </c>
      <c r="C1314">
        <v>1015.8181119999999</v>
      </c>
      <c r="E1314">
        <f t="shared" si="63"/>
        <v>43.309376165764455</v>
      </c>
      <c r="F1314">
        <f t="shared" si="64"/>
        <v>489.99508362374627</v>
      </c>
    </row>
    <row r="1315" spans="1:6" x14ac:dyDescent="0.25">
      <c r="A1315">
        <v>6.3661042594105453E-14</v>
      </c>
      <c r="B1315">
        <v>-327.37523719908165</v>
      </c>
      <c r="C1315">
        <v>1015.8181119999999</v>
      </c>
      <c r="E1315">
        <f t="shared" si="63"/>
        <v>6.0791756444393682E-14</v>
      </c>
      <c r="F1315">
        <f t="shared" si="64"/>
        <v>486.80262523129062</v>
      </c>
    </row>
    <row r="1316" spans="1:6" x14ac:dyDescent="0.25">
      <c r="A1316">
        <v>43.309376165764242</v>
      </c>
      <c r="B1316">
        <v>-322.86041924315901</v>
      </c>
      <c r="C1316">
        <v>1015.8181119999999</v>
      </c>
      <c r="E1316">
        <f t="shared" si="63"/>
        <v>-43.309376165764114</v>
      </c>
      <c r="F1316">
        <f t="shared" si="64"/>
        <v>489.99508362374627</v>
      </c>
    </row>
    <row r="1317" spans="1:6" x14ac:dyDescent="0.25">
      <c r="A1317">
        <v>90.358261600076034</v>
      </c>
      <c r="B1317">
        <v>-313.0645418464685</v>
      </c>
      <c r="C1317">
        <v>1015.8181119999999</v>
      </c>
      <c r="E1317">
        <f t="shared" si="63"/>
        <v>-90.358261600075906</v>
      </c>
      <c r="F1317">
        <f t="shared" si="64"/>
        <v>496.9218149586182</v>
      </c>
    </row>
    <row r="1318" spans="1:6" x14ac:dyDescent="0.25">
      <c r="A1318">
        <v>137.00623713105608</v>
      </c>
      <c r="B1318">
        <v>-300.30381137733895</v>
      </c>
      <c r="C1318">
        <v>1015.8181119999999</v>
      </c>
      <c r="E1318">
        <f t="shared" si="63"/>
        <v>-137.00623713105597</v>
      </c>
      <c r="F1318">
        <f t="shared" si="64"/>
        <v>505.94501400623346</v>
      </c>
    </row>
    <row r="1319" spans="1:6" x14ac:dyDescent="0.25">
      <c r="A1319">
        <v>184.28937072654156</v>
      </c>
      <c r="B1319">
        <v>-283.63709061165184</v>
      </c>
      <c r="C1319">
        <v>1015.8181119999999</v>
      </c>
      <c r="E1319">
        <f t="shared" si="63"/>
        <v>-184.28937072654145</v>
      </c>
      <c r="F1319">
        <f t="shared" si="64"/>
        <v>517.73016527979348</v>
      </c>
    </row>
    <row r="1320" spans="1:6" x14ac:dyDescent="0.25">
      <c r="A1320">
        <v>233.48218006658149</v>
      </c>
      <c r="B1320">
        <v>-262.26757727713948</v>
      </c>
      <c r="C1320">
        <v>1015.8181119999999</v>
      </c>
      <c r="E1320">
        <f t="shared" si="63"/>
        <v>-233.48218006658138</v>
      </c>
      <c r="F1320">
        <f t="shared" si="64"/>
        <v>532.84069306928359</v>
      </c>
    </row>
    <row r="1321" spans="1:6" x14ac:dyDescent="0.25">
      <c r="A1321">
        <v>283.12102200712661</v>
      </c>
      <c r="B1321">
        <v>-235.9559807310213</v>
      </c>
      <c r="C1321">
        <v>1015.8181119999999</v>
      </c>
      <c r="E1321">
        <f t="shared" si="63"/>
        <v>-283.1210220071265</v>
      </c>
      <c r="F1321">
        <f t="shared" si="64"/>
        <v>551.44580141088829</v>
      </c>
    </row>
    <row r="1322" spans="1:6" x14ac:dyDescent="0.25">
      <c r="A1322">
        <v>336.04443444420815</v>
      </c>
      <c r="B1322">
        <v>-202.42335381636809</v>
      </c>
      <c r="C1322">
        <v>1015.8181119999999</v>
      </c>
      <c r="E1322">
        <f t="shared" si="63"/>
        <v>-336.04443444420804</v>
      </c>
      <c r="F1322">
        <f t="shared" si="64"/>
        <v>575.15694929323809</v>
      </c>
    </row>
    <row r="1323" spans="1:6" x14ac:dyDescent="0.25">
      <c r="A1323">
        <v>379.30454378942261</v>
      </c>
      <c r="B1323">
        <v>-170.05242359989381</v>
      </c>
      <c r="C1323">
        <v>1015.8181119999999</v>
      </c>
      <c r="E1323">
        <f t="shared" si="63"/>
        <v>-379.3045437894225</v>
      </c>
      <c r="F1323">
        <f t="shared" si="64"/>
        <v>598.04665356262353</v>
      </c>
    </row>
    <row r="1324" spans="1:6" x14ac:dyDescent="0.25">
      <c r="A1324">
        <v>409.82588386278036</v>
      </c>
      <c r="B1324">
        <v>-143.43319301778558</v>
      </c>
      <c r="C1324">
        <v>1015.8181119999999</v>
      </c>
      <c r="E1324">
        <f t="shared" si="63"/>
        <v>-409.82588386278024</v>
      </c>
      <c r="F1324">
        <f t="shared" si="64"/>
        <v>616.86929201720068</v>
      </c>
    </row>
    <row r="1325" spans="1:6" x14ac:dyDescent="0.25">
      <c r="A1325">
        <v>432.37943949981798</v>
      </c>
      <c r="B1325">
        <v>-120.78560718494708</v>
      </c>
      <c r="C1325">
        <v>1015.8181119999999</v>
      </c>
      <c r="E1325">
        <f t="shared" si="63"/>
        <v>-432.37943949981786</v>
      </c>
      <c r="F1325">
        <f t="shared" si="64"/>
        <v>632.88355353710517</v>
      </c>
    </row>
    <row r="1326" spans="1:6" x14ac:dyDescent="0.25">
      <c r="A1326">
        <v>449.6870902732818</v>
      </c>
      <c r="B1326">
        <v>-100.95720260891245</v>
      </c>
      <c r="C1326">
        <v>1015.8181119999999</v>
      </c>
      <c r="E1326">
        <f t="shared" si="63"/>
        <v>-449.68709027328168</v>
      </c>
      <c r="F1326">
        <f t="shared" si="64"/>
        <v>646.90435287292962</v>
      </c>
    </row>
    <row r="1327" spans="1:6" x14ac:dyDescent="0.25">
      <c r="A1327">
        <v>461.7008536612388</v>
      </c>
      <c r="B1327">
        <v>-84.524820999115548</v>
      </c>
      <c r="C1327">
        <v>1015.8181119999999</v>
      </c>
      <c r="E1327">
        <f t="shared" si="63"/>
        <v>-461.70085366123868</v>
      </c>
      <c r="F1327">
        <f t="shared" si="64"/>
        <v>658.52380134026214</v>
      </c>
    </row>
    <row r="1328" spans="1:6" x14ac:dyDescent="0.25">
      <c r="A1328">
        <v>471.58723401976488</v>
      </c>
      <c r="B1328">
        <v>-69.646009839876939</v>
      </c>
      <c r="C1328">
        <v>1015.8181119999999</v>
      </c>
      <c r="E1328">
        <f t="shared" si="63"/>
        <v>-471.58723401976476</v>
      </c>
      <c r="F1328">
        <f t="shared" si="64"/>
        <v>669.0447096069538</v>
      </c>
    </row>
    <row r="1329" spans="1:6" x14ac:dyDescent="0.25">
      <c r="A1329">
        <v>480.15237190642944</v>
      </c>
      <c r="B1329">
        <v>-54.341454353102002</v>
      </c>
      <c r="C1329">
        <v>1015.8181119999999</v>
      </c>
      <c r="E1329">
        <f t="shared" si="63"/>
        <v>-480.15237190642932</v>
      </c>
      <c r="F1329">
        <f t="shared" si="64"/>
        <v>679.86666457469812</v>
      </c>
    </row>
    <row r="1330" spans="1:6" x14ac:dyDescent="0.25">
      <c r="A1330">
        <v>486.67519900630293</v>
      </c>
      <c r="B1330">
        <v>-40.034960334530723</v>
      </c>
      <c r="C1330">
        <v>1015.8181119999999</v>
      </c>
      <c r="E1330">
        <f t="shared" si="63"/>
        <v>-486.67519900630282</v>
      </c>
      <c r="F1330">
        <f t="shared" si="64"/>
        <v>689.98288351023473</v>
      </c>
    </row>
    <row r="1331" spans="1:6" x14ac:dyDescent="0.25">
      <c r="A1331">
        <v>491.22773191891304</v>
      </c>
      <c r="B1331">
        <v>-26.557851214435654</v>
      </c>
      <c r="C1331">
        <v>1015.8181119999999</v>
      </c>
      <c r="E1331">
        <f t="shared" si="63"/>
        <v>-491.22773191891292</v>
      </c>
      <c r="F1331">
        <f t="shared" si="64"/>
        <v>699.512638759845</v>
      </c>
    </row>
    <row r="1332" spans="1:6" x14ac:dyDescent="0.25">
      <c r="A1332">
        <v>494.81524110857583</v>
      </c>
      <c r="B1332">
        <v>-13.289841058720611</v>
      </c>
      <c r="C1332">
        <v>1015.8181119999999</v>
      </c>
      <c r="E1332">
        <f t="shared" si="63"/>
        <v>-494.81524110857572</v>
      </c>
      <c r="F1332">
        <f t="shared" si="64"/>
        <v>708.89453871380306</v>
      </c>
    </row>
    <row r="1333" spans="1:6" x14ac:dyDescent="0.25">
      <c r="A1333">
        <v>497.57759196451099</v>
      </c>
      <c r="B1333">
        <v>0</v>
      </c>
      <c r="C1333">
        <v>1015.8181119999999</v>
      </c>
      <c r="E1333">
        <f t="shared" si="63"/>
        <v>-497.57759196451087</v>
      </c>
      <c r="F1333">
        <f t="shared" si="64"/>
        <v>718.29187544731576</v>
      </c>
    </row>
    <row r="1334" spans="1:6" x14ac:dyDescent="0.25">
      <c r="A1334">
        <v>494.815241108576</v>
      </c>
      <c r="B1334">
        <v>13.289841058720619</v>
      </c>
      <c r="C1334">
        <v>1015.8181119999999</v>
      </c>
      <c r="E1334">
        <f t="shared" si="63"/>
        <v>-494.81524110857589</v>
      </c>
      <c r="F1334">
        <f t="shared" si="64"/>
        <v>727.68921218082858</v>
      </c>
    </row>
    <row r="1335" spans="1:6" x14ac:dyDescent="0.25">
      <c r="A1335">
        <v>491.22773191891321</v>
      </c>
      <c r="B1335">
        <v>26.557851214435587</v>
      </c>
      <c r="C1335">
        <v>1015.8181119999999</v>
      </c>
      <c r="E1335">
        <f t="shared" si="63"/>
        <v>-491.22773191891309</v>
      </c>
      <c r="F1335">
        <f t="shared" si="64"/>
        <v>737.07111213478663</v>
      </c>
    </row>
    <row r="1336" spans="1:6" x14ac:dyDescent="0.25">
      <c r="A1336">
        <v>486.67519900630293</v>
      </c>
      <c r="B1336">
        <v>40.034960334530794</v>
      </c>
      <c r="C1336">
        <v>1015.8181119999999</v>
      </c>
      <c r="E1336">
        <f t="shared" si="63"/>
        <v>-486.67519900630282</v>
      </c>
      <c r="F1336">
        <f t="shared" si="64"/>
        <v>746.60086738439702</v>
      </c>
    </row>
    <row r="1337" spans="1:6" x14ac:dyDescent="0.25">
      <c r="A1337">
        <v>480.15237190642944</v>
      </c>
      <c r="B1337">
        <v>54.341454353102002</v>
      </c>
      <c r="C1337">
        <v>1015.8181119999999</v>
      </c>
      <c r="E1337">
        <f t="shared" si="63"/>
        <v>-480.15237190642932</v>
      </c>
      <c r="F1337">
        <f t="shared" si="64"/>
        <v>756.71708631993351</v>
      </c>
    </row>
    <row r="1338" spans="1:6" x14ac:dyDescent="0.25">
      <c r="A1338">
        <v>471.58723401976482</v>
      </c>
      <c r="B1338">
        <v>69.646009839876939</v>
      </c>
      <c r="C1338">
        <v>1015.8181119999999</v>
      </c>
      <c r="E1338">
        <f t="shared" si="63"/>
        <v>-471.58723401976471</v>
      </c>
      <c r="F1338">
        <f t="shared" si="64"/>
        <v>767.53904128767783</v>
      </c>
    </row>
    <row r="1339" spans="1:6" x14ac:dyDescent="0.25">
      <c r="A1339">
        <v>461.70085366123874</v>
      </c>
      <c r="B1339">
        <v>84.524820999115406</v>
      </c>
      <c r="C1339">
        <v>1015.8181119999999</v>
      </c>
      <c r="E1339">
        <f t="shared" si="63"/>
        <v>-461.70085366123863</v>
      </c>
      <c r="F1339">
        <f t="shared" si="64"/>
        <v>778.05994955436938</v>
      </c>
    </row>
    <row r="1340" spans="1:6" x14ac:dyDescent="0.25">
      <c r="A1340">
        <v>449.6870902732818</v>
      </c>
      <c r="B1340">
        <v>100.95720260891243</v>
      </c>
      <c r="C1340">
        <v>1015.8181119999999</v>
      </c>
      <c r="E1340">
        <f t="shared" si="63"/>
        <v>-449.68709027328168</v>
      </c>
      <c r="F1340">
        <f t="shared" si="64"/>
        <v>789.67939802170201</v>
      </c>
    </row>
    <row r="1341" spans="1:6" x14ac:dyDescent="0.25">
      <c r="A1341">
        <v>432.37943949981803</v>
      </c>
      <c r="B1341">
        <v>120.78560718494715</v>
      </c>
      <c r="C1341">
        <v>1015.8181119999999</v>
      </c>
      <c r="E1341">
        <f t="shared" si="63"/>
        <v>-432.37943949981792</v>
      </c>
      <c r="F1341">
        <f t="shared" si="64"/>
        <v>803.70019735752658</v>
      </c>
    </row>
    <row r="1342" spans="1:6" x14ac:dyDescent="0.25">
      <c r="A1342">
        <v>409.82588386278036</v>
      </c>
      <c r="B1342">
        <v>143.43319301778558</v>
      </c>
      <c r="C1342">
        <v>1015.8181119999999</v>
      </c>
      <c r="E1342">
        <f t="shared" si="63"/>
        <v>-409.82588386278024</v>
      </c>
      <c r="F1342">
        <f t="shared" si="64"/>
        <v>819.71445887743096</v>
      </c>
    </row>
    <row r="1343" spans="1:6" x14ac:dyDescent="0.25">
      <c r="A1343">
        <v>379.30454378942267</v>
      </c>
      <c r="B1343">
        <v>170.05242359989387</v>
      </c>
      <c r="C1343">
        <v>1015.8181119999999</v>
      </c>
      <c r="E1343">
        <f t="shared" si="63"/>
        <v>-379.30454378942255</v>
      </c>
      <c r="F1343">
        <f t="shared" si="64"/>
        <v>838.53709733200799</v>
      </c>
    </row>
    <row r="1344" spans="1:6" x14ac:dyDescent="0.25">
      <c r="A1344">
        <v>336.04443444420832</v>
      </c>
      <c r="B1344">
        <v>202.42335381636778</v>
      </c>
      <c r="C1344">
        <v>1015.8181119999999</v>
      </c>
      <c r="E1344">
        <f t="shared" si="63"/>
        <v>-336.04443444420821</v>
      </c>
      <c r="F1344">
        <f t="shared" si="64"/>
        <v>861.42680160139321</v>
      </c>
    </row>
    <row r="1345" spans="1:6" x14ac:dyDescent="0.25">
      <c r="A1345">
        <v>283.12102200712701</v>
      </c>
      <c r="B1345">
        <v>235.95598073102127</v>
      </c>
      <c r="C1345">
        <v>1015.8181119999999</v>
      </c>
      <c r="E1345">
        <f t="shared" si="63"/>
        <v>-283.1210220071269</v>
      </c>
      <c r="F1345">
        <f t="shared" si="64"/>
        <v>885.13794948374334</v>
      </c>
    </row>
    <row r="1346" spans="1:6" x14ac:dyDescent="0.25">
      <c r="A1346">
        <v>233.4821800665818</v>
      </c>
      <c r="B1346">
        <v>262.26757727713942</v>
      </c>
      <c r="C1346">
        <v>1015.8181119999999</v>
      </c>
      <c r="E1346">
        <f t="shared" si="63"/>
        <v>-233.48218006658169</v>
      </c>
      <c r="F1346">
        <f t="shared" si="64"/>
        <v>903.74305782534793</v>
      </c>
    </row>
    <row r="1347" spans="1:6" x14ac:dyDescent="0.25">
      <c r="A1347">
        <v>184.28937072654173</v>
      </c>
      <c r="B1347">
        <v>283.63709061165184</v>
      </c>
      <c r="C1347">
        <v>1015.8181119999999</v>
      </c>
      <c r="E1347">
        <f t="shared" si="63"/>
        <v>-184.28937072654162</v>
      </c>
      <c r="F1347">
        <f t="shared" si="64"/>
        <v>918.85358561483804</v>
      </c>
    </row>
    <row r="1348" spans="1:6" x14ac:dyDescent="0.25">
      <c r="A1348">
        <v>137.00623713105603</v>
      </c>
      <c r="B1348">
        <v>300.30381137733895</v>
      </c>
      <c r="C1348">
        <v>1015.8181119999999</v>
      </c>
      <c r="E1348">
        <f t="shared" si="63"/>
        <v>-137.00623713105591</v>
      </c>
      <c r="F1348">
        <f t="shared" si="64"/>
        <v>930.63873688839806</v>
      </c>
    </row>
    <row r="1349" spans="1:6" x14ac:dyDescent="0.25">
      <c r="A1349">
        <v>90.35826160007592</v>
      </c>
      <c r="B1349">
        <v>313.06454184646867</v>
      </c>
      <c r="C1349">
        <v>1015.8181119999999</v>
      </c>
      <c r="E1349">
        <f t="shared" si="63"/>
        <v>-90.358261600075792</v>
      </c>
      <c r="F1349">
        <f t="shared" si="64"/>
        <v>939.66193593601338</v>
      </c>
    </row>
    <row r="1350" spans="1:6" x14ac:dyDescent="0.25">
      <c r="A1350">
        <v>43.309376165764228</v>
      </c>
      <c r="B1350">
        <v>322.86041924315901</v>
      </c>
      <c r="C1350">
        <v>1015.8181119999999</v>
      </c>
      <c r="E1350">
        <f t="shared" si="63"/>
        <v>-43.3093761657641</v>
      </c>
      <c r="F1350">
        <f t="shared" si="64"/>
        <v>946.58866727088525</v>
      </c>
    </row>
    <row r="1351" spans="1:6" x14ac:dyDescent="0.25">
      <c r="A1351">
        <v>5.4270036103142811E-14</v>
      </c>
      <c r="B1351">
        <v>327.37523719908165</v>
      </c>
      <c r="C1351">
        <v>1015.8181119999999</v>
      </c>
      <c r="E1351">
        <f t="shared" si="63"/>
        <v>7.0182762935356318E-14</v>
      </c>
      <c r="F1351">
        <f t="shared" si="64"/>
        <v>949.78112566334084</v>
      </c>
    </row>
    <row r="1352" spans="1:6" x14ac:dyDescent="0.25">
      <c r="A1352">
        <v>-43.30937616576427</v>
      </c>
      <c r="B1352">
        <v>322.86041924315907</v>
      </c>
      <c r="C1352">
        <v>1015.8181119999999</v>
      </c>
      <c r="E1352">
        <f t="shared" si="63"/>
        <v>43.309376165764398</v>
      </c>
      <c r="F1352">
        <f t="shared" si="64"/>
        <v>946.58866727088525</v>
      </c>
    </row>
    <row r="1353" spans="1:6" x14ac:dyDescent="0.25">
      <c r="A1353">
        <v>-90.35826160007592</v>
      </c>
      <c r="B1353">
        <v>313.06454184646867</v>
      </c>
      <c r="C1353">
        <v>1015.8181119999999</v>
      </c>
      <c r="E1353">
        <f t="shared" si="63"/>
        <v>90.358261600076048</v>
      </c>
      <c r="F1353">
        <f t="shared" si="64"/>
        <v>939.66193593601338</v>
      </c>
    </row>
    <row r="1354" spans="1:6" x14ac:dyDescent="0.25">
      <c r="A1354">
        <v>-137.00623713105594</v>
      </c>
      <c r="B1354">
        <v>300.30381137733895</v>
      </c>
      <c r="C1354">
        <v>1015.8181119999999</v>
      </c>
      <c r="E1354">
        <f t="shared" si="63"/>
        <v>137.00623713105605</v>
      </c>
      <c r="F1354">
        <f t="shared" si="64"/>
        <v>930.63873688839806</v>
      </c>
    </row>
    <row r="1355" spans="1:6" x14ac:dyDescent="0.25">
      <c r="A1355">
        <v>-184.28937072654122</v>
      </c>
      <c r="B1355">
        <v>283.63709061165196</v>
      </c>
      <c r="C1355">
        <v>1015.8181119999999</v>
      </c>
      <c r="E1355">
        <f t="shared" si="63"/>
        <v>184.28937072654134</v>
      </c>
      <c r="F1355">
        <f t="shared" si="64"/>
        <v>918.85358561483804</v>
      </c>
    </row>
    <row r="1356" spans="1:6" x14ac:dyDescent="0.25">
      <c r="A1356">
        <v>-233.48218006658107</v>
      </c>
      <c r="B1356">
        <v>262.26757727713959</v>
      </c>
      <c r="C1356">
        <v>1015.8181119999999</v>
      </c>
      <c r="E1356">
        <f t="shared" si="63"/>
        <v>233.48218006658118</v>
      </c>
      <c r="F1356">
        <f t="shared" si="64"/>
        <v>903.74305782534805</v>
      </c>
    </row>
    <row r="1357" spans="1:6" x14ac:dyDescent="0.25">
      <c r="A1357">
        <v>-283.12102200712678</v>
      </c>
      <c r="B1357">
        <v>235.95598073102127</v>
      </c>
      <c r="C1357">
        <v>1015.8181119999999</v>
      </c>
      <c r="E1357">
        <f t="shared" si="63"/>
        <v>283.1210220071269</v>
      </c>
      <c r="F1357">
        <f t="shared" si="64"/>
        <v>885.13794948374323</v>
      </c>
    </row>
    <row r="1358" spans="1:6" x14ac:dyDescent="0.25">
      <c r="A1358">
        <v>-336.04443444420798</v>
      </c>
      <c r="B1358">
        <v>202.42335381636784</v>
      </c>
      <c r="C1358">
        <v>1015.8181119999999</v>
      </c>
      <c r="E1358">
        <f t="shared" si="63"/>
        <v>336.04443444420809</v>
      </c>
      <c r="F1358">
        <f t="shared" si="64"/>
        <v>861.42680160139321</v>
      </c>
    </row>
    <row r="1359" spans="1:6" x14ac:dyDescent="0.25">
      <c r="A1359">
        <v>-379.3045437894225</v>
      </c>
      <c r="B1359">
        <v>170.05242359989398</v>
      </c>
      <c r="C1359">
        <v>1015.8181119999999</v>
      </c>
      <c r="E1359">
        <f t="shared" si="63"/>
        <v>379.30454378942261</v>
      </c>
      <c r="F1359">
        <f t="shared" si="64"/>
        <v>838.5370973320081</v>
      </c>
    </row>
    <row r="1360" spans="1:6" x14ac:dyDescent="0.25">
      <c r="A1360">
        <v>-409.82588386278013</v>
      </c>
      <c r="B1360">
        <v>143.43319301778547</v>
      </c>
      <c r="C1360">
        <v>1015.8181119999999</v>
      </c>
      <c r="E1360">
        <f t="shared" si="63"/>
        <v>409.82588386278024</v>
      </c>
      <c r="F1360">
        <f t="shared" si="64"/>
        <v>819.71445887743084</v>
      </c>
    </row>
    <row r="1361" spans="1:6" x14ac:dyDescent="0.25">
      <c r="A1361">
        <v>-432.37943949981792</v>
      </c>
      <c r="B1361">
        <v>120.78560718494715</v>
      </c>
      <c r="C1361">
        <v>1015.8181119999999</v>
      </c>
      <c r="E1361">
        <f t="shared" si="63"/>
        <v>432.37943949981803</v>
      </c>
      <c r="F1361">
        <f t="shared" si="64"/>
        <v>803.70019735752646</v>
      </c>
    </row>
    <row r="1362" spans="1:6" x14ac:dyDescent="0.25">
      <c r="A1362">
        <v>-449.68709027328174</v>
      </c>
      <c r="B1362">
        <v>100.95720260891257</v>
      </c>
      <c r="C1362">
        <v>1015.8181119999999</v>
      </c>
      <c r="E1362">
        <f t="shared" si="63"/>
        <v>449.68709027328185</v>
      </c>
      <c r="F1362">
        <f t="shared" si="64"/>
        <v>789.67939802170201</v>
      </c>
    </row>
    <row r="1363" spans="1:6" x14ac:dyDescent="0.25">
      <c r="A1363">
        <v>-461.70085366123885</v>
      </c>
      <c r="B1363">
        <v>84.52482099911569</v>
      </c>
      <c r="C1363">
        <v>1015.8181119999999</v>
      </c>
      <c r="E1363">
        <f t="shared" si="63"/>
        <v>461.70085366123897</v>
      </c>
      <c r="F1363">
        <f t="shared" si="64"/>
        <v>778.0599495543695</v>
      </c>
    </row>
    <row r="1364" spans="1:6" x14ac:dyDescent="0.25">
      <c r="A1364">
        <v>-471.58723401976511</v>
      </c>
      <c r="B1364">
        <v>69.646009839877109</v>
      </c>
      <c r="C1364">
        <v>1015.8181119999999</v>
      </c>
      <c r="E1364">
        <f t="shared" ref="E1364:E1427" si="65">($I$2*A1364)+($K$2*B1364)+($M$2*C1364)</f>
        <v>471.58723401976522</v>
      </c>
      <c r="F1364">
        <f t="shared" ref="F1364:F1427" si="66">($J$2*A1364)+($L$2*B1364)+($N$2*C1364)</f>
        <v>767.53904128767783</v>
      </c>
    </row>
    <row r="1365" spans="1:6" x14ac:dyDescent="0.25">
      <c r="A1365">
        <v>-480.15237190642972</v>
      </c>
      <c r="B1365">
        <v>54.341454353102229</v>
      </c>
      <c r="C1365">
        <v>1015.8181119999999</v>
      </c>
      <c r="E1365">
        <f t="shared" si="65"/>
        <v>480.15237190642983</v>
      </c>
      <c r="F1365">
        <f t="shared" si="66"/>
        <v>756.71708631993351</v>
      </c>
    </row>
    <row r="1366" spans="1:6" x14ac:dyDescent="0.25">
      <c r="A1366">
        <v>-486.67519900630305</v>
      </c>
      <c r="B1366">
        <v>40.034960334530794</v>
      </c>
      <c r="C1366">
        <v>1015.8181119999999</v>
      </c>
      <c r="E1366">
        <f t="shared" si="65"/>
        <v>486.67519900630316</v>
      </c>
      <c r="F1366">
        <f t="shared" si="66"/>
        <v>746.60086738439691</v>
      </c>
    </row>
    <row r="1367" spans="1:6" x14ac:dyDescent="0.25">
      <c r="A1367">
        <v>-491.22773191891304</v>
      </c>
      <c r="B1367">
        <v>26.557851214435551</v>
      </c>
      <c r="C1367">
        <v>1015.8181119999999</v>
      </c>
      <c r="E1367">
        <f t="shared" si="65"/>
        <v>491.22773191891315</v>
      </c>
      <c r="F1367">
        <f t="shared" si="66"/>
        <v>737.07111213478652</v>
      </c>
    </row>
    <row r="1368" spans="1:6" x14ac:dyDescent="0.25">
      <c r="A1368">
        <v>-484.95286787801371</v>
      </c>
      <c r="B1368">
        <v>-5.1620160045556637E-14</v>
      </c>
      <c r="C1368">
        <v>1095.896896</v>
      </c>
      <c r="E1368">
        <f t="shared" si="65"/>
        <v>484.95286787801382</v>
      </c>
      <c r="F1368">
        <f t="shared" si="66"/>
        <v>774.91612664288846</v>
      </c>
    </row>
    <row r="1369" spans="1:6" x14ac:dyDescent="0.25">
      <c r="A1369">
        <v>-482.69796591742892</v>
      </c>
      <c r="B1369">
        <v>-13.143162803789011</v>
      </c>
      <c r="C1369">
        <v>1095.896896</v>
      </c>
      <c r="E1369">
        <f t="shared" si="65"/>
        <v>482.69796591742903</v>
      </c>
      <c r="F1369">
        <f t="shared" si="66"/>
        <v>765.62250709809052</v>
      </c>
    </row>
    <row r="1370" spans="1:6" x14ac:dyDescent="0.25">
      <c r="A1370">
        <v>-479.58013087134634</v>
      </c>
      <c r="B1370">
        <v>-26.286901827385392</v>
      </c>
      <c r="C1370">
        <v>1095.896896</v>
      </c>
      <c r="E1370">
        <f t="shared" si="65"/>
        <v>479.58013087134646</v>
      </c>
      <c r="F1370">
        <f t="shared" si="66"/>
        <v>756.3284801043593</v>
      </c>
    </row>
    <row r="1371" spans="1:6" x14ac:dyDescent="0.25">
      <c r="A1371">
        <v>-475.46981363536213</v>
      </c>
      <c r="B1371">
        <v>-39.657278496834003</v>
      </c>
      <c r="C1371">
        <v>1095.896896</v>
      </c>
      <c r="E1371">
        <f t="shared" si="65"/>
        <v>475.46981363536224</v>
      </c>
      <c r="F1371">
        <f t="shared" si="66"/>
        <v>746.8741960943737</v>
      </c>
    </row>
    <row r="1372" spans="1:6" x14ac:dyDescent="0.25">
      <c r="A1372">
        <v>-470.3903254116571</v>
      </c>
      <c r="B1372">
        <v>-52.083132388267401</v>
      </c>
      <c r="C1372">
        <v>1095.896896</v>
      </c>
      <c r="E1372">
        <f t="shared" si="65"/>
        <v>470.39032541165722</v>
      </c>
      <c r="F1372">
        <f t="shared" si="66"/>
        <v>738.08779054570789</v>
      </c>
    </row>
    <row r="1373" spans="1:6" x14ac:dyDescent="0.25">
      <c r="A1373">
        <v>-462.19836345510856</v>
      </c>
      <c r="B1373">
        <v>-67.282033426497492</v>
      </c>
      <c r="C1373">
        <v>1095.896896</v>
      </c>
      <c r="E1373">
        <f t="shared" si="65"/>
        <v>462.19836345510868</v>
      </c>
      <c r="F1373">
        <f t="shared" si="66"/>
        <v>727.34054455499222</v>
      </c>
    </row>
    <row r="1374" spans="1:6" x14ac:dyDescent="0.25">
      <c r="A1374">
        <v>-452.11441669677561</v>
      </c>
      <c r="B1374">
        <v>-83.53336953749232</v>
      </c>
      <c r="C1374">
        <v>1095.896896</v>
      </c>
      <c r="E1374">
        <f t="shared" si="65"/>
        <v>452.11441669677572</v>
      </c>
      <c r="F1374">
        <f t="shared" si="66"/>
        <v>715.84911458756596</v>
      </c>
    </row>
    <row r="1375" spans="1:6" x14ac:dyDescent="0.25">
      <c r="A1375">
        <v>-439.45730545580943</v>
      </c>
      <c r="B1375">
        <v>-101.26364019629013</v>
      </c>
      <c r="C1375">
        <v>1095.896896</v>
      </c>
      <c r="E1375">
        <f t="shared" si="65"/>
        <v>439.45730545580955</v>
      </c>
      <c r="F1375">
        <f t="shared" si="66"/>
        <v>703.31191997245708</v>
      </c>
    </row>
    <row r="1376" spans="1:6" x14ac:dyDescent="0.25">
      <c r="A1376">
        <v>-422.87933077286323</v>
      </c>
      <c r="B1376">
        <v>-121.03378955398888</v>
      </c>
      <c r="C1376">
        <v>1095.896896</v>
      </c>
      <c r="E1376">
        <f t="shared" si="65"/>
        <v>422.87933077286334</v>
      </c>
      <c r="F1376">
        <f t="shared" si="66"/>
        <v>689.33231329655746</v>
      </c>
    </row>
    <row r="1377" spans="1:6" x14ac:dyDescent="0.25">
      <c r="A1377">
        <v>-401.92105505596572</v>
      </c>
      <c r="B1377">
        <v>-142.25923256888606</v>
      </c>
      <c r="C1377">
        <v>1095.896896</v>
      </c>
      <c r="E1377">
        <f t="shared" si="65"/>
        <v>401.92105505596584</v>
      </c>
      <c r="F1377">
        <f t="shared" si="66"/>
        <v>674.32365860703499</v>
      </c>
    </row>
    <row r="1378" spans="1:6" x14ac:dyDescent="0.25">
      <c r="A1378">
        <v>-371.65121976713135</v>
      </c>
      <c r="B1378">
        <v>-168.84022999600558</v>
      </c>
      <c r="C1378">
        <v>1095.896896</v>
      </c>
      <c r="E1378">
        <f t="shared" si="65"/>
        <v>371.65121976713147</v>
      </c>
      <c r="F1378">
        <f t="shared" si="66"/>
        <v>655.52805507561663</v>
      </c>
    </row>
    <row r="1379" spans="1:6" x14ac:dyDescent="0.25">
      <c r="A1379">
        <v>-329.54843675487444</v>
      </c>
      <c r="B1379">
        <v>-200.5067571578715</v>
      </c>
      <c r="C1379">
        <v>1095.896896</v>
      </c>
      <c r="E1379">
        <f t="shared" si="65"/>
        <v>329.54843675487456</v>
      </c>
      <c r="F1379">
        <f t="shared" si="66"/>
        <v>633.13643898283328</v>
      </c>
    </row>
    <row r="1380" spans="1:6" x14ac:dyDescent="0.25">
      <c r="A1380">
        <v>-280.9311912628383</v>
      </c>
      <c r="B1380">
        <v>-231.04366431804385</v>
      </c>
      <c r="C1380">
        <v>1095.896896</v>
      </c>
      <c r="E1380">
        <f t="shared" si="65"/>
        <v>280.93119126283841</v>
      </c>
      <c r="F1380">
        <f t="shared" si="66"/>
        <v>611.5435848534114</v>
      </c>
    </row>
    <row r="1381" spans="1:6" x14ac:dyDescent="0.25">
      <c r="A1381">
        <v>-228.66948587493539</v>
      </c>
      <c r="B1381">
        <v>-258.4906591064144</v>
      </c>
      <c r="C1381">
        <v>1095.896896</v>
      </c>
      <c r="E1381">
        <f t="shared" si="65"/>
        <v>228.66948587493553</v>
      </c>
      <c r="F1381">
        <f t="shared" si="66"/>
        <v>592.13562871536271</v>
      </c>
    </row>
    <row r="1382" spans="1:6" x14ac:dyDescent="0.25">
      <c r="A1382">
        <v>-182.25509322475426</v>
      </c>
      <c r="B1382">
        <v>-278.54927101185012</v>
      </c>
      <c r="C1382">
        <v>1095.896896</v>
      </c>
      <c r="E1382">
        <f t="shared" si="65"/>
        <v>182.2550932247544</v>
      </c>
      <c r="F1382">
        <f t="shared" si="66"/>
        <v>577.95204821583991</v>
      </c>
    </row>
    <row r="1383" spans="1:6" x14ac:dyDescent="0.25">
      <c r="A1383">
        <v>-135.0019099793972</v>
      </c>
      <c r="B1383">
        <v>-294.71125461698608</v>
      </c>
      <c r="C1383">
        <v>1095.896896</v>
      </c>
      <c r="E1383">
        <f t="shared" si="65"/>
        <v>135.00190997939734</v>
      </c>
      <c r="F1383">
        <f t="shared" si="66"/>
        <v>566.52380001122242</v>
      </c>
    </row>
    <row r="1384" spans="1:6" x14ac:dyDescent="0.25">
      <c r="A1384">
        <v>-88.570718179411514</v>
      </c>
      <c r="B1384">
        <v>-307.02610360044213</v>
      </c>
      <c r="C1384">
        <v>1095.896896</v>
      </c>
      <c r="E1384">
        <f t="shared" si="65"/>
        <v>88.570718179411642</v>
      </c>
      <c r="F1384">
        <f t="shared" si="66"/>
        <v>557.81588678573246</v>
      </c>
    </row>
    <row r="1385" spans="1:6" x14ac:dyDescent="0.25">
      <c r="A1385">
        <v>-44.668496192157562</v>
      </c>
      <c r="B1385">
        <v>-315.55138890165841</v>
      </c>
      <c r="C1385">
        <v>1095.896896</v>
      </c>
      <c r="E1385">
        <f t="shared" si="65"/>
        <v>44.668496192157697</v>
      </c>
      <c r="F1385">
        <f t="shared" si="66"/>
        <v>551.7875997376924</v>
      </c>
    </row>
    <row r="1386" spans="1:6" x14ac:dyDescent="0.25">
      <c r="A1386">
        <v>8.5172762574573593E-14</v>
      </c>
      <c r="B1386">
        <v>-319.15676538421229</v>
      </c>
      <c r="C1386">
        <v>1095.896896</v>
      </c>
      <c r="E1386">
        <f t="shared" si="65"/>
        <v>4.9090876312781672E-14</v>
      </c>
      <c r="F1386">
        <f t="shared" si="66"/>
        <v>549.23821357814813</v>
      </c>
    </row>
    <row r="1387" spans="1:6" x14ac:dyDescent="0.25">
      <c r="A1387">
        <v>44.668496192157413</v>
      </c>
      <c r="B1387">
        <v>-315.55138890165841</v>
      </c>
      <c r="C1387">
        <v>1095.896896</v>
      </c>
      <c r="E1387">
        <f t="shared" si="65"/>
        <v>-44.668496192157278</v>
      </c>
      <c r="F1387">
        <f t="shared" si="66"/>
        <v>551.7875997376924</v>
      </c>
    </row>
    <row r="1388" spans="1:6" x14ac:dyDescent="0.25">
      <c r="A1388">
        <v>88.570718179411699</v>
      </c>
      <c r="B1388">
        <v>-307.02610360044201</v>
      </c>
      <c r="C1388">
        <v>1095.896896</v>
      </c>
      <c r="E1388">
        <f t="shared" si="65"/>
        <v>-88.570718179411571</v>
      </c>
      <c r="F1388">
        <f t="shared" si="66"/>
        <v>557.81588678573257</v>
      </c>
    </row>
    <row r="1389" spans="1:6" x14ac:dyDescent="0.25">
      <c r="A1389">
        <v>135.00190997939714</v>
      </c>
      <c r="B1389">
        <v>-294.71125461698625</v>
      </c>
      <c r="C1389">
        <v>1095.896896</v>
      </c>
      <c r="E1389">
        <f t="shared" si="65"/>
        <v>-135.001909979397</v>
      </c>
      <c r="F1389">
        <f t="shared" si="66"/>
        <v>566.52380001122242</v>
      </c>
    </row>
    <row r="1390" spans="1:6" x14ac:dyDescent="0.25">
      <c r="A1390">
        <v>182.25509322475432</v>
      </c>
      <c r="B1390">
        <v>-278.54927101184984</v>
      </c>
      <c r="C1390">
        <v>1095.896896</v>
      </c>
      <c r="E1390">
        <f t="shared" si="65"/>
        <v>-182.25509322475418</v>
      </c>
      <c r="F1390">
        <f t="shared" si="66"/>
        <v>577.95204821584014</v>
      </c>
    </row>
    <row r="1391" spans="1:6" x14ac:dyDescent="0.25">
      <c r="A1391">
        <v>228.66948587493545</v>
      </c>
      <c r="B1391">
        <v>-258.4906591064144</v>
      </c>
      <c r="C1391">
        <v>1095.896896</v>
      </c>
      <c r="E1391">
        <f t="shared" si="65"/>
        <v>-228.6694858749353</v>
      </c>
      <c r="F1391">
        <f t="shared" si="66"/>
        <v>592.13562871536283</v>
      </c>
    </row>
    <row r="1392" spans="1:6" x14ac:dyDescent="0.25">
      <c r="A1392">
        <v>280.93119126283813</v>
      </c>
      <c r="B1392">
        <v>-231.04366431804388</v>
      </c>
      <c r="C1392">
        <v>1095.896896</v>
      </c>
      <c r="E1392">
        <f t="shared" si="65"/>
        <v>-280.93119126283801</v>
      </c>
      <c r="F1392">
        <f t="shared" si="66"/>
        <v>611.5435848534114</v>
      </c>
    </row>
    <row r="1393" spans="1:6" x14ac:dyDescent="0.25">
      <c r="A1393">
        <v>329.54843675487456</v>
      </c>
      <c r="B1393">
        <v>-200.50675715787162</v>
      </c>
      <c r="C1393">
        <v>1095.896896</v>
      </c>
      <c r="E1393">
        <f t="shared" si="65"/>
        <v>-329.54843675487444</v>
      </c>
      <c r="F1393">
        <f t="shared" si="66"/>
        <v>633.13643898283328</v>
      </c>
    </row>
    <row r="1394" spans="1:6" x14ac:dyDescent="0.25">
      <c r="A1394">
        <v>371.65121976713152</v>
      </c>
      <c r="B1394">
        <v>-168.84022999600538</v>
      </c>
      <c r="C1394">
        <v>1095.896896</v>
      </c>
      <c r="E1394">
        <f t="shared" si="65"/>
        <v>-371.65121976713141</v>
      </c>
      <c r="F1394">
        <f t="shared" si="66"/>
        <v>655.52805507561686</v>
      </c>
    </row>
    <row r="1395" spans="1:6" x14ac:dyDescent="0.25">
      <c r="A1395">
        <v>401.92105505596595</v>
      </c>
      <c r="B1395">
        <v>-142.25923256888606</v>
      </c>
      <c r="C1395">
        <v>1095.896896</v>
      </c>
      <c r="E1395">
        <f t="shared" si="65"/>
        <v>-401.92105505596584</v>
      </c>
      <c r="F1395">
        <f t="shared" si="66"/>
        <v>674.3236586070351</v>
      </c>
    </row>
    <row r="1396" spans="1:6" x14ac:dyDescent="0.25">
      <c r="A1396">
        <v>422.87933077286328</v>
      </c>
      <c r="B1396">
        <v>-121.03378955398887</v>
      </c>
      <c r="C1396">
        <v>1095.896896</v>
      </c>
      <c r="E1396">
        <f t="shared" si="65"/>
        <v>-422.87933077286317</v>
      </c>
      <c r="F1396">
        <f t="shared" si="66"/>
        <v>689.33231329655757</v>
      </c>
    </row>
    <row r="1397" spans="1:6" x14ac:dyDescent="0.25">
      <c r="A1397">
        <v>439.45730545580955</v>
      </c>
      <c r="B1397">
        <v>-101.26364019629004</v>
      </c>
      <c r="C1397">
        <v>1095.896896</v>
      </c>
      <c r="E1397">
        <f t="shared" si="65"/>
        <v>-439.45730545580943</v>
      </c>
      <c r="F1397">
        <f t="shared" si="66"/>
        <v>703.3119199724573</v>
      </c>
    </row>
    <row r="1398" spans="1:6" x14ac:dyDescent="0.25">
      <c r="A1398">
        <v>452.11441669677538</v>
      </c>
      <c r="B1398">
        <v>-83.533369537492248</v>
      </c>
      <c r="C1398">
        <v>1095.896896</v>
      </c>
      <c r="E1398">
        <f t="shared" si="65"/>
        <v>-452.11441669677527</v>
      </c>
      <c r="F1398">
        <f t="shared" si="66"/>
        <v>715.84911458756608</v>
      </c>
    </row>
    <row r="1399" spans="1:6" x14ac:dyDescent="0.25">
      <c r="A1399">
        <v>462.19836345510834</v>
      </c>
      <c r="B1399">
        <v>-67.282033426497406</v>
      </c>
      <c r="C1399">
        <v>1095.896896</v>
      </c>
      <c r="E1399">
        <f t="shared" si="65"/>
        <v>-462.19836345510822</v>
      </c>
      <c r="F1399">
        <f t="shared" si="66"/>
        <v>727.34054455499233</v>
      </c>
    </row>
    <row r="1400" spans="1:6" x14ac:dyDescent="0.25">
      <c r="A1400">
        <v>470.39032541165687</v>
      </c>
      <c r="B1400">
        <v>-52.083132388267373</v>
      </c>
      <c r="C1400">
        <v>1095.896896</v>
      </c>
      <c r="E1400">
        <f t="shared" si="65"/>
        <v>-470.39032541165676</v>
      </c>
      <c r="F1400">
        <f t="shared" si="66"/>
        <v>738.087790545708</v>
      </c>
    </row>
    <row r="1401" spans="1:6" x14ac:dyDescent="0.25">
      <c r="A1401">
        <v>475.46981363536202</v>
      </c>
      <c r="B1401">
        <v>-39.657278496833968</v>
      </c>
      <c r="C1401">
        <v>1095.896896</v>
      </c>
      <c r="E1401">
        <f t="shared" si="65"/>
        <v>-475.4698136353619</v>
      </c>
      <c r="F1401">
        <f t="shared" si="66"/>
        <v>746.87419609437381</v>
      </c>
    </row>
    <row r="1402" spans="1:6" x14ac:dyDescent="0.25">
      <c r="A1402">
        <v>479.58013087134634</v>
      </c>
      <c r="B1402">
        <v>-26.286901827385503</v>
      </c>
      <c r="C1402">
        <v>1095.896896</v>
      </c>
      <c r="E1402">
        <f t="shared" si="65"/>
        <v>-479.58013087134623</v>
      </c>
      <c r="F1402">
        <f t="shared" si="66"/>
        <v>756.3284801043593</v>
      </c>
    </row>
    <row r="1403" spans="1:6" x14ac:dyDescent="0.25">
      <c r="A1403">
        <v>482.69796591742869</v>
      </c>
      <c r="B1403">
        <v>-13.143162803788945</v>
      </c>
      <c r="C1403">
        <v>1095.896896</v>
      </c>
      <c r="E1403">
        <f t="shared" si="65"/>
        <v>-482.69796591742858</v>
      </c>
      <c r="F1403">
        <f t="shared" si="66"/>
        <v>765.62250709809064</v>
      </c>
    </row>
    <row r="1404" spans="1:6" x14ac:dyDescent="0.25">
      <c r="A1404">
        <v>484.95286787801376</v>
      </c>
      <c r="B1404">
        <v>0</v>
      </c>
      <c r="C1404">
        <v>1095.896896</v>
      </c>
      <c r="E1404">
        <f t="shared" si="65"/>
        <v>-484.95286787801365</v>
      </c>
      <c r="F1404">
        <f t="shared" si="66"/>
        <v>774.91612664288857</v>
      </c>
    </row>
    <row r="1405" spans="1:6" x14ac:dyDescent="0.25">
      <c r="A1405">
        <v>482.69796591742875</v>
      </c>
      <c r="B1405">
        <v>13.143162803788956</v>
      </c>
      <c r="C1405">
        <v>1095.896896</v>
      </c>
      <c r="E1405">
        <f t="shared" si="65"/>
        <v>-482.69796591742863</v>
      </c>
      <c r="F1405">
        <f t="shared" si="66"/>
        <v>784.20974618768662</v>
      </c>
    </row>
    <row r="1406" spans="1:6" x14ac:dyDescent="0.25">
      <c r="A1406">
        <v>479.58013087134634</v>
      </c>
      <c r="B1406">
        <v>26.286901827385407</v>
      </c>
      <c r="C1406">
        <v>1095.896896</v>
      </c>
      <c r="E1406">
        <f t="shared" si="65"/>
        <v>-479.58013087134623</v>
      </c>
      <c r="F1406">
        <f t="shared" si="66"/>
        <v>793.50377318141784</v>
      </c>
    </row>
    <row r="1407" spans="1:6" x14ac:dyDescent="0.25">
      <c r="A1407">
        <v>475.46981363536202</v>
      </c>
      <c r="B1407">
        <v>39.657278496833946</v>
      </c>
      <c r="C1407">
        <v>1095.896896</v>
      </c>
      <c r="E1407">
        <f t="shared" si="65"/>
        <v>-475.4698136353619</v>
      </c>
      <c r="F1407">
        <f t="shared" si="66"/>
        <v>802.95805719140333</v>
      </c>
    </row>
    <row r="1408" spans="1:6" x14ac:dyDescent="0.25">
      <c r="A1408">
        <v>470.39032541165687</v>
      </c>
      <c r="B1408">
        <v>52.083132388267373</v>
      </c>
      <c r="C1408">
        <v>1095.896896</v>
      </c>
      <c r="E1408">
        <f t="shared" si="65"/>
        <v>-470.39032541165676</v>
      </c>
      <c r="F1408">
        <f t="shared" si="66"/>
        <v>811.74446274006914</v>
      </c>
    </row>
    <row r="1409" spans="1:6" x14ac:dyDescent="0.25">
      <c r="A1409">
        <v>462.19836345510834</v>
      </c>
      <c r="B1409">
        <v>67.282033426497406</v>
      </c>
      <c r="C1409">
        <v>1095.896896</v>
      </c>
      <c r="E1409">
        <f t="shared" si="65"/>
        <v>-462.19836345510822</v>
      </c>
      <c r="F1409">
        <f t="shared" si="66"/>
        <v>822.49170873078492</v>
      </c>
    </row>
    <row r="1410" spans="1:6" x14ac:dyDescent="0.25">
      <c r="A1410">
        <v>452.11441669677538</v>
      </c>
      <c r="B1410">
        <v>83.533369537492248</v>
      </c>
      <c r="C1410">
        <v>1095.896896</v>
      </c>
      <c r="E1410">
        <f t="shared" si="65"/>
        <v>-452.11441669677527</v>
      </c>
      <c r="F1410">
        <f t="shared" si="66"/>
        <v>833.98313869821118</v>
      </c>
    </row>
    <row r="1411" spans="1:6" x14ac:dyDescent="0.25">
      <c r="A1411">
        <v>439.45730545580949</v>
      </c>
      <c r="B1411">
        <v>101.26364019628988</v>
      </c>
      <c r="C1411">
        <v>1095.896896</v>
      </c>
      <c r="E1411">
        <f t="shared" si="65"/>
        <v>-439.45730545580938</v>
      </c>
      <c r="F1411">
        <f t="shared" si="66"/>
        <v>846.52033331331984</v>
      </c>
    </row>
    <row r="1412" spans="1:6" x14ac:dyDescent="0.25">
      <c r="A1412">
        <v>422.87933077286328</v>
      </c>
      <c r="B1412">
        <v>121.03378955398888</v>
      </c>
      <c r="C1412">
        <v>1095.896896</v>
      </c>
      <c r="E1412">
        <f t="shared" si="65"/>
        <v>-422.87933077286317</v>
      </c>
      <c r="F1412">
        <f t="shared" si="66"/>
        <v>860.49993998921968</v>
      </c>
    </row>
    <row r="1413" spans="1:6" x14ac:dyDescent="0.25">
      <c r="A1413">
        <v>401.92105505596595</v>
      </c>
      <c r="B1413">
        <v>142.25923256888601</v>
      </c>
      <c r="C1413">
        <v>1095.896896</v>
      </c>
      <c r="E1413">
        <f t="shared" si="65"/>
        <v>-401.92105505596584</v>
      </c>
      <c r="F1413">
        <f t="shared" si="66"/>
        <v>875.50859467874204</v>
      </c>
    </row>
    <row r="1414" spans="1:6" x14ac:dyDescent="0.25">
      <c r="A1414">
        <v>371.65121976713152</v>
      </c>
      <c r="B1414">
        <v>168.84022999600538</v>
      </c>
      <c r="C1414">
        <v>1095.896896</v>
      </c>
      <c r="E1414">
        <f t="shared" si="65"/>
        <v>-371.65121976713141</v>
      </c>
      <c r="F1414">
        <f t="shared" si="66"/>
        <v>894.30419821016039</v>
      </c>
    </row>
    <row r="1415" spans="1:6" x14ac:dyDescent="0.25">
      <c r="A1415">
        <v>329.54843675487467</v>
      </c>
      <c r="B1415">
        <v>200.50675715787148</v>
      </c>
      <c r="C1415">
        <v>1095.896896</v>
      </c>
      <c r="E1415">
        <f t="shared" si="65"/>
        <v>-329.54843675487456</v>
      </c>
      <c r="F1415">
        <f t="shared" si="66"/>
        <v>916.69581430294386</v>
      </c>
    </row>
    <row r="1416" spans="1:6" x14ac:dyDescent="0.25">
      <c r="A1416">
        <v>280.93119126283852</v>
      </c>
      <c r="B1416">
        <v>231.0436643180438</v>
      </c>
      <c r="C1416">
        <v>1095.896896</v>
      </c>
      <c r="E1416">
        <f t="shared" si="65"/>
        <v>-280.93119126283841</v>
      </c>
      <c r="F1416">
        <f t="shared" si="66"/>
        <v>938.28866843236574</v>
      </c>
    </row>
    <row r="1417" spans="1:6" x14ac:dyDescent="0.25">
      <c r="A1417">
        <v>228.66948587493576</v>
      </c>
      <c r="B1417">
        <v>258.4906591064144</v>
      </c>
      <c r="C1417">
        <v>1095.896896</v>
      </c>
      <c r="E1417">
        <f t="shared" si="65"/>
        <v>-228.66948587493562</v>
      </c>
      <c r="F1417">
        <f t="shared" si="66"/>
        <v>957.69662457041443</v>
      </c>
    </row>
    <row r="1418" spans="1:6" x14ac:dyDescent="0.25">
      <c r="A1418">
        <v>182.2550932247546</v>
      </c>
      <c r="B1418">
        <v>278.5492710118499</v>
      </c>
      <c r="C1418">
        <v>1095.896896</v>
      </c>
      <c r="E1418">
        <f t="shared" si="65"/>
        <v>-182.25509322475446</v>
      </c>
      <c r="F1418">
        <f t="shared" si="66"/>
        <v>971.88020506993712</v>
      </c>
    </row>
    <row r="1419" spans="1:6" x14ac:dyDescent="0.25">
      <c r="A1419">
        <v>135.001909979397</v>
      </c>
      <c r="B1419">
        <v>294.71125461698608</v>
      </c>
      <c r="C1419">
        <v>1095.896896</v>
      </c>
      <c r="E1419">
        <f t="shared" si="65"/>
        <v>-135.00190997939686</v>
      </c>
      <c r="F1419">
        <f t="shared" si="66"/>
        <v>983.30845327455472</v>
      </c>
    </row>
    <row r="1420" spans="1:6" x14ac:dyDescent="0.25">
      <c r="A1420">
        <v>88.570718179411557</v>
      </c>
      <c r="B1420">
        <v>307.02610360044224</v>
      </c>
      <c r="C1420">
        <v>1095.896896</v>
      </c>
      <c r="E1420">
        <f t="shared" si="65"/>
        <v>-88.570718179411429</v>
      </c>
      <c r="F1420">
        <f t="shared" si="66"/>
        <v>992.0163665000448</v>
      </c>
    </row>
    <row r="1421" spans="1:6" x14ac:dyDescent="0.25">
      <c r="A1421">
        <v>44.668496192157406</v>
      </c>
      <c r="B1421">
        <v>315.55138890165841</v>
      </c>
      <c r="C1421">
        <v>1095.896896</v>
      </c>
      <c r="E1421">
        <f t="shared" si="65"/>
        <v>-44.668496192157271</v>
      </c>
      <c r="F1421">
        <f t="shared" si="66"/>
        <v>998.04465354808474</v>
      </c>
    </row>
    <row r="1422" spans="1:6" x14ac:dyDescent="0.25">
      <c r="A1422">
        <v>6.9623719040356752E-14</v>
      </c>
      <c r="B1422">
        <v>319.15676538421224</v>
      </c>
      <c r="C1422">
        <v>1095.896896</v>
      </c>
      <c r="E1422">
        <f t="shared" si="65"/>
        <v>6.4639919846998513E-14</v>
      </c>
      <c r="F1422">
        <f t="shared" si="66"/>
        <v>1000.594039707629</v>
      </c>
    </row>
    <row r="1423" spans="1:6" x14ac:dyDescent="0.25">
      <c r="A1423">
        <v>-44.66849619215737</v>
      </c>
      <c r="B1423">
        <v>315.55138890165841</v>
      </c>
      <c r="C1423">
        <v>1095.896896</v>
      </c>
      <c r="E1423">
        <f t="shared" si="65"/>
        <v>44.668496192157505</v>
      </c>
      <c r="F1423">
        <f t="shared" si="66"/>
        <v>998.04465354808474</v>
      </c>
    </row>
    <row r="1424" spans="1:6" x14ac:dyDescent="0.25">
      <c r="A1424">
        <v>-88.570718179411443</v>
      </c>
      <c r="B1424">
        <v>307.02610360044224</v>
      </c>
      <c r="C1424">
        <v>1095.896896</v>
      </c>
      <c r="E1424">
        <f t="shared" si="65"/>
        <v>88.570718179411571</v>
      </c>
      <c r="F1424">
        <f t="shared" si="66"/>
        <v>992.0163665000448</v>
      </c>
    </row>
    <row r="1425" spans="1:6" x14ac:dyDescent="0.25">
      <c r="A1425">
        <v>-135.00190997939703</v>
      </c>
      <c r="B1425">
        <v>294.7112546169862</v>
      </c>
      <c r="C1425">
        <v>1095.896896</v>
      </c>
      <c r="E1425">
        <f t="shared" si="65"/>
        <v>135.00190997939717</v>
      </c>
      <c r="F1425">
        <f t="shared" si="66"/>
        <v>983.30845327455472</v>
      </c>
    </row>
    <row r="1426" spans="1:6" x14ac:dyDescent="0.25">
      <c r="A1426">
        <v>-182.25509322475401</v>
      </c>
      <c r="B1426">
        <v>278.54927101185001</v>
      </c>
      <c r="C1426">
        <v>1095.896896</v>
      </c>
      <c r="E1426">
        <f t="shared" si="65"/>
        <v>182.25509322475415</v>
      </c>
      <c r="F1426">
        <f t="shared" si="66"/>
        <v>971.88020506993712</v>
      </c>
    </row>
    <row r="1427" spans="1:6" x14ac:dyDescent="0.25">
      <c r="A1427">
        <v>-228.66948587493519</v>
      </c>
      <c r="B1427">
        <v>258.49065910641445</v>
      </c>
      <c r="C1427">
        <v>1095.896896</v>
      </c>
      <c r="E1427">
        <f t="shared" si="65"/>
        <v>228.66948587493533</v>
      </c>
      <c r="F1427">
        <f t="shared" si="66"/>
        <v>957.69662457041443</v>
      </c>
    </row>
    <row r="1428" spans="1:6" x14ac:dyDescent="0.25">
      <c r="A1428">
        <v>-280.93119126283824</v>
      </c>
      <c r="B1428">
        <v>231.04366431804385</v>
      </c>
      <c r="C1428">
        <v>1095.896896</v>
      </c>
      <c r="E1428">
        <f t="shared" ref="E1428:E1491" si="67">($I$2*A1428)+($K$2*B1428)+($M$2*C1428)</f>
        <v>280.93119126283835</v>
      </c>
      <c r="F1428">
        <f t="shared" ref="F1428:F1491" si="68">($J$2*A1428)+($L$2*B1428)+($N$2*C1428)</f>
        <v>938.28866843236574</v>
      </c>
    </row>
    <row r="1429" spans="1:6" x14ac:dyDescent="0.25">
      <c r="A1429">
        <v>-329.54843675487444</v>
      </c>
      <c r="B1429">
        <v>200.50675715787156</v>
      </c>
      <c r="C1429">
        <v>1095.896896</v>
      </c>
      <c r="E1429">
        <f t="shared" si="67"/>
        <v>329.54843675487456</v>
      </c>
      <c r="F1429">
        <f t="shared" si="68"/>
        <v>916.69581430294386</v>
      </c>
    </row>
    <row r="1430" spans="1:6" x14ac:dyDescent="0.25">
      <c r="A1430">
        <v>-371.65121976713135</v>
      </c>
      <c r="B1430">
        <v>168.84022999600555</v>
      </c>
      <c r="C1430">
        <v>1095.896896</v>
      </c>
      <c r="E1430">
        <f t="shared" si="67"/>
        <v>371.65121976713147</v>
      </c>
      <c r="F1430">
        <f t="shared" si="68"/>
        <v>894.30419821016039</v>
      </c>
    </row>
    <row r="1431" spans="1:6" x14ac:dyDescent="0.25">
      <c r="A1431">
        <v>-401.92105505596572</v>
      </c>
      <c r="B1431">
        <v>142.25923256888606</v>
      </c>
      <c r="C1431">
        <v>1095.896896</v>
      </c>
      <c r="E1431">
        <f t="shared" si="67"/>
        <v>401.92105505596584</v>
      </c>
      <c r="F1431">
        <f t="shared" si="68"/>
        <v>875.50859467874204</v>
      </c>
    </row>
    <row r="1432" spans="1:6" x14ac:dyDescent="0.25">
      <c r="A1432">
        <v>-422.87933077286323</v>
      </c>
      <c r="B1432">
        <v>121.03378955398888</v>
      </c>
      <c r="C1432">
        <v>1095.896896</v>
      </c>
      <c r="E1432">
        <f t="shared" si="67"/>
        <v>422.87933077286334</v>
      </c>
      <c r="F1432">
        <f t="shared" si="68"/>
        <v>860.49993998921957</v>
      </c>
    </row>
    <row r="1433" spans="1:6" x14ac:dyDescent="0.25">
      <c r="A1433">
        <v>-439.45730545580943</v>
      </c>
      <c r="B1433">
        <v>101.26364019629013</v>
      </c>
      <c r="C1433">
        <v>1095.896896</v>
      </c>
      <c r="E1433">
        <f t="shared" si="67"/>
        <v>439.45730545580955</v>
      </c>
      <c r="F1433">
        <f t="shared" si="68"/>
        <v>846.52033331331995</v>
      </c>
    </row>
    <row r="1434" spans="1:6" x14ac:dyDescent="0.25">
      <c r="A1434">
        <v>-452.11441669677561</v>
      </c>
      <c r="B1434">
        <v>83.533369537492447</v>
      </c>
      <c r="C1434">
        <v>1095.896896</v>
      </c>
      <c r="E1434">
        <f t="shared" si="67"/>
        <v>452.11441669677572</v>
      </c>
      <c r="F1434">
        <f t="shared" si="68"/>
        <v>833.98313869821118</v>
      </c>
    </row>
    <row r="1435" spans="1:6" x14ac:dyDescent="0.25">
      <c r="A1435">
        <v>-462.19836345510856</v>
      </c>
      <c r="B1435">
        <v>67.28203342649752</v>
      </c>
      <c r="C1435">
        <v>1095.896896</v>
      </c>
      <c r="E1435">
        <f t="shared" si="67"/>
        <v>462.19836345510868</v>
      </c>
      <c r="F1435">
        <f t="shared" si="68"/>
        <v>822.49170873078492</v>
      </c>
    </row>
    <row r="1436" spans="1:6" x14ac:dyDescent="0.25">
      <c r="A1436">
        <v>-470.39032541165716</v>
      </c>
      <c r="B1436">
        <v>52.083132388267558</v>
      </c>
      <c r="C1436">
        <v>1095.896896</v>
      </c>
      <c r="E1436">
        <f t="shared" si="67"/>
        <v>470.39032541165727</v>
      </c>
      <c r="F1436">
        <f t="shared" si="68"/>
        <v>811.74446274006925</v>
      </c>
    </row>
    <row r="1437" spans="1:6" x14ac:dyDescent="0.25">
      <c r="A1437">
        <v>-475.46981363536224</v>
      </c>
      <c r="B1437">
        <v>39.65727849683396</v>
      </c>
      <c r="C1437">
        <v>1095.896896</v>
      </c>
      <c r="E1437">
        <f t="shared" si="67"/>
        <v>475.46981363536236</v>
      </c>
      <c r="F1437">
        <f t="shared" si="68"/>
        <v>802.95805719140333</v>
      </c>
    </row>
    <row r="1438" spans="1:6" x14ac:dyDescent="0.25">
      <c r="A1438">
        <v>-479.58013087134634</v>
      </c>
      <c r="B1438">
        <v>26.286901827385392</v>
      </c>
      <c r="C1438">
        <v>1095.896896</v>
      </c>
      <c r="E1438">
        <f t="shared" si="67"/>
        <v>479.58013087134646</v>
      </c>
      <c r="F1438">
        <f t="shared" si="68"/>
        <v>793.50377318141784</v>
      </c>
    </row>
    <row r="1439" spans="1:6" x14ac:dyDescent="0.25">
      <c r="A1439">
        <v>-468.08977716640942</v>
      </c>
      <c r="B1439">
        <v>-5.0035277736530289E-14</v>
      </c>
      <c r="C1439">
        <v>1175.97568</v>
      </c>
      <c r="E1439">
        <f t="shared" si="67"/>
        <v>468.08977716640959</v>
      </c>
      <c r="F1439">
        <f t="shared" si="68"/>
        <v>831.54037783846127</v>
      </c>
    </row>
    <row r="1440" spans="1:6" x14ac:dyDescent="0.25">
      <c r="A1440">
        <v>-466.18963137887033</v>
      </c>
      <c r="B1440">
        <v>-13.011065054317095</v>
      </c>
      <c r="C1440">
        <v>1175.97568</v>
      </c>
      <c r="E1440">
        <f t="shared" si="67"/>
        <v>466.1896313788705</v>
      </c>
      <c r="F1440">
        <f t="shared" si="68"/>
        <v>822.3401655080944</v>
      </c>
    </row>
    <row r="1441" spans="1:6" x14ac:dyDescent="0.25">
      <c r="A1441">
        <v>-463.44513707921254</v>
      </c>
      <c r="B1441">
        <v>-24.613525994714134</v>
      </c>
      <c r="C1441">
        <v>1175.97568</v>
      </c>
      <c r="E1441">
        <f t="shared" si="67"/>
        <v>463.44513707921271</v>
      </c>
      <c r="F1441">
        <f t="shared" si="68"/>
        <v>814.13598669868759</v>
      </c>
    </row>
    <row r="1442" spans="1:6" x14ac:dyDescent="0.25">
      <c r="A1442">
        <v>-459.65282321293404</v>
      </c>
      <c r="B1442">
        <v>-37.882494102548272</v>
      </c>
      <c r="C1442">
        <v>1175.97568</v>
      </c>
      <c r="E1442">
        <f t="shared" si="67"/>
        <v>459.65282321293421</v>
      </c>
      <c r="F1442">
        <f t="shared" si="68"/>
        <v>804.75340937029011</v>
      </c>
    </row>
    <row r="1443" spans="1:6" x14ac:dyDescent="0.25">
      <c r="A1443">
        <v>-454.65408154346045</v>
      </c>
      <c r="B1443">
        <v>-51.630589873026203</v>
      </c>
      <c r="C1443">
        <v>1175.97568</v>
      </c>
      <c r="E1443">
        <f t="shared" si="67"/>
        <v>454.65408154346062</v>
      </c>
      <c r="F1443">
        <f t="shared" si="68"/>
        <v>795.03203762258306</v>
      </c>
    </row>
    <row r="1444" spans="1:6" x14ac:dyDescent="0.25">
      <c r="A1444">
        <v>-447.3629603408375</v>
      </c>
      <c r="B1444">
        <v>-66.456778613023076</v>
      </c>
      <c r="C1444">
        <v>1175.97568</v>
      </c>
      <c r="E1444">
        <f t="shared" si="67"/>
        <v>447.36296034083767</v>
      </c>
      <c r="F1444">
        <f t="shared" si="68"/>
        <v>784.54833902537962</v>
      </c>
    </row>
    <row r="1445" spans="1:6" x14ac:dyDescent="0.25">
      <c r="A1445">
        <v>-437.4934264138559</v>
      </c>
      <c r="B1445">
        <v>-82.625603987089804</v>
      </c>
      <c r="C1445">
        <v>1175.97568</v>
      </c>
      <c r="E1445">
        <f t="shared" si="67"/>
        <v>437.49342641385607</v>
      </c>
      <c r="F1445">
        <f t="shared" si="68"/>
        <v>773.11525295955585</v>
      </c>
    </row>
    <row r="1446" spans="1:6" x14ac:dyDescent="0.25">
      <c r="A1446">
        <v>-425.03909222099327</v>
      </c>
      <c r="B1446">
        <v>-100.28399897888733</v>
      </c>
      <c r="C1446">
        <v>1175.97568</v>
      </c>
      <c r="E1446">
        <f t="shared" si="67"/>
        <v>425.03909222099344</v>
      </c>
      <c r="F1446">
        <f t="shared" si="68"/>
        <v>760.62888211598533</v>
      </c>
    </row>
    <row r="1447" spans="1:6" x14ac:dyDescent="0.25">
      <c r="A1447">
        <v>-408.96808742396877</v>
      </c>
      <c r="B1447">
        <v>-119.99706330355009</v>
      </c>
      <c r="C1447">
        <v>1175.97568</v>
      </c>
      <c r="E1447">
        <f t="shared" si="67"/>
        <v>408.96808742396894</v>
      </c>
      <c r="F1447">
        <f t="shared" si="68"/>
        <v>746.68964065404964</v>
      </c>
    </row>
    <row r="1448" spans="1:6" x14ac:dyDescent="0.25">
      <c r="A1448">
        <v>-387.09546467137142</v>
      </c>
      <c r="B1448">
        <v>-142.54515467694449</v>
      </c>
      <c r="C1448">
        <v>1175.97568</v>
      </c>
      <c r="E1448">
        <f t="shared" si="67"/>
        <v>387.09546467137159</v>
      </c>
      <c r="F1448">
        <f t="shared" si="68"/>
        <v>730.74573234110858</v>
      </c>
    </row>
    <row r="1449" spans="1:6" x14ac:dyDescent="0.25">
      <c r="A1449">
        <v>-358.5096348914127</v>
      </c>
      <c r="B1449">
        <v>-167.71348011953873</v>
      </c>
      <c r="C1449">
        <v>1175.97568</v>
      </c>
      <c r="E1449">
        <f t="shared" si="67"/>
        <v>358.50963489141287</v>
      </c>
      <c r="F1449">
        <f t="shared" si="68"/>
        <v>712.94903874954025</v>
      </c>
    </row>
    <row r="1450" spans="1:6" x14ac:dyDescent="0.25">
      <c r="A1450">
        <v>-322.22401029860742</v>
      </c>
      <c r="B1450">
        <v>-194.96596429594251</v>
      </c>
      <c r="C1450">
        <v>1175.97568</v>
      </c>
      <c r="E1450">
        <f t="shared" si="67"/>
        <v>322.2240102986076</v>
      </c>
      <c r="F1450">
        <f t="shared" si="68"/>
        <v>693.67862238422606</v>
      </c>
    </row>
    <row r="1451" spans="1:6" x14ac:dyDescent="0.25">
      <c r="A1451">
        <v>-277.81231347357976</v>
      </c>
      <c r="B1451">
        <v>-222.99782160488323</v>
      </c>
      <c r="C1451">
        <v>1175.97568</v>
      </c>
      <c r="E1451">
        <f t="shared" si="67"/>
        <v>277.81231347357993</v>
      </c>
      <c r="F1451">
        <f t="shared" si="68"/>
        <v>673.85710599182039</v>
      </c>
    </row>
    <row r="1452" spans="1:6" x14ac:dyDescent="0.25">
      <c r="A1452">
        <v>-226.69198118810877</v>
      </c>
      <c r="B1452">
        <v>-249.81163374283236</v>
      </c>
      <c r="C1452">
        <v>1175.97568</v>
      </c>
      <c r="E1452">
        <f t="shared" si="67"/>
        <v>226.69198118810891</v>
      </c>
      <c r="F1452">
        <f t="shared" si="68"/>
        <v>654.89687759961441</v>
      </c>
    </row>
    <row r="1453" spans="1:6" x14ac:dyDescent="0.25">
      <c r="A1453">
        <v>-180.25651722814393</v>
      </c>
      <c r="B1453">
        <v>-269.71370417936299</v>
      </c>
      <c r="C1453">
        <v>1175.97568</v>
      </c>
      <c r="E1453">
        <f t="shared" si="67"/>
        <v>180.25651722814408</v>
      </c>
      <c r="F1453">
        <f t="shared" si="68"/>
        <v>640.82398863429125</v>
      </c>
    </row>
    <row r="1454" spans="1:6" x14ac:dyDescent="0.25">
      <c r="A1454">
        <v>-133.11779444167257</v>
      </c>
      <c r="B1454">
        <v>-285.62479373349186</v>
      </c>
      <c r="C1454">
        <v>1175.97568</v>
      </c>
      <c r="E1454">
        <f t="shared" si="67"/>
        <v>133.11779444167271</v>
      </c>
      <c r="F1454">
        <f t="shared" si="68"/>
        <v>629.57314931450037</v>
      </c>
    </row>
    <row r="1455" spans="1:6" x14ac:dyDescent="0.25">
      <c r="A1455">
        <v>-86.943259628085713</v>
      </c>
      <c r="B1455">
        <v>-297.73179874112037</v>
      </c>
      <c r="C1455">
        <v>1175.97568</v>
      </c>
      <c r="E1455">
        <f t="shared" si="67"/>
        <v>86.943259628085855</v>
      </c>
      <c r="F1455">
        <f t="shared" si="68"/>
        <v>621.01220397374675</v>
      </c>
    </row>
    <row r="1456" spans="1:6" x14ac:dyDescent="0.25">
      <c r="A1456">
        <v>-43.791910029420677</v>
      </c>
      <c r="B1456">
        <v>-305.23534373029469</v>
      </c>
      <c r="C1456">
        <v>1175.97568</v>
      </c>
      <c r="E1456">
        <f t="shared" si="67"/>
        <v>43.791910029420819</v>
      </c>
      <c r="F1456">
        <f t="shared" si="68"/>
        <v>615.70639642896322</v>
      </c>
    </row>
    <row r="1457" spans="1:6" x14ac:dyDescent="0.25">
      <c r="A1457">
        <v>1.2190081943814294E-13</v>
      </c>
      <c r="B1457">
        <v>-308.02018472194374</v>
      </c>
      <c r="C1457">
        <v>1175.97568</v>
      </c>
      <c r="E1457">
        <f t="shared" si="67"/>
        <v>2.2173659298068429E-14</v>
      </c>
      <c r="F1457">
        <f t="shared" si="68"/>
        <v>613.73721647924197</v>
      </c>
    </row>
    <row r="1458" spans="1:6" x14ac:dyDescent="0.25">
      <c r="A1458">
        <v>43.791910029420457</v>
      </c>
      <c r="B1458">
        <v>-305.23534373029469</v>
      </c>
      <c r="C1458">
        <v>1175.97568</v>
      </c>
      <c r="E1458">
        <f t="shared" si="67"/>
        <v>-43.791910029420315</v>
      </c>
      <c r="F1458">
        <f t="shared" si="68"/>
        <v>615.70639642896322</v>
      </c>
    </row>
    <row r="1459" spans="1:6" x14ac:dyDescent="0.25">
      <c r="A1459">
        <v>86.943259628085713</v>
      </c>
      <c r="B1459">
        <v>-297.73179874112037</v>
      </c>
      <c r="C1459">
        <v>1175.97568</v>
      </c>
      <c r="E1459">
        <f t="shared" si="67"/>
        <v>-86.943259628085571</v>
      </c>
      <c r="F1459">
        <f t="shared" si="68"/>
        <v>621.01220397374675</v>
      </c>
    </row>
    <row r="1460" spans="1:6" x14ac:dyDescent="0.25">
      <c r="A1460">
        <v>133.11779444167263</v>
      </c>
      <c r="B1460">
        <v>-285.62479373349186</v>
      </c>
      <c r="C1460">
        <v>1175.97568</v>
      </c>
      <c r="E1460">
        <f t="shared" si="67"/>
        <v>-133.11779444167249</v>
      </c>
      <c r="F1460">
        <f t="shared" si="68"/>
        <v>629.57314931450037</v>
      </c>
    </row>
    <row r="1461" spans="1:6" x14ac:dyDescent="0.25">
      <c r="A1461">
        <v>180.25651722814399</v>
      </c>
      <c r="B1461">
        <v>-269.71370417936271</v>
      </c>
      <c r="C1461">
        <v>1175.97568</v>
      </c>
      <c r="E1461">
        <f t="shared" si="67"/>
        <v>-180.25651722814385</v>
      </c>
      <c r="F1461">
        <f t="shared" si="68"/>
        <v>640.8239886342916</v>
      </c>
    </row>
    <row r="1462" spans="1:6" x14ac:dyDescent="0.25">
      <c r="A1462">
        <v>226.69198118810868</v>
      </c>
      <c r="B1462">
        <v>-249.81163374283227</v>
      </c>
      <c r="C1462">
        <v>1175.97568</v>
      </c>
      <c r="E1462">
        <f t="shared" si="67"/>
        <v>-226.69198118810854</v>
      </c>
      <c r="F1462">
        <f t="shared" si="68"/>
        <v>654.89687759961453</v>
      </c>
    </row>
    <row r="1463" spans="1:6" x14ac:dyDescent="0.25">
      <c r="A1463">
        <v>277.81231347357959</v>
      </c>
      <c r="B1463">
        <v>-222.99782160488337</v>
      </c>
      <c r="C1463">
        <v>1175.97568</v>
      </c>
      <c r="E1463">
        <f t="shared" si="67"/>
        <v>-277.81231347357942</v>
      </c>
      <c r="F1463">
        <f t="shared" si="68"/>
        <v>673.85710599182039</v>
      </c>
    </row>
    <row r="1464" spans="1:6" x14ac:dyDescent="0.25">
      <c r="A1464">
        <v>322.22401029860754</v>
      </c>
      <c r="B1464">
        <v>-194.96596429594271</v>
      </c>
      <c r="C1464">
        <v>1175.97568</v>
      </c>
      <c r="E1464">
        <f t="shared" si="67"/>
        <v>-322.22401029860737</v>
      </c>
      <c r="F1464">
        <f t="shared" si="68"/>
        <v>693.67862238422595</v>
      </c>
    </row>
    <row r="1465" spans="1:6" x14ac:dyDescent="0.25">
      <c r="A1465">
        <v>358.5096348914127</v>
      </c>
      <c r="B1465">
        <v>-167.71348011953842</v>
      </c>
      <c r="C1465">
        <v>1175.97568</v>
      </c>
      <c r="E1465">
        <f t="shared" si="67"/>
        <v>-358.50963489141253</v>
      </c>
      <c r="F1465">
        <f t="shared" si="68"/>
        <v>712.94903874954059</v>
      </c>
    </row>
    <row r="1466" spans="1:6" x14ac:dyDescent="0.25">
      <c r="A1466">
        <v>387.0954646713717</v>
      </c>
      <c r="B1466">
        <v>-142.54515467694455</v>
      </c>
      <c r="C1466">
        <v>1175.97568</v>
      </c>
      <c r="E1466">
        <f t="shared" si="67"/>
        <v>-387.09546467137153</v>
      </c>
      <c r="F1466">
        <f t="shared" si="68"/>
        <v>730.74573234110858</v>
      </c>
    </row>
    <row r="1467" spans="1:6" x14ac:dyDescent="0.25">
      <c r="A1467">
        <v>408.96808742396883</v>
      </c>
      <c r="B1467">
        <v>-119.99706330355004</v>
      </c>
      <c r="C1467">
        <v>1175.97568</v>
      </c>
      <c r="E1467">
        <f t="shared" si="67"/>
        <v>-408.96808742396865</v>
      </c>
      <c r="F1467">
        <f t="shared" si="68"/>
        <v>746.68964065404975</v>
      </c>
    </row>
    <row r="1468" spans="1:6" x14ac:dyDescent="0.25">
      <c r="A1468">
        <v>425.03909222099333</v>
      </c>
      <c r="B1468">
        <v>-100.28399897888733</v>
      </c>
      <c r="C1468">
        <v>1175.97568</v>
      </c>
      <c r="E1468">
        <f t="shared" si="67"/>
        <v>-425.03909222099315</v>
      </c>
      <c r="F1468">
        <f t="shared" si="68"/>
        <v>760.62888211598533</v>
      </c>
    </row>
    <row r="1469" spans="1:6" x14ac:dyDescent="0.25">
      <c r="A1469">
        <v>437.4934264138559</v>
      </c>
      <c r="B1469">
        <v>-82.625603987089747</v>
      </c>
      <c r="C1469">
        <v>1175.97568</v>
      </c>
      <c r="E1469">
        <f t="shared" si="67"/>
        <v>-437.49342641385573</v>
      </c>
      <c r="F1469">
        <f t="shared" si="68"/>
        <v>773.11525295955607</v>
      </c>
    </row>
    <row r="1470" spans="1:6" x14ac:dyDescent="0.25">
      <c r="A1470">
        <v>447.36296034083728</v>
      </c>
      <c r="B1470">
        <v>-66.456778613023005</v>
      </c>
      <c r="C1470">
        <v>1175.97568</v>
      </c>
      <c r="E1470">
        <f t="shared" si="67"/>
        <v>-447.36296034083711</v>
      </c>
      <c r="F1470">
        <f t="shared" si="68"/>
        <v>784.54833902537973</v>
      </c>
    </row>
    <row r="1471" spans="1:6" x14ac:dyDescent="0.25">
      <c r="A1471">
        <v>454.65408154346028</v>
      </c>
      <c r="B1471">
        <v>-51.630589873026167</v>
      </c>
      <c r="C1471">
        <v>1175.97568</v>
      </c>
      <c r="E1471">
        <f t="shared" si="67"/>
        <v>-454.65408154346011</v>
      </c>
      <c r="F1471">
        <f t="shared" si="68"/>
        <v>795.03203762258318</v>
      </c>
    </row>
    <row r="1472" spans="1:6" x14ac:dyDescent="0.25">
      <c r="A1472">
        <v>459.65282321293392</v>
      </c>
      <c r="B1472">
        <v>-37.882494102548172</v>
      </c>
      <c r="C1472">
        <v>1175.97568</v>
      </c>
      <c r="E1472">
        <f t="shared" si="67"/>
        <v>-459.65282321293375</v>
      </c>
      <c r="F1472">
        <f t="shared" si="68"/>
        <v>804.75340937029023</v>
      </c>
    </row>
    <row r="1473" spans="1:6" x14ac:dyDescent="0.25">
      <c r="A1473">
        <v>463.44513707921254</v>
      </c>
      <c r="B1473">
        <v>-24.613525994714259</v>
      </c>
      <c r="C1473">
        <v>1175.97568</v>
      </c>
      <c r="E1473">
        <f t="shared" si="67"/>
        <v>-463.44513707921237</v>
      </c>
      <c r="F1473">
        <f t="shared" si="68"/>
        <v>814.13598669868759</v>
      </c>
    </row>
    <row r="1474" spans="1:6" x14ac:dyDescent="0.25">
      <c r="A1474">
        <v>466.18963137887005</v>
      </c>
      <c r="B1474">
        <v>-13.011065054316969</v>
      </c>
      <c r="C1474">
        <v>1175.97568</v>
      </c>
      <c r="E1474">
        <f t="shared" si="67"/>
        <v>-466.18963137886988</v>
      </c>
      <c r="F1474">
        <f t="shared" si="68"/>
        <v>822.34016550809463</v>
      </c>
    </row>
    <row r="1475" spans="1:6" x14ac:dyDescent="0.25">
      <c r="A1475">
        <v>468.08977716640942</v>
      </c>
      <c r="B1475">
        <v>0</v>
      </c>
      <c r="C1475">
        <v>1175.97568</v>
      </c>
      <c r="E1475">
        <f t="shared" si="67"/>
        <v>-468.08977716640925</v>
      </c>
      <c r="F1475">
        <f t="shared" si="68"/>
        <v>831.54037783846138</v>
      </c>
    </row>
    <row r="1476" spans="1:6" x14ac:dyDescent="0.25">
      <c r="A1476">
        <v>466.18963137887005</v>
      </c>
      <c r="B1476">
        <v>13.011065054316994</v>
      </c>
      <c r="C1476">
        <v>1175.97568</v>
      </c>
      <c r="E1476">
        <f t="shared" si="67"/>
        <v>-466.18963137886988</v>
      </c>
      <c r="F1476">
        <f t="shared" si="68"/>
        <v>840.74059016882825</v>
      </c>
    </row>
    <row r="1477" spans="1:6" x14ac:dyDescent="0.25">
      <c r="A1477">
        <v>463.44513707921266</v>
      </c>
      <c r="B1477">
        <v>24.613525994714188</v>
      </c>
      <c r="C1477">
        <v>1175.97568</v>
      </c>
      <c r="E1477">
        <f t="shared" si="67"/>
        <v>-463.44513707921249</v>
      </c>
      <c r="F1477">
        <f t="shared" si="68"/>
        <v>848.94476897823517</v>
      </c>
    </row>
    <row r="1478" spans="1:6" x14ac:dyDescent="0.25">
      <c r="A1478">
        <v>459.65282321293392</v>
      </c>
      <c r="B1478">
        <v>37.882494102548272</v>
      </c>
      <c r="C1478">
        <v>1175.97568</v>
      </c>
      <c r="E1478">
        <f t="shared" si="67"/>
        <v>-459.65282321293375</v>
      </c>
      <c r="F1478">
        <f t="shared" si="68"/>
        <v>858.32734630663265</v>
      </c>
    </row>
    <row r="1479" spans="1:6" x14ac:dyDescent="0.25">
      <c r="A1479">
        <v>454.65408154346028</v>
      </c>
      <c r="B1479">
        <v>51.630589873026246</v>
      </c>
      <c r="C1479">
        <v>1175.97568</v>
      </c>
      <c r="E1479">
        <f t="shared" si="67"/>
        <v>-454.65408154346011</v>
      </c>
      <c r="F1479">
        <f t="shared" si="68"/>
        <v>868.04871805433982</v>
      </c>
    </row>
    <row r="1480" spans="1:6" x14ac:dyDescent="0.25">
      <c r="A1480">
        <v>447.36296034083728</v>
      </c>
      <c r="B1480">
        <v>66.456778613023005</v>
      </c>
      <c r="C1480">
        <v>1175.97568</v>
      </c>
      <c r="E1480">
        <f t="shared" si="67"/>
        <v>-447.36296034083711</v>
      </c>
      <c r="F1480">
        <f t="shared" si="68"/>
        <v>878.53241665154314</v>
      </c>
    </row>
    <row r="1481" spans="1:6" x14ac:dyDescent="0.25">
      <c r="A1481">
        <v>437.4934264138559</v>
      </c>
      <c r="B1481">
        <v>82.625603987089775</v>
      </c>
      <c r="C1481">
        <v>1175.97568</v>
      </c>
      <c r="E1481">
        <f t="shared" si="67"/>
        <v>-437.49342641385573</v>
      </c>
      <c r="F1481">
        <f t="shared" si="68"/>
        <v>889.9655027173668</v>
      </c>
    </row>
    <row r="1482" spans="1:6" x14ac:dyDescent="0.25">
      <c r="A1482">
        <v>425.03909222099333</v>
      </c>
      <c r="B1482">
        <v>100.28399897888717</v>
      </c>
      <c r="C1482">
        <v>1175.97568</v>
      </c>
      <c r="E1482">
        <f t="shared" si="67"/>
        <v>-425.03909222099315</v>
      </c>
      <c r="F1482">
        <f t="shared" si="68"/>
        <v>902.45187356093732</v>
      </c>
    </row>
    <row r="1483" spans="1:6" x14ac:dyDescent="0.25">
      <c r="A1483">
        <v>408.96808742396883</v>
      </c>
      <c r="B1483">
        <v>119.99706330355005</v>
      </c>
      <c r="C1483">
        <v>1175.97568</v>
      </c>
      <c r="E1483">
        <f t="shared" si="67"/>
        <v>-408.96808742396865</v>
      </c>
      <c r="F1483">
        <f t="shared" si="68"/>
        <v>916.39111502287301</v>
      </c>
    </row>
    <row r="1484" spans="1:6" x14ac:dyDescent="0.25">
      <c r="A1484">
        <v>387.09546467137164</v>
      </c>
      <c r="B1484">
        <v>142.54515467694455</v>
      </c>
      <c r="C1484">
        <v>1175.97568</v>
      </c>
      <c r="E1484">
        <f t="shared" si="67"/>
        <v>-387.09546467137147</v>
      </c>
      <c r="F1484">
        <f t="shared" si="68"/>
        <v>932.33502333581418</v>
      </c>
    </row>
    <row r="1485" spans="1:6" x14ac:dyDescent="0.25">
      <c r="A1485">
        <v>358.5096348914127</v>
      </c>
      <c r="B1485">
        <v>167.71348011953842</v>
      </c>
      <c r="C1485">
        <v>1175.97568</v>
      </c>
      <c r="E1485">
        <f t="shared" si="67"/>
        <v>-358.50963489141253</v>
      </c>
      <c r="F1485">
        <f t="shared" si="68"/>
        <v>950.13171692738229</v>
      </c>
    </row>
    <row r="1486" spans="1:6" x14ac:dyDescent="0.25">
      <c r="A1486">
        <v>322.2240102986076</v>
      </c>
      <c r="B1486">
        <v>194.96596429594254</v>
      </c>
      <c r="C1486">
        <v>1175.97568</v>
      </c>
      <c r="E1486">
        <f t="shared" si="67"/>
        <v>-322.22401029860742</v>
      </c>
      <c r="F1486">
        <f t="shared" si="68"/>
        <v>969.4021332926967</v>
      </c>
    </row>
    <row r="1487" spans="1:6" x14ac:dyDescent="0.25">
      <c r="A1487">
        <v>277.81231347357988</v>
      </c>
      <c r="B1487">
        <v>222.99782160488326</v>
      </c>
      <c r="C1487">
        <v>1175.97568</v>
      </c>
      <c r="E1487">
        <f t="shared" si="67"/>
        <v>-277.81231347357971</v>
      </c>
      <c r="F1487">
        <f t="shared" si="68"/>
        <v>989.22364968510237</v>
      </c>
    </row>
    <row r="1488" spans="1:6" x14ac:dyDescent="0.25">
      <c r="A1488">
        <v>226.691981188109</v>
      </c>
      <c r="B1488">
        <v>249.81163374283227</v>
      </c>
      <c r="C1488">
        <v>1175.97568</v>
      </c>
      <c r="E1488">
        <f t="shared" si="67"/>
        <v>-226.69198118810885</v>
      </c>
      <c r="F1488">
        <f t="shared" si="68"/>
        <v>1008.1838780773082</v>
      </c>
    </row>
    <row r="1489" spans="1:6" x14ac:dyDescent="0.25">
      <c r="A1489">
        <v>180.25651722814419</v>
      </c>
      <c r="B1489">
        <v>269.71370417936276</v>
      </c>
      <c r="C1489">
        <v>1175.97568</v>
      </c>
      <c r="E1489">
        <f t="shared" si="67"/>
        <v>-180.25651722814405</v>
      </c>
      <c r="F1489">
        <f t="shared" si="68"/>
        <v>1022.2567670426313</v>
      </c>
    </row>
    <row r="1490" spans="1:6" x14ac:dyDescent="0.25">
      <c r="A1490">
        <v>133.11779444167246</v>
      </c>
      <c r="B1490">
        <v>285.62479373349174</v>
      </c>
      <c r="C1490">
        <v>1175.97568</v>
      </c>
      <c r="E1490">
        <f t="shared" si="67"/>
        <v>-133.11779444167232</v>
      </c>
      <c r="F1490">
        <f t="shared" si="68"/>
        <v>1033.5076063624224</v>
      </c>
    </row>
    <row r="1491" spans="1:6" x14ac:dyDescent="0.25">
      <c r="A1491">
        <v>86.943259628085656</v>
      </c>
      <c r="B1491">
        <v>297.73179874112043</v>
      </c>
      <c r="C1491">
        <v>1175.97568</v>
      </c>
      <c r="E1491">
        <f t="shared" si="67"/>
        <v>-86.943259628085514</v>
      </c>
      <c r="F1491">
        <f t="shared" si="68"/>
        <v>1042.0685517031761</v>
      </c>
    </row>
    <row r="1492" spans="1:6" x14ac:dyDescent="0.25">
      <c r="A1492">
        <v>43.791910029420478</v>
      </c>
      <c r="B1492">
        <v>305.23534373029469</v>
      </c>
      <c r="C1492">
        <v>1175.97568</v>
      </c>
      <c r="E1492">
        <f t="shared" ref="E1492:E1555" si="69">($I$2*A1492)+($K$2*B1492)+($M$2*C1492)</f>
        <v>-43.791910029420336</v>
      </c>
      <c r="F1492">
        <f t="shared" ref="F1492:F1555" si="70">($J$2*A1492)+($L$2*B1492)+($N$2*C1492)</f>
        <v>1047.3743592479595</v>
      </c>
    </row>
    <row r="1493" spans="1:6" x14ac:dyDescent="0.25">
      <c r="A1493">
        <v>1.1250981294718029E-13</v>
      </c>
      <c r="B1493">
        <v>308.02018472194374</v>
      </c>
      <c r="C1493">
        <v>1175.97568</v>
      </c>
      <c r="E1493">
        <f t="shared" si="69"/>
        <v>3.1564665789031078E-14</v>
      </c>
      <c r="F1493">
        <f t="shared" si="70"/>
        <v>1049.3435391976809</v>
      </c>
    </row>
    <row r="1494" spans="1:6" x14ac:dyDescent="0.25">
      <c r="A1494">
        <v>-43.791910029420571</v>
      </c>
      <c r="B1494">
        <v>305.23534373029469</v>
      </c>
      <c r="C1494">
        <v>1175.97568</v>
      </c>
      <c r="E1494">
        <f t="shared" si="69"/>
        <v>43.791910029420713</v>
      </c>
      <c r="F1494">
        <f t="shared" si="70"/>
        <v>1047.3743592479595</v>
      </c>
    </row>
    <row r="1495" spans="1:6" x14ac:dyDescent="0.25">
      <c r="A1495">
        <v>-86.943259628085528</v>
      </c>
      <c r="B1495">
        <v>297.73179874112054</v>
      </c>
      <c r="C1495">
        <v>1175.97568</v>
      </c>
      <c r="E1495">
        <f t="shared" si="69"/>
        <v>86.94325962808567</v>
      </c>
      <c r="F1495">
        <f t="shared" si="70"/>
        <v>1042.0685517031761</v>
      </c>
    </row>
    <row r="1496" spans="1:6" x14ac:dyDescent="0.25">
      <c r="A1496">
        <v>-133.11779444167246</v>
      </c>
      <c r="B1496">
        <v>285.62479373349186</v>
      </c>
      <c r="C1496">
        <v>1175.97568</v>
      </c>
      <c r="E1496">
        <f t="shared" si="69"/>
        <v>133.1177944416726</v>
      </c>
      <c r="F1496">
        <f t="shared" si="70"/>
        <v>1033.5076063624224</v>
      </c>
    </row>
    <row r="1497" spans="1:6" x14ac:dyDescent="0.25">
      <c r="A1497">
        <v>-180.25651722814362</v>
      </c>
      <c r="B1497">
        <v>269.71370417936299</v>
      </c>
      <c r="C1497">
        <v>1175.97568</v>
      </c>
      <c r="E1497">
        <f t="shared" si="69"/>
        <v>180.25651722814376</v>
      </c>
      <c r="F1497">
        <f t="shared" si="70"/>
        <v>1022.2567670426314</v>
      </c>
    </row>
    <row r="1498" spans="1:6" x14ac:dyDescent="0.25">
      <c r="A1498">
        <v>-226.69198118810831</v>
      </c>
      <c r="B1498">
        <v>249.81163374283244</v>
      </c>
      <c r="C1498">
        <v>1175.97568</v>
      </c>
      <c r="E1498">
        <f t="shared" si="69"/>
        <v>226.69198118810846</v>
      </c>
      <c r="F1498">
        <f t="shared" si="70"/>
        <v>1008.1838780773083</v>
      </c>
    </row>
    <row r="1499" spans="1:6" x14ac:dyDescent="0.25">
      <c r="A1499">
        <v>-277.81231347357976</v>
      </c>
      <c r="B1499">
        <v>222.99782160488323</v>
      </c>
      <c r="C1499">
        <v>1175.97568</v>
      </c>
      <c r="E1499">
        <f t="shared" si="69"/>
        <v>277.81231347357993</v>
      </c>
      <c r="F1499">
        <f t="shared" si="70"/>
        <v>989.22364968510226</v>
      </c>
    </row>
    <row r="1500" spans="1:6" x14ac:dyDescent="0.25">
      <c r="A1500">
        <v>-322.22401029860742</v>
      </c>
      <c r="B1500">
        <v>194.96596429594254</v>
      </c>
      <c r="C1500">
        <v>1175.97568</v>
      </c>
      <c r="E1500">
        <f t="shared" si="69"/>
        <v>322.2240102986076</v>
      </c>
      <c r="F1500">
        <f t="shared" si="70"/>
        <v>969.40213329269659</v>
      </c>
    </row>
    <row r="1501" spans="1:6" x14ac:dyDescent="0.25">
      <c r="A1501">
        <v>-358.5096348914127</v>
      </c>
      <c r="B1501">
        <v>167.71348011953862</v>
      </c>
      <c r="C1501">
        <v>1175.97568</v>
      </c>
      <c r="E1501">
        <f t="shared" si="69"/>
        <v>358.50963489141287</v>
      </c>
      <c r="F1501">
        <f t="shared" si="70"/>
        <v>950.13171692738229</v>
      </c>
    </row>
    <row r="1502" spans="1:6" x14ac:dyDescent="0.25">
      <c r="A1502">
        <v>-387.09546467137142</v>
      </c>
      <c r="B1502">
        <v>142.54515467694455</v>
      </c>
      <c r="C1502">
        <v>1175.97568</v>
      </c>
      <c r="E1502">
        <f t="shared" si="69"/>
        <v>387.09546467137159</v>
      </c>
      <c r="F1502">
        <f t="shared" si="70"/>
        <v>932.33502333581418</v>
      </c>
    </row>
    <row r="1503" spans="1:6" x14ac:dyDescent="0.25">
      <c r="A1503">
        <v>-408.96808742396877</v>
      </c>
      <c r="B1503">
        <v>119.99706330355009</v>
      </c>
      <c r="C1503">
        <v>1175.97568</v>
      </c>
      <c r="E1503">
        <f t="shared" si="69"/>
        <v>408.96808742396894</v>
      </c>
      <c r="F1503">
        <f t="shared" si="70"/>
        <v>916.39111502287301</v>
      </c>
    </row>
    <row r="1504" spans="1:6" x14ac:dyDescent="0.25">
      <c r="A1504">
        <v>-425.03909222099327</v>
      </c>
      <c r="B1504">
        <v>100.28399897888731</v>
      </c>
      <c r="C1504">
        <v>1175.97568</v>
      </c>
      <c r="E1504">
        <f t="shared" si="69"/>
        <v>425.03909222099344</v>
      </c>
      <c r="F1504">
        <f t="shared" si="70"/>
        <v>902.45187356093743</v>
      </c>
    </row>
    <row r="1505" spans="1:6" x14ac:dyDescent="0.25">
      <c r="A1505">
        <v>-437.49342641385607</v>
      </c>
      <c r="B1505">
        <v>82.625603987089946</v>
      </c>
      <c r="C1505">
        <v>1175.97568</v>
      </c>
      <c r="E1505">
        <f t="shared" si="69"/>
        <v>437.49342641385624</v>
      </c>
      <c r="F1505">
        <f t="shared" si="70"/>
        <v>889.96550271736692</v>
      </c>
    </row>
    <row r="1506" spans="1:6" x14ac:dyDescent="0.25">
      <c r="A1506">
        <v>-447.36296034083745</v>
      </c>
      <c r="B1506">
        <v>66.456778613023161</v>
      </c>
      <c r="C1506">
        <v>1175.97568</v>
      </c>
      <c r="E1506">
        <f t="shared" si="69"/>
        <v>447.36296034083762</v>
      </c>
      <c r="F1506">
        <f t="shared" si="70"/>
        <v>878.53241665154314</v>
      </c>
    </row>
    <row r="1507" spans="1:6" x14ac:dyDescent="0.25">
      <c r="A1507">
        <v>-454.65408154346045</v>
      </c>
      <c r="B1507">
        <v>51.630589873026381</v>
      </c>
      <c r="C1507">
        <v>1175.97568</v>
      </c>
      <c r="E1507">
        <f t="shared" si="69"/>
        <v>454.65408154346062</v>
      </c>
      <c r="F1507">
        <f t="shared" si="70"/>
        <v>868.04871805433982</v>
      </c>
    </row>
    <row r="1508" spans="1:6" x14ac:dyDescent="0.25">
      <c r="A1508">
        <v>-459.65282321293398</v>
      </c>
      <c r="B1508">
        <v>37.882494102548179</v>
      </c>
      <c r="C1508">
        <v>1175.97568</v>
      </c>
      <c r="E1508">
        <f t="shared" si="69"/>
        <v>459.65282321293415</v>
      </c>
      <c r="F1508">
        <f t="shared" si="70"/>
        <v>858.32734630663253</v>
      </c>
    </row>
    <row r="1509" spans="1:6" x14ac:dyDescent="0.25">
      <c r="A1509">
        <v>-463.44513707921243</v>
      </c>
      <c r="B1509">
        <v>24.61352599471417</v>
      </c>
      <c r="C1509">
        <v>1175.97568</v>
      </c>
      <c r="E1509">
        <f t="shared" si="69"/>
        <v>463.4451370792126</v>
      </c>
      <c r="F1509">
        <f t="shared" si="70"/>
        <v>848.94476897823506</v>
      </c>
    </row>
    <row r="1510" spans="1:6" x14ac:dyDescent="0.25">
      <c r="A1510">
        <v>-446.16426807596673</v>
      </c>
      <c r="B1510">
        <v>-4.811883200841299E-14</v>
      </c>
      <c r="C1510">
        <v>1256.0544640000001</v>
      </c>
      <c r="E1510">
        <f t="shared" si="69"/>
        <v>446.1642680759669</v>
      </c>
      <c r="F1510">
        <f t="shared" si="70"/>
        <v>888.16462903403408</v>
      </c>
    </row>
    <row r="1511" spans="1:6" x14ac:dyDescent="0.25">
      <c r="A1511">
        <v>-444.70165114139502</v>
      </c>
      <c r="B1511">
        <v>-11.468420463072814</v>
      </c>
      <c r="C1511">
        <v>1256.0544640000001</v>
      </c>
      <c r="E1511">
        <f t="shared" si="69"/>
        <v>444.70165114139519</v>
      </c>
      <c r="F1511">
        <f t="shared" si="70"/>
        <v>880.05523115509675</v>
      </c>
    </row>
    <row r="1512" spans="1:6" x14ac:dyDescent="0.25">
      <c r="A1512">
        <v>-442.12875172740371</v>
      </c>
      <c r="B1512">
        <v>-24.393061056701015</v>
      </c>
      <c r="C1512">
        <v>1256.0544640000001</v>
      </c>
      <c r="E1512">
        <f t="shared" si="69"/>
        <v>442.12875172740388</v>
      </c>
      <c r="F1512">
        <f t="shared" si="70"/>
        <v>870.91613014694337</v>
      </c>
    </row>
    <row r="1513" spans="1:6" x14ac:dyDescent="0.25">
      <c r="A1513">
        <v>-438.52882994320248</v>
      </c>
      <c r="B1513">
        <v>-37.573390057150689</v>
      </c>
      <c r="C1513">
        <v>1256.0544640000001</v>
      </c>
      <c r="E1513">
        <f t="shared" si="69"/>
        <v>438.52882994320265</v>
      </c>
      <c r="F1513">
        <f t="shared" si="70"/>
        <v>861.59623013245573</v>
      </c>
    </row>
    <row r="1514" spans="1:6" x14ac:dyDescent="0.25">
      <c r="A1514">
        <v>-433.7125980987571</v>
      </c>
      <c r="B1514">
        <v>-51.243421740084173</v>
      </c>
      <c r="C1514">
        <v>1256.0544640000001</v>
      </c>
      <c r="E1514">
        <f t="shared" si="69"/>
        <v>433.71259809875727</v>
      </c>
      <c r="F1514">
        <f t="shared" si="70"/>
        <v>851.93005803041842</v>
      </c>
    </row>
    <row r="1515" spans="1:6" x14ac:dyDescent="0.25">
      <c r="A1515">
        <v>-427.31144382124478</v>
      </c>
      <c r="B1515">
        <v>-65.702195686852491</v>
      </c>
      <c r="C1515">
        <v>1256.0544640000001</v>
      </c>
      <c r="E1515">
        <f t="shared" si="69"/>
        <v>427.31144382124495</v>
      </c>
      <c r="F1515">
        <f t="shared" si="70"/>
        <v>841.70616092501518</v>
      </c>
    </row>
    <row r="1516" spans="1:6" x14ac:dyDescent="0.25">
      <c r="A1516">
        <v>-417.5554143393415</v>
      </c>
      <c r="B1516">
        <v>-81.79305296903209</v>
      </c>
      <c r="C1516">
        <v>1256.0544640000001</v>
      </c>
      <c r="E1516">
        <f t="shared" si="69"/>
        <v>417.55541433934167</v>
      </c>
      <c r="F1516">
        <f t="shared" si="70"/>
        <v>830.3282066256811</v>
      </c>
    </row>
    <row r="1517" spans="1:6" x14ac:dyDescent="0.25">
      <c r="A1517">
        <v>-405.20298065914562</v>
      </c>
      <c r="B1517">
        <v>-99.382712883941508</v>
      </c>
      <c r="C1517">
        <v>1256.0544640000001</v>
      </c>
      <c r="E1517">
        <f t="shared" si="69"/>
        <v>405.20298065914579</v>
      </c>
      <c r="F1517">
        <f t="shared" si="70"/>
        <v>817.89043882108342</v>
      </c>
    </row>
    <row r="1518" spans="1:6" x14ac:dyDescent="0.25">
      <c r="A1518">
        <v>-389.2232249925267</v>
      </c>
      <c r="B1518">
        <v>-119.03570071571086</v>
      </c>
      <c r="C1518">
        <v>1256.0544640000001</v>
      </c>
      <c r="E1518">
        <f t="shared" si="69"/>
        <v>389.22322499252687</v>
      </c>
      <c r="F1518">
        <f t="shared" si="70"/>
        <v>803.99367785466268</v>
      </c>
    </row>
    <row r="1519" spans="1:6" x14ac:dyDescent="0.25">
      <c r="A1519">
        <v>-367.98449734456329</v>
      </c>
      <c r="B1519">
        <v>-141.54004709275409</v>
      </c>
      <c r="C1519">
        <v>1256.0544640000001</v>
      </c>
      <c r="E1519">
        <f t="shared" si="69"/>
        <v>367.98449734456347</v>
      </c>
      <c r="F1519">
        <f t="shared" si="70"/>
        <v>788.08070192528442</v>
      </c>
    </row>
    <row r="1520" spans="1:6" x14ac:dyDescent="0.25">
      <c r="A1520">
        <v>-340.7989289055003</v>
      </c>
      <c r="B1520">
        <v>-165.42527490034593</v>
      </c>
      <c r="C1520">
        <v>1256.0544640000001</v>
      </c>
      <c r="E1520">
        <f t="shared" si="69"/>
        <v>340.79892890550047</v>
      </c>
      <c r="F1520">
        <f t="shared" si="70"/>
        <v>771.19129537235074</v>
      </c>
    </row>
    <row r="1521" spans="1:6" x14ac:dyDescent="0.25">
      <c r="A1521">
        <v>-309.58032092527105</v>
      </c>
      <c r="B1521">
        <v>-188.80948607732242</v>
      </c>
      <c r="C1521">
        <v>1256.0544640000001</v>
      </c>
      <c r="E1521">
        <f t="shared" si="69"/>
        <v>309.58032092527122</v>
      </c>
      <c r="F1521">
        <f t="shared" si="70"/>
        <v>754.65616107641245</v>
      </c>
    </row>
    <row r="1522" spans="1:6" x14ac:dyDescent="0.25">
      <c r="A1522">
        <v>-271.377877492133</v>
      </c>
      <c r="B1522">
        <v>-212.93588194778016</v>
      </c>
      <c r="C1522">
        <v>1256.0544640000001</v>
      </c>
      <c r="E1522">
        <f t="shared" si="69"/>
        <v>271.37787749213317</v>
      </c>
      <c r="F1522">
        <f t="shared" si="70"/>
        <v>737.59622295082067</v>
      </c>
    </row>
    <row r="1523" spans="1:6" x14ac:dyDescent="0.25">
      <c r="A1523">
        <v>-224.74974301255131</v>
      </c>
      <c r="B1523">
        <v>-237.13654570681413</v>
      </c>
      <c r="C1523">
        <v>1256.0544640000001</v>
      </c>
      <c r="E1523">
        <f t="shared" si="69"/>
        <v>224.74974301255145</v>
      </c>
      <c r="F1523">
        <f t="shared" si="70"/>
        <v>720.48376949759222</v>
      </c>
    </row>
    <row r="1524" spans="1:6" x14ac:dyDescent="0.25">
      <c r="A1524">
        <v>-175.70165015450812</v>
      </c>
      <c r="B1524">
        <v>-257.86729613748912</v>
      </c>
      <c r="C1524">
        <v>1256.0544640000001</v>
      </c>
      <c r="E1524">
        <f t="shared" si="69"/>
        <v>175.70165015450826</v>
      </c>
      <c r="F1524">
        <f t="shared" si="70"/>
        <v>705.82491528897594</v>
      </c>
    </row>
    <row r="1525" spans="1:6" x14ac:dyDescent="0.25">
      <c r="A1525">
        <v>-131.3892156063196</v>
      </c>
      <c r="B1525">
        <v>-272.94999650469401</v>
      </c>
      <c r="C1525">
        <v>1256.0544640000001</v>
      </c>
      <c r="E1525">
        <f t="shared" si="69"/>
        <v>131.38921560631974</v>
      </c>
      <c r="F1525">
        <f t="shared" si="70"/>
        <v>695.1598355807206</v>
      </c>
    </row>
    <row r="1526" spans="1:6" x14ac:dyDescent="0.25">
      <c r="A1526">
        <v>-88.032911929493821</v>
      </c>
      <c r="B1526">
        <v>-284.19617358048782</v>
      </c>
      <c r="C1526">
        <v>1256.0544640000001</v>
      </c>
      <c r="E1526">
        <f t="shared" si="69"/>
        <v>88.032911929493977</v>
      </c>
      <c r="F1526">
        <f t="shared" si="70"/>
        <v>687.20758750800212</v>
      </c>
    </row>
    <row r="1527" spans="1:6" x14ac:dyDescent="0.25">
      <c r="A1527">
        <v>-43.408095957228717</v>
      </c>
      <c r="B1527">
        <v>-291.22036290415565</v>
      </c>
      <c r="C1527">
        <v>1256.0544640000001</v>
      </c>
      <c r="E1527">
        <f t="shared" si="69"/>
        <v>43.408095957228873</v>
      </c>
      <c r="F1527">
        <f t="shared" si="70"/>
        <v>682.24073560489842</v>
      </c>
    </row>
    <row r="1528" spans="1:6" x14ac:dyDescent="0.25">
      <c r="A1528">
        <v>1.0608916703731916E-13</v>
      </c>
      <c r="B1528">
        <v>-293.67755408607098</v>
      </c>
      <c r="C1528">
        <v>1256.0544640000001</v>
      </c>
      <c r="E1528">
        <f t="shared" si="69"/>
        <v>4.7796151547748335E-14</v>
      </c>
      <c r="F1528">
        <f t="shared" si="70"/>
        <v>680.50323905749428</v>
      </c>
    </row>
    <row r="1529" spans="1:6" x14ac:dyDescent="0.25">
      <c r="A1529">
        <v>43.408095957228376</v>
      </c>
      <c r="B1529">
        <v>-291.22036290415565</v>
      </c>
      <c r="C1529">
        <v>1256.0544640000001</v>
      </c>
      <c r="E1529">
        <f t="shared" si="69"/>
        <v>-43.40809595722822</v>
      </c>
      <c r="F1529">
        <f t="shared" si="70"/>
        <v>682.24073560489842</v>
      </c>
    </row>
    <row r="1530" spans="1:6" x14ac:dyDescent="0.25">
      <c r="A1530">
        <v>88.032911929493864</v>
      </c>
      <c r="B1530">
        <v>-284.19617358048771</v>
      </c>
      <c r="C1530">
        <v>1256.0544640000001</v>
      </c>
      <c r="E1530">
        <f t="shared" si="69"/>
        <v>-88.032911929493707</v>
      </c>
      <c r="F1530">
        <f t="shared" si="70"/>
        <v>687.20758750800223</v>
      </c>
    </row>
    <row r="1531" spans="1:6" x14ac:dyDescent="0.25">
      <c r="A1531">
        <v>131.3892156063196</v>
      </c>
      <c r="B1531">
        <v>-272.94999650469401</v>
      </c>
      <c r="C1531">
        <v>1256.0544640000001</v>
      </c>
      <c r="E1531">
        <f t="shared" si="69"/>
        <v>-131.38921560631945</v>
      </c>
      <c r="F1531">
        <f t="shared" si="70"/>
        <v>695.1598355807206</v>
      </c>
    </row>
    <row r="1532" spans="1:6" x14ac:dyDescent="0.25">
      <c r="A1532">
        <v>175.70165015450812</v>
      </c>
      <c r="B1532">
        <v>-257.86729613748878</v>
      </c>
      <c r="C1532">
        <v>1256.0544640000001</v>
      </c>
      <c r="E1532">
        <f t="shared" si="69"/>
        <v>-175.70165015450797</v>
      </c>
      <c r="F1532">
        <f t="shared" si="70"/>
        <v>705.82491528897629</v>
      </c>
    </row>
    <row r="1533" spans="1:6" x14ac:dyDescent="0.25">
      <c r="A1533">
        <v>224.74974301255128</v>
      </c>
      <c r="B1533">
        <v>-237.13654570681413</v>
      </c>
      <c r="C1533">
        <v>1256.0544640000001</v>
      </c>
      <c r="E1533">
        <f t="shared" si="69"/>
        <v>-224.74974301255114</v>
      </c>
      <c r="F1533">
        <f t="shared" si="70"/>
        <v>720.48376949759222</v>
      </c>
    </row>
    <row r="1534" spans="1:6" x14ac:dyDescent="0.25">
      <c r="A1534">
        <v>271.37787749213277</v>
      </c>
      <c r="B1534">
        <v>-212.93588194778027</v>
      </c>
      <c r="C1534">
        <v>1256.0544640000001</v>
      </c>
      <c r="E1534">
        <f t="shared" si="69"/>
        <v>-271.3778774921326</v>
      </c>
      <c r="F1534">
        <f t="shared" si="70"/>
        <v>737.59622295082067</v>
      </c>
    </row>
    <row r="1535" spans="1:6" x14ac:dyDescent="0.25">
      <c r="A1535">
        <v>309.58032092527105</v>
      </c>
      <c r="B1535">
        <v>-188.80948607732259</v>
      </c>
      <c r="C1535">
        <v>1256.0544640000001</v>
      </c>
      <c r="E1535">
        <f t="shared" si="69"/>
        <v>-309.58032092527088</v>
      </c>
      <c r="F1535">
        <f t="shared" si="70"/>
        <v>754.65616107641245</v>
      </c>
    </row>
    <row r="1536" spans="1:6" x14ac:dyDescent="0.25">
      <c r="A1536">
        <v>340.7989289055003</v>
      </c>
      <c r="B1536">
        <v>-165.42527490034573</v>
      </c>
      <c r="C1536">
        <v>1256.0544640000001</v>
      </c>
      <c r="E1536">
        <f t="shared" si="69"/>
        <v>-340.79892890550013</v>
      </c>
      <c r="F1536">
        <f t="shared" si="70"/>
        <v>771.19129537235096</v>
      </c>
    </row>
    <row r="1537" spans="1:6" x14ac:dyDescent="0.25">
      <c r="A1537">
        <v>367.98449734456352</v>
      </c>
      <c r="B1537">
        <v>-141.54004709275409</v>
      </c>
      <c r="C1537">
        <v>1256.0544640000001</v>
      </c>
      <c r="E1537">
        <f t="shared" si="69"/>
        <v>-367.98449734456335</v>
      </c>
      <c r="F1537">
        <f t="shared" si="70"/>
        <v>788.08070192528453</v>
      </c>
    </row>
    <row r="1538" spans="1:6" x14ac:dyDescent="0.25">
      <c r="A1538">
        <v>389.22322499252675</v>
      </c>
      <c r="B1538">
        <v>-119.03570071571087</v>
      </c>
      <c r="C1538">
        <v>1256.0544640000001</v>
      </c>
      <c r="E1538">
        <f t="shared" si="69"/>
        <v>-389.22322499252658</v>
      </c>
      <c r="F1538">
        <f t="shared" si="70"/>
        <v>803.99367785466268</v>
      </c>
    </row>
    <row r="1539" spans="1:6" x14ac:dyDescent="0.25">
      <c r="A1539">
        <v>405.20298065914562</v>
      </c>
      <c r="B1539">
        <v>-99.382712883941366</v>
      </c>
      <c r="C1539">
        <v>1256.0544640000001</v>
      </c>
      <c r="E1539">
        <f t="shared" si="69"/>
        <v>-405.20298065914545</v>
      </c>
      <c r="F1539">
        <f t="shared" si="70"/>
        <v>817.89043882108365</v>
      </c>
    </row>
    <row r="1540" spans="1:6" x14ac:dyDescent="0.25">
      <c r="A1540">
        <v>417.55541433934167</v>
      </c>
      <c r="B1540">
        <v>-81.79305296903199</v>
      </c>
      <c r="C1540">
        <v>1256.0544640000001</v>
      </c>
      <c r="E1540">
        <f t="shared" si="69"/>
        <v>-417.5554143393415</v>
      </c>
      <c r="F1540">
        <f t="shared" si="70"/>
        <v>830.32820662568122</v>
      </c>
    </row>
    <row r="1541" spans="1:6" x14ac:dyDescent="0.25">
      <c r="A1541">
        <v>427.31144382124478</v>
      </c>
      <c r="B1541">
        <v>-65.702195686852505</v>
      </c>
      <c r="C1541">
        <v>1256.0544640000001</v>
      </c>
      <c r="E1541">
        <f t="shared" si="69"/>
        <v>-427.31144382124461</v>
      </c>
      <c r="F1541">
        <f t="shared" si="70"/>
        <v>841.7061609250153</v>
      </c>
    </row>
    <row r="1542" spans="1:6" x14ac:dyDescent="0.25">
      <c r="A1542">
        <v>433.71259809875704</v>
      </c>
      <c r="B1542">
        <v>-51.243421740084145</v>
      </c>
      <c r="C1542">
        <v>1256.0544640000001</v>
      </c>
      <c r="E1542">
        <f t="shared" si="69"/>
        <v>-433.71259809875687</v>
      </c>
      <c r="F1542">
        <f t="shared" si="70"/>
        <v>851.93005803041854</v>
      </c>
    </row>
    <row r="1543" spans="1:6" x14ac:dyDescent="0.25">
      <c r="A1543">
        <v>438.52882994320248</v>
      </c>
      <c r="B1543">
        <v>-37.573390057150583</v>
      </c>
      <c r="C1543">
        <v>1256.0544640000001</v>
      </c>
      <c r="E1543">
        <f t="shared" si="69"/>
        <v>-438.52882994320231</v>
      </c>
      <c r="F1543">
        <f t="shared" si="70"/>
        <v>861.59623013245584</v>
      </c>
    </row>
    <row r="1544" spans="1:6" x14ac:dyDescent="0.25">
      <c r="A1544">
        <v>442.12875172740377</v>
      </c>
      <c r="B1544">
        <v>-24.393061056701132</v>
      </c>
      <c r="C1544">
        <v>1256.0544640000001</v>
      </c>
      <c r="E1544">
        <f t="shared" si="69"/>
        <v>-442.1287517274036</v>
      </c>
      <c r="F1544">
        <f t="shared" si="70"/>
        <v>870.91613014694337</v>
      </c>
    </row>
    <row r="1545" spans="1:6" x14ac:dyDescent="0.25">
      <c r="A1545">
        <v>444.70165114139496</v>
      </c>
      <c r="B1545">
        <v>-11.468420463072738</v>
      </c>
      <c r="C1545">
        <v>1256.0544640000001</v>
      </c>
      <c r="E1545">
        <f t="shared" si="69"/>
        <v>-444.70165114139479</v>
      </c>
      <c r="F1545">
        <f t="shared" si="70"/>
        <v>880.05523115509698</v>
      </c>
    </row>
    <row r="1546" spans="1:6" x14ac:dyDescent="0.25">
      <c r="A1546">
        <v>446.16426807596696</v>
      </c>
      <c r="B1546">
        <v>0</v>
      </c>
      <c r="C1546">
        <v>1256.0544640000001</v>
      </c>
      <c r="E1546">
        <f t="shared" si="69"/>
        <v>-446.16426807596679</v>
      </c>
      <c r="F1546">
        <f t="shared" si="70"/>
        <v>888.16462903403419</v>
      </c>
    </row>
    <row r="1547" spans="1:6" x14ac:dyDescent="0.25">
      <c r="A1547">
        <v>444.70165114139496</v>
      </c>
      <c r="B1547">
        <v>11.468420463072762</v>
      </c>
      <c r="C1547">
        <v>1256.0544640000001</v>
      </c>
      <c r="E1547">
        <f t="shared" si="69"/>
        <v>-444.70165114139479</v>
      </c>
      <c r="F1547">
        <f t="shared" si="70"/>
        <v>896.27402691297152</v>
      </c>
    </row>
    <row r="1548" spans="1:6" x14ac:dyDescent="0.25">
      <c r="A1548">
        <v>442.12875172740371</v>
      </c>
      <c r="B1548">
        <v>24.393061056701004</v>
      </c>
      <c r="C1548">
        <v>1256.0544640000001</v>
      </c>
      <c r="E1548">
        <f t="shared" si="69"/>
        <v>-442.12875172740354</v>
      </c>
      <c r="F1548">
        <f t="shared" si="70"/>
        <v>905.41312792112501</v>
      </c>
    </row>
    <row r="1549" spans="1:6" x14ac:dyDescent="0.25">
      <c r="A1549">
        <v>438.52882994320254</v>
      </c>
      <c r="B1549">
        <v>37.573390057150618</v>
      </c>
      <c r="C1549">
        <v>1256.0544640000001</v>
      </c>
      <c r="E1549">
        <f t="shared" si="69"/>
        <v>-438.52882994320237</v>
      </c>
      <c r="F1549">
        <f t="shared" si="70"/>
        <v>914.73302793561265</v>
      </c>
    </row>
    <row r="1550" spans="1:6" x14ac:dyDescent="0.25">
      <c r="A1550">
        <v>433.71259809875704</v>
      </c>
      <c r="B1550">
        <v>51.243421740084187</v>
      </c>
      <c r="C1550">
        <v>1256.0544640000001</v>
      </c>
      <c r="E1550">
        <f t="shared" si="69"/>
        <v>-433.71259809875687</v>
      </c>
      <c r="F1550">
        <f t="shared" si="70"/>
        <v>924.39920003764996</v>
      </c>
    </row>
    <row r="1551" spans="1:6" x14ac:dyDescent="0.25">
      <c r="A1551">
        <v>427.31144382124478</v>
      </c>
      <c r="B1551">
        <v>65.702195686852505</v>
      </c>
      <c r="C1551">
        <v>1256.0544640000001</v>
      </c>
      <c r="E1551">
        <f t="shared" si="69"/>
        <v>-427.31144382124461</v>
      </c>
      <c r="F1551">
        <f t="shared" si="70"/>
        <v>934.6230971430532</v>
      </c>
    </row>
    <row r="1552" spans="1:6" x14ac:dyDescent="0.25">
      <c r="A1552">
        <v>417.55541433934167</v>
      </c>
      <c r="B1552">
        <v>81.79305296903199</v>
      </c>
      <c r="C1552">
        <v>1256.0544640000001</v>
      </c>
      <c r="E1552">
        <f t="shared" si="69"/>
        <v>-417.5554143393415</v>
      </c>
      <c r="F1552">
        <f t="shared" si="70"/>
        <v>946.00105144238728</v>
      </c>
    </row>
    <row r="1553" spans="1:6" x14ac:dyDescent="0.25">
      <c r="A1553">
        <v>405.20298065914562</v>
      </c>
      <c r="B1553">
        <v>99.382712883941366</v>
      </c>
      <c r="C1553">
        <v>1256.0544640000001</v>
      </c>
      <c r="E1553">
        <f t="shared" si="69"/>
        <v>-405.20298065914545</v>
      </c>
      <c r="F1553">
        <f t="shared" si="70"/>
        <v>958.43881924698485</v>
      </c>
    </row>
    <row r="1554" spans="1:6" x14ac:dyDescent="0.25">
      <c r="A1554">
        <v>389.22322499252675</v>
      </c>
      <c r="B1554">
        <v>119.03570071571092</v>
      </c>
      <c r="C1554">
        <v>1256.0544640000001</v>
      </c>
      <c r="E1554">
        <f t="shared" si="69"/>
        <v>-389.22322499252658</v>
      </c>
      <c r="F1554">
        <f t="shared" si="70"/>
        <v>972.33558021340582</v>
      </c>
    </row>
    <row r="1555" spans="1:6" x14ac:dyDescent="0.25">
      <c r="A1555">
        <v>367.98449734456352</v>
      </c>
      <c r="B1555">
        <v>141.54004709275404</v>
      </c>
      <c r="C1555">
        <v>1256.0544640000001</v>
      </c>
      <c r="E1555">
        <f t="shared" si="69"/>
        <v>-367.98449734456335</v>
      </c>
      <c r="F1555">
        <f t="shared" si="70"/>
        <v>988.24855614278385</v>
      </c>
    </row>
    <row r="1556" spans="1:6" x14ac:dyDescent="0.25">
      <c r="A1556">
        <v>340.79892890550036</v>
      </c>
      <c r="B1556">
        <v>165.42527490034576</v>
      </c>
      <c r="C1556">
        <v>1256.0544640000001</v>
      </c>
      <c r="E1556">
        <f t="shared" ref="E1556:E1619" si="71">($I$2*A1556)+($K$2*B1556)+($M$2*C1556)</f>
        <v>-340.79892890550019</v>
      </c>
      <c r="F1556">
        <f t="shared" ref="F1556:F1619" si="72">($J$2*A1556)+($L$2*B1556)+($N$2*C1556)</f>
        <v>1005.1379626957175</v>
      </c>
    </row>
    <row r="1557" spans="1:6" x14ac:dyDescent="0.25">
      <c r="A1557">
        <v>309.58032092527122</v>
      </c>
      <c r="B1557">
        <v>188.80948607732242</v>
      </c>
      <c r="C1557">
        <v>1256.0544640000001</v>
      </c>
      <c r="E1557">
        <f t="shared" si="71"/>
        <v>-309.58032092527105</v>
      </c>
      <c r="F1557">
        <f t="shared" si="72"/>
        <v>1021.6730969916559</v>
      </c>
    </row>
    <row r="1558" spans="1:6" x14ac:dyDescent="0.25">
      <c r="A1558">
        <v>271.37787749213311</v>
      </c>
      <c r="B1558">
        <v>212.93588194778016</v>
      </c>
      <c r="C1558">
        <v>1256.0544640000001</v>
      </c>
      <c r="E1558">
        <f t="shared" si="71"/>
        <v>-271.37787749213294</v>
      </c>
      <c r="F1558">
        <f t="shared" si="72"/>
        <v>1038.7330351172477</v>
      </c>
    </row>
    <row r="1559" spans="1:6" x14ac:dyDescent="0.25">
      <c r="A1559">
        <v>224.74974301255151</v>
      </c>
      <c r="B1559">
        <v>237.13654570681402</v>
      </c>
      <c r="C1559">
        <v>1256.0544640000001</v>
      </c>
      <c r="E1559">
        <f t="shared" si="71"/>
        <v>-224.74974301255136</v>
      </c>
      <c r="F1559">
        <f t="shared" si="72"/>
        <v>1055.8454885704762</v>
      </c>
    </row>
    <row r="1560" spans="1:6" x14ac:dyDescent="0.25">
      <c r="A1560">
        <v>175.70165015450849</v>
      </c>
      <c r="B1560">
        <v>257.86729613748895</v>
      </c>
      <c r="C1560">
        <v>1256.0544640000001</v>
      </c>
      <c r="E1560">
        <f t="shared" si="71"/>
        <v>-175.70165015450834</v>
      </c>
      <c r="F1560">
        <f t="shared" si="72"/>
        <v>1070.5043427790922</v>
      </c>
    </row>
    <row r="1561" spans="1:6" x14ac:dyDescent="0.25">
      <c r="A1561">
        <v>131.38921560631945</v>
      </c>
      <c r="B1561">
        <v>272.9499965046939</v>
      </c>
      <c r="C1561">
        <v>1256.0544640000001</v>
      </c>
      <c r="E1561">
        <f t="shared" si="71"/>
        <v>-131.38921560631931</v>
      </c>
      <c r="F1561">
        <f t="shared" si="72"/>
        <v>1081.1694224873477</v>
      </c>
    </row>
    <row r="1562" spans="1:6" x14ac:dyDescent="0.25">
      <c r="A1562">
        <v>88.032911929493807</v>
      </c>
      <c r="B1562">
        <v>284.19617358048771</v>
      </c>
      <c r="C1562">
        <v>1256.0544640000001</v>
      </c>
      <c r="E1562">
        <f t="shared" si="71"/>
        <v>-88.03291192949365</v>
      </c>
      <c r="F1562">
        <f t="shared" si="72"/>
        <v>1089.1216705600661</v>
      </c>
    </row>
    <row r="1563" spans="1:6" x14ac:dyDescent="0.25">
      <c r="A1563">
        <v>43.408095957228348</v>
      </c>
      <c r="B1563">
        <v>291.22036290415571</v>
      </c>
      <c r="C1563">
        <v>1256.0544640000001</v>
      </c>
      <c r="E1563">
        <f t="shared" si="71"/>
        <v>-43.408095957228191</v>
      </c>
      <c r="F1563">
        <f t="shared" si="72"/>
        <v>1094.08852246317</v>
      </c>
    </row>
    <row r="1564" spans="1:6" x14ac:dyDescent="0.25">
      <c r="A1564">
        <v>9.3619142024729426E-14</v>
      </c>
      <c r="B1564">
        <v>293.67755408607098</v>
      </c>
      <c r="C1564">
        <v>1256.0544640000001</v>
      </c>
      <c r="E1564">
        <f t="shared" si="71"/>
        <v>6.0266176560338073E-14</v>
      </c>
      <c r="F1564">
        <f t="shared" si="72"/>
        <v>1095.8260190105741</v>
      </c>
    </row>
    <row r="1565" spans="1:6" x14ac:dyDescent="0.25">
      <c r="A1565">
        <v>-43.408095957228547</v>
      </c>
      <c r="B1565">
        <v>291.22036290415571</v>
      </c>
      <c r="C1565">
        <v>1256.0544640000001</v>
      </c>
      <c r="E1565">
        <f t="shared" si="71"/>
        <v>43.408095957228703</v>
      </c>
      <c r="F1565">
        <f t="shared" si="72"/>
        <v>1094.08852246317</v>
      </c>
    </row>
    <row r="1566" spans="1:6" x14ac:dyDescent="0.25">
      <c r="A1566">
        <v>-88.032911929493693</v>
      </c>
      <c r="B1566">
        <v>284.19617358048782</v>
      </c>
      <c r="C1566">
        <v>1256.0544640000001</v>
      </c>
      <c r="E1566">
        <f t="shared" si="71"/>
        <v>88.032911929493849</v>
      </c>
      <c r="F1566">
        <f t="shared" si="72"/>
        <v>1089.1216705600664</v>
      </c>
    </row>
    <row r="1567" spans="1:6" x14ac:dyDescent="0.25">
      <c r="A1567">
        <v>-131.38921560631951</v>
      </c>
      <c r="B1567">
        <v>272.94999650469401</v>
      </c>
      <c r="C1567">
        <v>1256.0544640000001</v>
      </c>
      <c r="E1567">
        <f t="shared" si="71"/>
        <v>131.38921560631965</v>
      </c>
      <c r="F1567">
        <f t="shared" si="72"/>
        <v>1081.1694224873477</v>
      </c>
    </row>
    <row r="1568" spans="1:6" x14ac:dyDescent="0.25">
      <c r="A1568">
        <v>-175.70165015450792</v>
      </c>
      <c r="B1568">
        <v>257.86729613748901</v>
      </c>
      <c r="C1568">
        <v>1256.0544640000001</v>
      </c>
      <c r="E1568">
        <f t="shared" si="71"/>
        <v>175.70165015450806</v>
      </c>
      <c r="F1568">
        <f t="shared" si="72"/>
        <v>1070.5043427790922</v>
      </c>
    </row>
    <row r="1569" spans="1:6" x14ac:dyDescent="0.25">
      <c r="A1569">
        <v>-224.74974301255102</v>
      </c>
      <c r="B1569">
        <v>237.13654570681425</v>
      </c>
      <c r="C1569">
        <v>1256.0544640000001</v>
      </c>
      <c r="E1569">
        <f t="shared" si="71"/>
        <v>224.74974301255116</v>
      </c>
      <c r="F1569">
        <f t="shared" si="72"/>
        <v>1055.8454885704762</v>
      </c>
    </row>
    <row r="1570" spans="1:6" x14ac:dyDescent="0.25">
      <c r="A1570">
        <v>-271.377877492133</v>
      </c>
      <c r="B1570">
        <v>212.93588194778022</v>
      </c>
      <c r="C1570">
        <v>1256.0544640000001</v>
      </c>
      <c r="E1570">
        <f t="shared" si="71"/>
        <v>271.37787749213317</v>
      </c>
      <c r="F1570">
        <f t="shared" si="72"/>
        <v>1038.7330351172477</v>
      </c>
    </row>
    <row r="1571" spans="1:6" x14ac:dyDescent="0.25">
      <c r="A1571">
        <v>-309.58032092527105</v>
      </c>
      <c r="B1571">
        <v>188.80948607732242</v>
      </c>
      <c r="C1571">
        <v>1256.0544640000001</v>
      </c>
      <c r="E1571">
        <f t="shared" si="71"/>
        <v>309.58032092527122</v>
      </c>
      <c r="F1571">
        <f t="shared" si="72"/>
        <v>1021.6730969916559</v>
      </c>
    </row>
    <row r="1572" spans="1:6" x14ac:dyDescent="0.25">
      <c r="A1572">
        <v>-340.79892890550019</v>
      </c>
      <c r="B1572">
        <v>165.42527490034593</v>
      </c>
      <c r="C1572">
        <v>1256.0544640000001</v>
      </c>
      <c r="E1572">
        <f t="shared" si="71"/>
        <v>340.79892890550036</v>
      </c>
      <c r="F1572">
        <f t="shared" si="72"/>
        <v>1005.1379626957175</v>
      </c>
    </row>
    <row r="1573" spans="1:6" x14ac:dyDescent="0.25">
      <c r="A1573">
        <v>-367.98449734456335</v>
      </c>
      <c r="B1573">
        <v>141.54004709275407</v>
      </c>
      <c r="C1573">
        <v>1256.0544640000001</v>
      </c>
      <c r="E1573">
        <f t="shared" si="71"/>
        <v>367.98449734456352</v>
      </c>
      <c r="F1573">
        <f t="shared" si="72"/>
        <v>988.24855614278385</v>
      </c>
    </row>
    <row r="1574" spans="1:6" x14ac:dyDescent="0.25">
      <c r="A1574">
        <v>-389.2232249925267</v>
      </c>
      <c r="B1574">
        <v>119.03570071571092</v>
      </c>
      <c r="C1574">
        <v>1256.0544640000001</v>
      </c>
      <c r="E1574">
        <f t="shared" si="71"/>
        <v>389.22322499252687</v>
      </c>
      <c r="F1574">
        <f t="shared" si="72"/>
        <v>972.33558021340571</v>
      </c>
    </row>
    <row r="1575" spans="1:6" x14ac:dyDescent="0.25">
      <c r="A1575">
        <v>-405.20298065914557</v>
      </c>
      <c r="B1575">
        <v>99.382712883941508</v>
      </c>
      <c r="C1575">
        <v>1256.0544640000001</v>
      </c>
      <c r="E1575">
        <f t="shared" si="71"/>
        <v>405.20298065914574</v>
      </c>
      <c r="F1575">
        <f t="shared" si="72"/>
        <v>958.43881924698485</v>
      </c>
    </row>
    <row r="1576" spans="1:6" x14ac:dyDescent="0.25">
      <c r="A1576">
        <v>-417.55541433934172</v>
      </c>
      <c r="B1576">
        <v>81.79305296903209</v>
      </c>
      <c r="C1576">
        <v>1256.0544640000001</v>
      </c>
      <c r="E1576">
        <f t="shared" si="71"/>
        <v>417.55541433934189</v>
      </c>
      <c r="F1576">
        <f t="shared" si="72"/>
        <v>946.00105144238728</v>
      </c>
    </row>
    <row r="1577" spans="1:6" x14ac:dyDescent="0.25">
      <c r="A1577">
        <v>-427.31144382124484</v>
      </c>
      <c r="B1577">
        <v>65.702195686852619</v>
      </c>
      <c r="C1577">
        <v>1256.0544640000001</v>
      </c>
      <c r="E1577">
        <f t="shared" si="71"/>
        <v>427.31144382124501</v>
      </c>
      <c r="F1577">
        <f t="shared" si="72"/>
        <v>934.6230971430532</v>
      </c>
    </row>
    <row r="1578" spans="1:6" x14ac:dyDescent="0.25">
      <c r="A1578">
        <v>-433.71259809875733</v>
      </c>
      <c r="B1578">
        <v>51.243421740084294</v>
      </c>
      <c r="C1578">
        <v>1256.0544640000001</v>
      </c>
      <c r="E1578">
        <f t="shared" si="71"/>
        <v>433.7125980987575</v>
      </c>
      <c r="F1578">
        <f t="shared" si="72"/>
        <v>924.39920003764996</v>
      </c>
    </row>
    <row r="1579" spans="1:6" x14ac:dyDescent="0.25">
      <c r="A1579">
        <v>-438.52882994320248</v>
      </c>
      <c r="B1579">
        <v>37.573390057150647</v>
      </c>
      <c r="C1579">
        <v>1256.0544640000001</v>
      </c>
      <c r="E1579">
        <f t="shared" si="71"/>
        <v>438.52882994320265</v>
      </c>
      <c r="F1579">
        <f t="shared" si="72"/>
        <v>914.73302793561254</v>
      </c>
    </row>
    <row r="1580" spans="1:6" x14ac:dyDescent="0.25">
      <c r="A1580">
        <v>-442.12875172740371</v>
      </c>
      <c r="B1580">
        <v>24.393061056700994</v>
      </c>
      <c r="C1580">
        <v>1256.0544640000001</v>
      </c>
      <c r="E1580">
        <f t="shared" si="71"/>
        <v>442.12875172740388</v>
      </c>
      <c r="F1580">
        <f t="shared" si="72"/>
        <v>905.4131279211249</v>
      </c>
    </row>
    <row r="1581" spans="1:6" x14ac:dyDescent="0.25">
      <c r="A1581">
        <v>-419.12307879037979</v>
      </c>
      <c r="B1581">
        <v>-4.5575639511606939E-14</v>
      </c>
      <c r="C1581">
        <v>1336.1332479999999</v>
      </c>
      <c r="E1581">
        <f t="shared" si="71"/>
        <v>419.12307879037996</v>
      </c>
      <c r="F1581">
        <f t="shared" si="72"/>
        <v>944.78888022960678</v>
      </c>
    </row>
    <row r="1582" spans="1:6" x14ac:dyDescent="0.25">
      <c r="A1582">
        <v>-417.58890750212754</v>
      </c>
      <c r="B1582">
        <v>-12.775250358967643</v>
      </c>
      <c r="C1582">
        <v>1336.1332479999999</v>
      </c>
      <c r="E1582">
        <f t="shared" si="71"/>
        <v>417.58890750212771</v>
      </c>
      <c r="F1582">
        <f t="shared" si="72"/>
        <v>935.755414069425</v>
      </c>
    </row>
    <row r="1583" spans="1:6" x14ac:dyDescent="0.25">
      <c r="A1583">
        <v>-415.13201267426399</v>
      </c>
      <c r="B1583">
        <v>-25.603397314041128</v>
      </c>
      <c r="C1583">
        <v>1336.1332479999999</v>
      </c>
      <c r="E1583">
        <f t="shared" si="71"/>
        <v>415.13201267426416</v>
      </c>
      <c r="F1583">
        <f t="shared" si="72"/>
        <v>926.68454436743491</v>
      </c>
    </row>
    <row r="1584" spans="1:6" x14ac:dyDescent="0.25">
      <c r="A1584">
        <v>-411.63856319835855</v>
      </c>
      <c r="B1584">
        <v>-38.699158868679447</v>
      </c>
      <c r="C1584">
        <v>1336.1332479999999</v>
      </c>
      <c r="E1584">
        <f t="shared" si="71"/>
        <v>411.63856319835872</v>
      </c>
      <c r="F1584">
        <f t="shared" si="72"/>
        <v>917.42444256734814</v>
      </c>
    </row>
    <row r="1585" spans="1:6" x14ac:dyDescent="0.25">
      <c r="A1585">
        <v>-407.3384831081222</v>
      </c>
      <c r="B1585">
        <v>-50.890321592165925</v>
      </c>
      <c r="C1585">
        <v>1336.1332479999999</v>
      </c>
      <c r="E1585">
        <f t="shared" si="71"/>
        <v>407.33848310812238</v>
      </c>
      <c r="F1585">
        <f t="shared" si="72"/>
        <v>908.80398873502213</v>
      </c>
    </row>
    <row r="1586" spans="1:6" x14ac:dyDescent="0.25">
      <c r="A1586">
        <v>-401.10937721407726</v>
      </c>
      <c r="B1586">
        <v>-65.253469716158662</v>
      </c>
      <c r="C1586">
        <v>1336.1332479999999</v>
      </c>
      <c r="E1586">
        <f t="shared" si="71"/>
        <v>401.10937721407743</v>
      </c>
      <c r="F1586">
        <f t="shared" si="72"/>
        <v>898.64770929736005</v>
      </c>
    </row>
    <row r="1587" spans="1:6" x14ac:dyDescent="0.25">
      <c r="A1587">
        <v>-392.05130780979709</v>
      </c>
      <c r="B1587">
        <v>-81.028091943410374</v>
      </c>
      <c r="C1587">
        <v>1336.1332479999999</v>
      </c>
      <c r="E1587">
        <f t="shared" si="71"/>
        <v>392.05130780979727</v>
      </c>
      <c r="F1587">
        <f t="shared" si="72"/>
        <v>887.49336694981434</v>
      </c>
    </row>
    <row r="1588" spans="1:6" x14ac:dyDescent="0.25">
      <c r="A1588">
        <v>-379.71829961626815</v>
      </c>
      <c r="B1588">
        <v>-98.552045903614228</v>
      </c>
      <c r="C1588">
        <v>1336.1332479999999</v>
      </c>
      <c r="E1588">
        <f t="shared" si="71"/>
        <v>379.71829961626833</v>
      </c>
      <c r="F1588">
        <f t="shared" si="72"/>
        <v>875.10206027135337</v>
      </c>
    </row>
    <row r="1589" spans="1:6" x14ac:dyDescent="0.25">
      <c r="A1589">
        <v>-363.74561511689694</v>
      </c>
      <c r="B1589">
        <v>-118.14681387858069</v>
      </c>
      <c r="C1589">
        <v>1336.1332479999999</v>
      </c>
      <c r="E1589">
        <f t="shared" si="71"/>
        <v>363.74561511689711</v>
      </c>
      <c r="F1589">
        <f t="shared" si="72"/>
        <v>861.24646696047751</v>
      </c>
    </row>
    <row r="1590" spans="1:6" x14ac:dyDescent="0.25">
      <c r="A1590">
        <v>-344.05883368775341</v>
      </c>
      <c r="B1590">
        <v>-138.91492249253571</v>
      </c>
      <c r="C1590">
        <v>1336.1332479999999</v>
      </c>
      <c r="E1590">
        <f t="shared" si="71"/>
        <v>344.05883368775358</v>
      </c>
      <c r="F1590">
        <f t="shared" si="72"/>
        <v>846.56119652713119</v>
      </c>
    </row>
    <row r="1591" spans="1:6" x14ac:dyDescent="0.25">
      <c r="A1591">
        <v>-319.73222909524014</v>
      </c>
      <c r="B1591">
        <v>-160.69808304589279</v>
      </c>
      <c r="C1591">
        <v>1336.1332479999999</v>
      </c>
      <c r="E1591">
        <f t="shared" si="71"/>
        <v>319.73222909524031</v>
      </c>
      <c r="F1591">
        <f t="shared" si="72"/>
        <v>831.15817598417709</v>
      </c>
    </row>
    <row r="1592" spans="1:6" x14ac:dyDescent="0.25">
      <c r="A1592">
        <v>-292.00178819609238</v>
      </c>
      <c r="B1592">
        <v>-181.33621763870244</v>
      </c>
      <c r="C1592">
        <v>1336.1332479999999</v>
      </c>
      <c r="E1592">
        <f t="shared" si="71"/>
        <v>292.00178819609255</v>
      </c>
      <c r="F1592">
        <f t="shared" si="72"/>
        <v>816.56481106256069</v>
      </c>
    </row>
    <row r="1593" spans="1:6" x14ac:dyDescent="0.25">
      <c r="A1593">
        <v>-261.16564790467805</v>
      </c>
      <c r="B1593">
        <v>-200.54068093791506</v>
      </c>
      <c r="C1593">
        <v>1336.1332479999999</v>
      </c>
      <c r="E1593">
        <f t="shared" si="71"/>
        <v>261.16564790467822</v>
      </c>
      <c r="F1593">
        <f t="shared" si="72"/>
        <v>802.98520483463926</v>
      </c>
    </row>
    <row r="1594" spans="1:6" x14ac:dyDescent="0.25">
      <c r="A1594">
        <v>-221.68924731071735</v>
      </c>
      <c r="B1594">
        <v>-220.98427627058197</v>
      </c>
      <c r="C1594">
        <v>1336.1332479999999</v>
      </c>
      <c r="E1594">
        <f t="shared" si="71"/>
        <v>221.68924731071752</v>
      </c>
      <c r="F1594">
        <f t="shared" si="72"/>
        <v>788.5293999430769</v>
      </c>
    </row>
    <row r="1595" spans="1:6" x14ac:dyDescent="0.25">
      <c r="A1595">
        <v>-173.95819938900391</v>
      </c>
      <c r="B1595">
        <v>-241.23302050277755</v>
      </c>
      <c r="C1595">
        <v>1336.1332479999999</v>
      </c>
      <c r="E1595">
        <f t="shared" si="71"/>
        <v>173.95819938900408</v>
      </c>
      <c r="F1595">
        <f t="shared" si="72"/>
        <v>774.21137558597934</v>
      </c>
    </row>
    <row r="1596" spans="1:6" x14ac:dyDescent="0.25">
      <c r="A1596">
        <v>-129.66802489581565</v>
      </c>
      <c r="B1596">
        <v>-256.32948685981262</v>
      </c>
      <c r="C1596">
        <v>1336.1332479999999</v>
      </c>
      <c r="E1596">
        <f t="shared" si="71"/>
        <v>129.66802489581582</v>
      </c>
      <c r="F1596">
        <f t="shared" si="72"/>
        <v>763.53656185296541</v>
      </c>
    </row>
    <row r="1597" spans="1:6" x14ac:dyDescent="0.25">
      <c r="A1597">
        <v>-86.841669992601567</v>
      </c>
      <c r="B1597">
        <v>-267.17048334448782</v>
      </c>
      <c r="C1597">
        <v>1336.1332479999999</v>
      </c>
      <c r="E1597">
        <f t="shared" si="71"/>
        <v>86.841669992601737</v>
      </c>
      <c r="F1597">
        <f t="shared" si="72"/>
        <v>755.87081972383203</v>
      </c>
    </row>
    <row r="1598" spans="1:6" x14ac:dyDescent="0.25">
      <c r="A1598">
        <v>-43.060805752971845</v>
      </c>
      <c r="B1598">
        <v>-273.61161067404134</v>
      </c>
      <c r="C1598">
        <v>1336.1332479999999</v>
      </c>
      <c r="E1598">
        <f t="shared" si="71"/>
        <v>43.060805752972009</v>
      </c>
      <c r="F1598">
        <f t="shared" si="72"/>
        <v>751.31625491061868</v>
      </c>
    </row>
    <row r="1599" spans="1:6" x14ac:dyDescent="0.25">
      <c r="A1599">
        <v>1.5164626074149435E-13</v>
      </c>
      <c r="B1599">
        <v>-275.88024976452573</v>
      </c>
      <c r="C1599">
        <v>1336.1332479999999</v>
      </c>
      <c r="E1599">
        <f t="shared" si="71"/>
        <v>1.2049897692429232E-14</v>
      </c>
      <c r="F1599">
        <f t="shared" si="72"/>
        <v>749.71208482567226</v>
      </c>
    </row>
    <row r="1600" spans="1:6" x14ac:dyDescent="0.25">
      <c r="A1600">
        <v>43.060805752971604</v>
      </c>
      <c r="B1600">
        <v>-273.61161067404146</v>
      </c>
      <c r="C1600">
        <v>1336.1332479999999</v>
      </c>
      <c r="E1600">
        <f t="shared" si="71"/>
        <v>-43.06080575297144</v>
      </c>
      <c r="F1600">
        <f t="shared" si="72"/>
        <v>751.31625491061868</v>
      </c>
    </row>
    <row r="1601" spans="1:6" x14ac:dyDescent="0.25">
      <c r="A1601">
        <v>86.841669992601666</v>
      </c>
      <c r="B1601">
        <v>-267.17048334448793</v>
      </c>
      <c r="C1601">
        <v>1336.1332479999999</v>
      </c>
      <c r="E1601">
        <f t="shared" si="71"/>
        <v>-86.841669992601496</v>
      </c>
      <c r="F1601">
        <f t="shared" si="72"/>
        <v>755.87081972383191</v>
      </c>
    </row>
    <row r="1602" spans="1:6" x14ac:dyDescent="0.25">
      <c r="A1602">
        <v>129.66802489581576</v>
      </c>
      <c r="B1602">
        <v>-256.32948685981279</v>
      </c>
      <c r="C1602">
        <v>1336.1332479999999</v>
      </c>
      <c r="E1602">
        <f t="shared" si="71"/>
        <v>-129.66802489581559</v>
      </c>
      <c r="F1602">
        <f t="shared" si="72"/>
        <v>763.53656185296518</v>
      </c>
    </row>
    <row r="1603" spans="1:6" x14ac:dyDescent="0.25">
      <c r="A1603">
        <v>173.95819938900379</v>
      </c>
      <c r="B1603">
        <v>-241.23302050277738</v>
      </c>
      <c r="C1603">
        <v>1336.1332479999999</v>
      </c>
      <c r="E1603">
        <f t="shared" si="71"/>
        <v>-173.95819938900362</v>
      </c>
      <c r="F1603">
        <f t="shared" si="72"/>
        <v>774.21137558597957</v>
      </c>
    </row>
    <row r="1604" spans="1:6" x14ac:dyDescent="0.25">
      <c r="A1604">
        <v>221.68924731071732</v>
      </c>
      <c r="B1604">
        <v>-220.98427627058189</v>
      </c>
      <c r="C1604">
        <v>1336.1332479999999</v>
      </c>
      <c r="E1604">
        <f t="shared" si="71"/>
        <v>-221.68924731071715</v>
      </c>
      <c r="F1604">
        <f t="shared" si="72"/>
        <v>788.52939994307701</v>
      </c>
    </row>
    <row r="1605" spans="1:6" x14ac:dyDescent="0.25">
      <c r="A1605">
        <v>261.16564790467788</v>
      </c>
      <c r="B1605">
        <v>-200.54068093791503</v>
      </c>
      <c r="C1605">
        <v>1336.1332479999999</v>
      </c>
      <c r="E1605">
        <f t="shared" si="71"/>
        <v>-261.16564790467771</v>
      </c>
      <c r="F1605">
        <f t="shared" si="72"/>
        <v>802.98520483463938</v>
      </c>
    </row>
    <row r="1606" spans="1:6" x14ac:dyDescent="0.25">
      <c r="A1606">
        <v>292.00178819609238</v>
      </c>
      <c r="B1606">
        <v>-181.33621763870258</v>
      </c>
      <c r="C1606">
        <v>1336.1332479999999</v>
      </c>
      <c r="E1606">
        <f t="shared" si="71"/>
        <v>-292.00178819609221</v>
      </c>
      <c r="F1606">
        <f t="shared" si="72"/>
        <v>816.56481106256069</v>
      </c>
    </row>
    <row r="1607" spans="1:6" x14ac:dyDescent="0.25">
      <c r="A1607">
        <v>319.73222909524009</v>
      </c>
      <c r="B1607">
        <v>-160.69808304589262</v>
      </c>
      <c r="C1607">
        <v>1336.1332479999999</v>
      </c>
      <c r="E1607">
        <f t="shared" si="71"/>
        <v>-319.73222909523992</v>
      </c>
      <c r="F1607">
        <f t="shared" si="72"/>
        <v>831.15817598417732</v>
      </c>
    </row>
    <row r="1608" spans="1:6" x14ac:dyDescent="0.25">
      <c r="A1608">
        <v>344.05883368775358</v>
      </c>
      <c r="B1608">
        <v>-138.91492249253568</v>
      </c>
      <c r="C1608">
        <v>1336.1332479999999</v>
      </c>
      <c r="E1608">
        <f t="shared" si="71"/>
        <v>-344.05883368775341</v>
      </c>
      <c r="F1608">
        <f t="shared" si="72"/>
        <v>846.5611965271313</v>
      </c>
    </row>
    <row r="1609" spans="1:6" x14ac:dyDescent="0.25">
      <c r="A1609">
        <v>363.74561511689717</v>
      </c>
      <c r="B1609">
        <v>-118.14681387858069</v>
      </c>
      <c r="C1609">
        <v>1336.1332479999999</v>
      </c>
      <c r="E1609">
        <f t="shared" si="71"/>
        <v>-363.745615116897</v>
      </c>
      <c r="F1609">
        <f t="shared" si="72"/>
        <v>861.24646696047762</v>
      </c>
    </row>
    <row r="1610" spans="1:6" x14ac:dyDescent="0.25">
      <c r="A1610">
        <v>379.71829961626844</v>
      </c>
      <c r="B1610">
        <v>-98.552045903614115</v>
      </c>
      <c r="C1610">
        <v>1336.1332479999999</v>
      </c>
      <c r="E1610">
        <f t="shared" si="71"/>
        <v>-379.71829961626827</v>
      </c>
      <c r="F1610">
        <f t="shared" si="72"/>
        <v>875.10206027135348</v>
      </c>
    </row>
    <row r="1611" spans="1:6" x14ac:dyDescent="0.25">
      <c r="A1611">
        <v>392.05130780979732</v>
      </c>
      <c r="B1611">
        <v>-81.02809194341026</v>
      </c>
      <c r="C1611">
        <v>1336.1332479999999</v>
      </c>
      <c r="E1611">
        <f t="shared" si="71"/>
        <v>-392.05130780979715</v>
      </c>
      <c r="F1611">
        <f t="shared" si="72"/>
        <v>887.49336694981446</v>
      </c>
    </row>
    <row r="1612" spans="1:6" x14ac:dyDescent="0.25">
      <c r="A1612">
        <v>401.10937721407743</v>
      </c>
      <c r="B1612">
        <v>-65.253469716158705</v>
      </c>
      <c r="C1612">
        <v>1336.1332479999999</v>
      </c>
      <c r="E1612">
        <f t="shared" si="71"/>
        <v>-401.10937721407726</v>
      </c>
      <c r="F1612">
        <f t="shared" si="72"/>
        <v>898.64770929736005</v>
      </c>
    </row>
    <row r="1613" spans="1:6" x14ac:dyDescent="0.25">
      <c r="A1613">
        <v>407.33848310812226</v>
      </c>
      <c r="B1613">
        <v>-50.890321592165861</v>
      </c>
      <c r="C1613">
        <v>1336.1332479999999</v>
      </c>
      <c r="E1613">
        <f t="shared" si="71"/>
        <v>-407.33848310812209</v>
      </c>
      <c r="F1613">
        <f t="shared" si="72"/>
        <v>908.80398873502224</v>
      </c>
    </row>
    <row r="1614" spans="1:6" x14ac:dyDescent="0.25">
      <c r="A1614">
        <v>411.63856319835867</v>
      </c>
      <c r="B1614">
        <v>-38.69915886867944</v>
      </c>
      <c r="C1614">
        <v>1336.1332479999999</v>
      </c>
      <c r="E1614">
        <f t="shared" si="71"/>
        <v>-411.6385631983585</v>
      </c>
      <c r="F1614">
        <f t="shared" si="72"/>
        <v>917.42444256734814</v>
      </c>
    </row>
    <row r="1615" spans="1:6" x14ac:dyDescent="0.25">
      <c r="A1615">
        <v>415.1320126742641</v>
      </c>
      <c r="B1615">
        <v>-25.60339731404131</v>
      </c>
      <c r="C1615">
        <v>1336.1332479999999</v>
      </c>
      <c r="E1615">
        <f t="shared" si="71"/>
        <v>-415.13201267426393</v>
      </c>
      <c r="F1615">
        <f t="shared" si="72"/>
        <v>926.68454436743491</v>
      </c>
    </row>
    <row r="1616" spans="1:6" x14ac:dyDescent="0.25">
      <c r="A1616">
        <v>417.58890750212737</v>
      </c>
      <c r="B1616">
        <v>-12.775250358967538</v>
      </c>
      <c r="C1616">
        <v>1336.1332479999999</v>
      </c>
      <c r="E1616">
        <f t="shared" si="71"/>
        <v>-417.5889075021272</v>
      </c>
      <c r="F1616">
        <f t="shared" si="72"/>
        <v>935.75541406942511</v>
      </c>
    </row>
    <row r="1617" spans="1:6" x14ac:dyDescent="0.25">
      <c r="A1617">
        <v>419.12307879037996</v>
      </c>
      <c r="B1617">
        <v>0</v>
      </c>
      <c r="C1617">
        <v>1336.1332479999999</v>
      </c>
      <c r="E1617">
        <f t="shared" si="71"/>
        <v>-419.12307879037979</v>
      </c>
      <c r="F1617">
        <f t="shared" si="72"/>
        <v>944.78888022960689</v>
      </c>
    </row>
    <row r="1618" spans="1:6" x14ac:dyDescent="0.25">
      <c r="A1618">
        <v>417.58890750212737</v>
      </c>
      <c r="B1618">
        <v>12.775250358967531</v>
      </c>
      <c r="C1618">
        <v>1336.1332479999999</v>
      </c>
      <c r="E1618">
        <f t="shared" si="71"/>
        <v>-417.5889075021272</v>
      </c>
      <c r="F1618">
        <f t="shared" si="72"/>
        <v>953.82234638978878</v>
      </c>
    </row>
    <row r="1619" spans="1:6" x14ac:dyDescent="0.25">
      <c r="A1619">
        <v>415.13201267426433</v>
      </c>
      <c r="B1619">
        <v>25.603397314041199</v>
      </c>
      <c r="C1619">
        <v>1336.1332479999999</v>
      </c>
      <c r="E1619">
        <f t="shared" si="71"/>
        <v>-415.13201267426416</v>
      </c>
      <c r="F1619">
        <f t="shared" si="72"/>
        <v>962.89321609177887</v>
      </c>
    </row>
    <row r="1620" spans="1:6" x14ac:dyDescent="0.25">
      <c r="A1620">
        <v>411.6385631983585</v>
      </c>
      <c r="B1620">
        <v>38.699158868679447</v>
      </c>
      <c r="C1620">
        <v>1336.1332479999999</v>
      </c>
      <c r="E1620">
        <f t="shared" ref="E1620:E1683" si="73">($I$2*A1620)+($K$2*B1620)+($M$2*C1620)</f>
        <v>-411.63856319835833</v>
      </c>
      <c r="F1620">
        <f t="shared" ref="F1620:F1683" si="74">($J$2*A1620)+($L$2*B1620)+($N$2*C1620)</f>
        <v>972.15331789186564</v>
      </c>
    </row>
    <row r="1621" spans="1:6" x14ac:dyDescent="0.25">
      <c r="A1621">
        <v>407.33848310812215</v>
      </c>
      <c r="B1621">
        <v>50.890321592165861</v>
      </c>
      <c r="C1621">
        <v>1336.1332479999999</v>
      </c>
      <c r="E1621">
        <f t="shared" si="73"/>
        <v>-407.33848310812198</v>
      </c>
      <c r="F1621">
        <f t="shared" si="74"/>
        <v>980.77377172419165</v>
      </c>
    </row>
    <row r="1622" spans="1:6" x14ac:dyDescent="0.25">
      <c r="A1622">
        <v>401.10937721407743</v>
      </c>
      <c r="B1622">
        <v>65.253469716158705</v>
      </c>
      <c r="C1622">
        <v>1336.1332479999999</v>
      </c>
      <c r="E1622">
        <f t="shared" si="73"/>
        <v>-401.10937721407726</v>
      </c>
      <c r="F1622">
        <f t="shared" si="74"/>
        <v>990.93005116185373</v>
      </c>
    </row>
    <row r="1623" spans="1:6" x14ac:dyDescent="0.25">
      <c r="A1623">
        <v>392.05130780979727</v>
      </c>
      <c r="B1623">
        <v>81.028091943410303</v>
      </c>
      <c r="C1623">
        <v>1336.1332479999999</v>
      </c>
      <c r="E1623">
        <f t="shared" si="73"/>
        <v>-392.05130780979709</v>
      </c>
      <c r="F1623">
        <f t="shared" si="74"/>
        <v>1002.0843935093994</v>
      </c>
    </row>
    <row r="1624" spans="1:6" x14ac:dyDescent="0.25">
      <c r="A1624">
        <v>379.71829961626821</v>
      </c>
      <c r="B1624">
        <v>98.552045903614044</v>
      </c>
      <c r="C1624">
        <v>1336.1332479999999</v>
      </c>
      <c r="E1624">
        <f t="shared" si="73"/>
        <v>-379.71829961626804</v>
      </c>
      <c r="F1624">
        <f t="shared" si="74"/>
        <v>1014.4757001878603</v>
      </c>
    </row>
    <row r="1625" spans="1:6" x14ac:dyDescent="0.25">
      <c r="A1625">
        <v>363.74561511689706</v>
      </c>
      <c r="B1625">
        <v>118.14681387858079</v>
      </c>
      <c r="C1625">
        <v>1336.1332479999999</v>
      </c>
      <c r="E1625">
        <f t="shared" si="73"/>
        <v>-363.74561511689689</v>
      </c>
      <c r="F1625">
        <f t="shared" si="74"/>
        <v>1028.3312934987364</v>
      </c>
    </row>
    <row r="1626" spans="1:6" x14ac:dyDescent="0.25">
      <c r="A1626">
        <v>344.05883368775358</v>
      </c>
      <c r="B1626">
        <v>138.91492249253565</v>
      </c>
      <c r="C1626">
        <v>1336.1332479999999</v>
      </c>
      <c r="E1626">
        <f t="shared" si="73"/>
        <v>-344.05883368775341</v>
      </c>
      <c r="F1626">
        <f t="shared" si="74"/>
        <v>1043.0165639320826</v>
      </c>
    </row>
    <row r="1627" spans="1:6" x14ac:dyDescent="0.25">
      <c r="A1627">
        <v>319.73222909524009</v>
      </c>
      <c r="B1627">
        <v>160.69808304589262</v>
      </c>
      <c r="C1627">
        <v>1336.1332479999999</v>
      </c>
      <c r="E1627">
        <f t="shared" si="73"/>
        <v>-319.73222909523992</v>
      </c>
      <c r="F1627">
        <f t="shared" si="74"/>
        <v>1058.4195844750366</v>
      </c>
    </row>
    <row r="1628" spans="1:6" x14ac:dyDescent="0.25">
      <c r="A1628">
        <v>292.00178819609249</v>
      </c>
      <c r="B1628">
        <v>181.33621763870244</v>
      </c>
      <c r="C1628">
        <v>1336.1332479999999</v>
      </c>
      <c r="E1628">
        <f t="shared" si="73"/>
        <v>-292.00178819609232</v>
      </c>
      <c r="F1628">
        <f t="shared" si="74"/>
        <v>1073.0129493966531</v>
      </c>
    </row>
    <row r="1629" spans="1:6" x14ac:dyDescent="0.25">
      <c r="A1629">
        <v>261.16564790467817</v>
      </c>
      <c r="B1629">
        <v>200.54068093791491</v>
      </c>
      <c r="C1629">
        <v>1336.1332479999999</v>
      </c>
      <c r="E1629">
        <f t="shared" si="73"/>
        <v>-261.165647904678</v>
      </c>
      <c r="F1629">
        <f t="shared" si="74"/>
        <v>1086.5925556245743</v>
      </c>
    </row>
    <row r="1630" spans="1:6" x14ac:dyDescent="0.25">
      <c r="A1630">
        <v>221.68924731071752</v>
      </c>
      <c r="B1630">
        <v>220.98427627058189</v>
      </c>
      <c r="C1630">
        <v>1336.1332479999999</v>
      </c>
      <c r="E1630">
        <f t="shared" si="73"/>
        <v>-221.68924731071735</v>
      </c>
      <c r="F1630">
        <f t="shared" si="74"/>
        <v>1101.0483605161369</v>
      </c>
    </row>
    <row r="1631" spans="1:6" x14ac:dyDescent="0.25">
      <c r="A1631">
        <v>173.95819938900416</v>
      </c>
      <c r="B1631">
        <v>241.23302050277738</v>
      </c>
      <c r="C1631">
        <v>1336.1332479999999</v>
      </c>
      <c r="E1631">
        <f t="shared" si="73"/>
        <v>-173.95819938900399</v>
      </c>
      <c r="F1631">
        <f t="shared" si="74"/>
        <v>1115.3663848732342</v>
      </c>
    </row>
    <row r="1632" spans="1:6" x14ac:dyDescent="0.25">
      <c r="A1632">
        <v>129.66802489581548</v>
      </c>
      <c r="B1632">
        <v>256.3294868598125</v>
      </c>
      <c r="C1632">
        <v>1336.1332479999999</v>
      </c>
      <c r="E1632">
        <f t="shared" si="73"/>
        <v>-129.66802489581531</v>
      </c>
      <c r="F1632">
        <f t="shared" si="74"/>
        <v>1126.0411986062484</v>
      </c>
    </row>
    <row r="1633" spans="1:6" x14ac:dyDescent="0.25">
      <c r="A1633">
        <v>86.841669992601553</v>
      </c>
      <c r="B1633">
        <v>267.17048334448799</v>
      </c>
      <c r="C1633">
        <v>1336.1332479999999</v>
      </c>
      <c r="E1633">
        <f t="shared" si="73"/>
        <v>-86.841669992601382</v>
      </c>
      <c r="F1633">
        <f t="shared" si="74"/>
        <v>1133.706940735382</v>
      </c>
    </row>
    <row r="1634" spans="1:6" x14ac:dyDescent="0.25">
      <c r="A1634">
        <v>43.060805752971696</v>
      </c>
      <c r="B1634">
        <v>273.61161067404123</v>
      </c>
      <c r="C1634">
        <v>1336.1332479999999</v>
      </c>
      <c r="E1634">
        <f t="shared" si="73"/>
        <v>-43.060805752971532</v>
      </c>
      <c r="F1634">
        <f t="shared" si="74"/>
        <v>1138.2615055485951</v>
      </c>
    </row>
    <row r="1635" spans="1:6" x14ac:dyDescent="0.25">
      <c r="A1635">
        <v>1.314786894248369E-13</v>
      </c>
      <c r="B1635">
        <v>275.88024976452584</v>
      </c>
      <c r="C1635">
        <v>1336.1332479999999</v>
      </c>
      <c r="E1635">
        <f t="shared" si="73"/>
        <v>3.2217469009086676E-14</v>
      </c>
      <c r="F1635">
        <f t="shared" si="74"/>
        <v>1139.8656756335415</v>
      </c>
    </row>
    <row r="1636" spans="1:6" x14ac:dyDescent="0.25">
      <c r="A1636">
        <v>-43.060805752971788</v>
      </c>
      <c r="B1636">
        <v>273.61161067404129</v>
      </c>
      <c r="C1636">
        <v>1336.1332479999999</v>
      </c>
      <c r="E1636">
        <f t="shared" si="73"/>
        <v>43.060805752971952</v>
      </c>
      <c r="F1636">
        <f t="shared" si="74"/>
        <v>1138.2615055485951</v>
      </c>
    </row>
    <row r="1637" spans="1:6" x14ac:dyDescent="0.25">
      <c r="A1637">
        <v>-86.841669992601396</v>
      </c>
      <c r="B1637">
        <v>267.17048334448799</v>
      </c>
      <c r="C1637">
        <v>1336.1332479999999</v>
      </c>
      <c r="E1637">
        <f t="shared" si="73"/>
        <v>86.841669992601567</v>
      </c>
      <c r="F1637">
        <f t="shared" si="74"/>
        <v>1133.706940735382</v>
      </c>
    </row>
    <row r="1638" spans="1:6" x14ac:dyDescent="0.25">
      <c r="A1638">
        <v>-129.66802489581548</v>
      </c>
      <c r="B1638">
        <v>256.32948685981273</v>
      </c>
      <c r="C1638">
        <v>1336.1332479999999</v>
      </c>
      <c r="E1638">
        <f t="shared" si="73"/>
        <v>129.66802489581565</v>
      </c>
      <c r="F1638">
        <f t="shared" si="74"/>
        <v>1126.0411986062486</v>
      </c>
    </row>
    <row r="1639" spans="1:6" x14ac:dyDescent="0.25">
      <c r="A1639">
        <v>-173.95819938900365</v>
      </c>
      <c r="B1639">
        <v>241.23302050277755</v>
      </c>
      <c r="C1639">
        <v>1336.1332479999999</v>
      </c>
      <c r="E1639">
        <f t="shared" si="73"/>
        <v>173.95819938900382</v>
      </c>
      <c r="F1639">
        <f t="shared" si="74"/>
        <v>1115.3663848732344</v>
      </c>
    </row>
    <row r="1640" spans="1:6" x14ac:dyDescent="0.25">
      <c r="A1640">
        <v>-221.68924731071701</v>
      </c>
      <c r="B1640">
        <v>220.98427627058209</v>
      </c>
      <c r="C1640">
        <v>1336.1332479999999</v>
      </c>
      <c r="E1640">
        <f t="shared" si="73"/>
        <v>221.68924731071718</v>
      </c>
      <c r="F1640">
        <f t="shared" si="74"/>
        <v>1101.0483605161369</v>
      </c>
    </row>
    <row r="1641" spans="1:6" x14ac:dyDescent="0.25">
      <c r="A1641">
        <v>-261.165647904678</v>
      </c>
      <c r="B1641">
        <v>200.54068093791503</v>
      </c>
      <c r="C1641">
        <v>1336.1332479999999</v>
      </c>
      <c r="E1641">
        <f t="shared" si="73"/>
        <v>261.16564790467817</v>
      </c>
      <c r="F1641">
        <f t="shared" si="74"/>
        <v>1086.5925556245743</v>
      </c>
    </row>
    <row r="1642" spans="1:6" x14ac:dyDescent="0.25">
      <c r="A1642">
        <v>-292.00178819609226</v>
      </c>
      <c r="B1642">
        <v>181.33621763870241</v>
      </c>
      <c r="C1642">
        <v>1336.1332479999999</v>
      </c>
      <c r="E1642">
        <f t="shared" si="73"/>
        <v>292.00178819609243</v>
      </c>
      <c r="F1642">
        <f t="shared" si="74"/>
        <v>1073.0129493966529</v>
      </c>
    </row>
    <row r="1643" spans="1:6" x14ac:dyDescent="0.25">
      <c r="A1643">
        <v>-319.73222909524014</v>
      </c>
      <c r="B1643">
        <v>160.69808304589279</v>
      </c>
      <c r="C1643">
        <v>1336.1332479999999</v>
      </c>
      <c r="E1643">
        <f t="shared" si="73"/>
        <v>319.73222909524031</v>
      </c>
      <c r="F1643">
        <f t="shared" si="74"/>
        <v>1058.4195844750366</v>
      </c>
    </row>
    <row r="1644" spans="1:6" x14ac:dyDescent="0.25">
      <c r="A1644">
        <v>-344.05883368775341</v>
      </c>
      <c r="B1644">
        <v>138.91492249253562</v>
      </c>
      <c r="C1644">
        <v>1336.1332479999999</v>
      </c>
      <c r="E1644">
        <f t="shared" si="73"/>
        <v>344.05883368775358</v>
      </c>
      <c r="F1644">
        <f t="shared" si="74"/>
        <v>1043.0165639320824</v>
      </c>
    </row>
    <row r="1645" spans="1:6" x14ac:dyDescent="0.25">
      <c r="A1645">
        <v>-363.74561511689694</v>
      </c>
      <c r="B1645">
        <v>118.14681387858067</v>
      </c>
      <c r="C1645">
        <v>1336.1332479999999</v>
      </c>
      <c r="E1645">
        <f t="shared" si="73"/>
        <v>363.74561511689711</v>
      </c>
      <c r="F1645">
        <f t="shared" si="74"/>
        <v>1028.3312934987362</v>
      </c>
    </row>
    <row r="1646" spans="1:6" x14ac:dyDescent="0.25">
      <c r="A1646">
        <v>-379.71829961626815</v>
      </c>
      <c r="B1646">
        <v>98.552045903614172</v>
      </c>
      <c r="C1646">
        <v>1336.1332479999999</v>
      </c>
      <c r="E1646">
        <f t="shared" si="73"/>
        <v>379.71829961626833</v>
      </c>
      <c r="F1646">
        <f t="shared" si="74"/>
        <v>1014.4757001878604</v>
      </c>
    </row>
    <row r="1647" spans="1:6" x14ac:dyDescent="0.25">
      <c r="A1647">
        <v>-392.05130780979727</v>
      </c>
      <c r="B1647">
        <v>81.028091943410502</v>
      </c>
      <c r="C1647">
        <v>1336.1332479999999</v>
      </c>
      <c r="E1647">
        <f t="shared" si="73"/>
        <v>392.05130780979744</v>
      </c>
      <c r="F1647">
        <f t="shared" si="74"/>
        <v>1002.0843935093994</v>
      </c>
    </row>
    <row r="1648" spans="1:6" x14ac:dyDescent="0.25">
      <c r="A1648">
        <v>-401.10937721407748</v>
      </c>
      <c r="B1648">
        <v>65.253469716158804</v>
      </c>
      <c r="C1648">
        <v>1336.1332479999999</v>
      </c>
      <c r="E1648">
        <f t="shared" si="73"/>
        <v>401.10937721407765</v>
      </c>
      <c r="F1648">
        <f t="shared" si="74"/>
        <v>990.93005116185373</v>
      </c>
    </row>
    <row r="1649" spans="1:6" x14ac:dyDescent="0.25">
      <c r="A1649">
        <v>-407.33848310812243</v>
      </c>
      <c r="B1649">
        <v>50.890321592166096</v>
      </c>
      <c r="C1649">
        <v>1336.1332479999999</v>
      </c>
      <c r="E1649">
        <f t="shared" si="73"/>
        <v>407.3384831081226</v>
      </c>
      <c r="F1649">
        <f t="shared" si="74"/>
        <v>980.77377172419165</v>
      </c>
    </row>
    <row r="1650" spans="1:6" x14ac:dyDescent="0.25">
      <c r="A1650">
        <v>-411.63856319835855</v>
      </c>
      <c r="B1650">
        <v>38.699158868679476</v>
      </c>
      <c r="C1650">
        <v>1336.1332479999999</v>
      </c>
      <c r="E1650">
        <f t="shared" si="73"/>
        <v>411.63856319835872</v>
      </c>
      <c r="F1650">
        <f t="shared" si="74"/>
        <v>972.15331789186564</v>
      </c>
    </row>
    <row r="1651" spans="1:6" x14ac:dyDescent="0.25">
      <c r="A1651">
        <v>-415.1320126742641</v>
      </c>
      <c r="B1651">
        <v>25.603397314041143</v>
      </c>
      <c r="C1651">
        <v>1336.1332479999999</v>
      </c>
      <c r="E1651">
        <f t="shared" si="73"/>
        <v>415.13201267426427</v>
      </c>
      <c r="F1651">
        <f t="shared" si="74"/>
        <v>962.89321609177875</v>
      </c>
    </row>
    <row r="1652" spans="1:6" x14ac:dyDescent="0.25">
      <c r="A1652">
        <v>-386.67833722080388</v>
      </c>
      <c r="B1652">
        <v>-4.1985554326422778E-14</v>
      </c>
      <c r="C1652">
        <v>1416.2120319999999</v>
      </c>
      <c r="E1652">
        <f t="shared" si="73"/>
        <v>386.67833722080405</v>
      </c>
      <c r="F1652">
        <f t="shared" si="74"/>
        <v>1001.4131314251796</v>
      </c>
    </row>
    <row r="1653" spans="1:6" x14ac:dyDescent="0.25">
      <c r="A1653">
        <v>-385.18682359391852</v>
      </c>
      <c r="B1653">
        <v>-12.678441506239569</v>
      </c>
      <c r="C1653">
        <v>1416.2120319999999</v>
      </c>
      <c r="E1653">
        <f t="shared" si="73"/>
        <v>385.18682359391869</v>
      </c>
      <c r="F1653">
        <f t="shared" si="74"/>
        <v>992.44811946124071</v>
      </c>
    </row>
    <row r="1654" spans="1:6" x14ac:dyDescent="0.25">
      <c r="A1654">
        <v>-382.76551044667769</v>
      </c>
      <c r="B1654">
        <v>-25.422432336156565</v>
      </c>
      <c r="C1654">
        <v>1416.2120319999999</v>
      </c>
      <c r="E1654">
        <f t="shared" si="73"/>
        <v>382.76551044667787</v>
      </c>
      <c r="F1654">
        <f t="shared" si="74"/>
        <v>983.43675712602715</v>
      </c>
    </row>
    <row r="1655" spans="1:6" x14ac:dyDescent="0.25">
      <c r="A1655">
        <v>-379.30195833096326</v>
      </c>
      <c r="B1655">
        <v>-38.44395540282558</v>
      </c>
      <c r="C1655">
        <v>1416.2120319999999</v>
      </c>
      <c r="E1655">
        <f t="shared" si="73"/>
        <v>379.30195833096343</v>
      </c>
      <c r="F1655">
        <f t="shared" si="74"/>
        <v>974.22914986420847</v>
      </c>
    </row>
    <row r="1656" spans="1:6" x14ac:dyDescent="0.25">
      <c r="A1656">
        <v>-374.61021517538592</v>
      </c>
      <c r="B1656">
        <v>-51.97268478555209</v>
      </c>
      <c r="C1656">
        <v>1416.2120319999999</v>
      </c>
      <c r="E1656">
        <f t="shared" si="73"/>
        <v>374.61021517538609</v>
      </c>
      <c r="F1656">
        <f t="shared" si="74"/>
        <v>964.66289357684491</v>
      </c>
    </row>
    <row r="1657" spans="1:6" x14ac:dyDescent="0.25">
      <c r="A1657">
        <v>-368.40455461856203</v>
      </c>
      <c r="B1657">
        <v>-66.273343894469022</v>
      </c>
      <c r="C1657">
        <v>1416.2120319999999</v>
      </c>
      <c r="E1657">
        <f t="shared" si="73"/>
        <v>368.4045546185622</v>
      </c>
      <c r="F1657">
        <f t="shared" si="74"/>
        <v>954.55080054549251</v>
      </c>
    </row>
    <row r="1658" spans="1:6" x14ac:dyDescent="0.25">
      <c r="A1658">
        <v>-360.76201357853876</v>
      </c>
      <c r="B1658">
        <v>-80.323891156955938</v>
      </c>
      <c r="C1658">
        <v>1416.2120319999999</v>
      </c>
      <c r="E1658">
        <f t="shared" si="73"/>
        <v>360.76201357853893</v>
      </c>
      <c r="F1658">
        <f t="shared" si="74"/>
        <v>944.61556329680593</v>
      </c>
    </row>
    <row r="1659" spans="1:6" x14ac:dyDescent="0.25">
      <c r="A1659">
        <v>-348.3815696434458</v>
      </c>
      <c r="B1659">
        <v>-97.785059673625639</v>
      </c>
      <c r="C1659">
        <v>1416.2120319999999</v>
      </c>
      <c r="E1659">
        <f t="shared" si="73"/>
        <v>348.38156964344597</v>
      </c>
      <c r="F1659">
        <f t="shared" si="74"/>
        <v>932.26865263122772</v>
      </c>
    </row>
    <row r="1660" spans="1:6" x14ac:dyDescent="0.25">
      <c r="A1660">
        <v>-333.4338986877512</v>
      </c>
      <c r="B1660">
        <v>-115.85793463485857</v>
      </c>
      <c r="C1660">
        <v>1416.2120319999999</v>
      </c>
      <c r="E1660">
        <f t="shared" si="73"/>
        <v>333.43389868775137</v>
      </c>
      <c r="F1660">
        <f t="shared" si="74"/>
        <v>919.48920019060336</v>
      </c>
    </row>
    <row r="1661" spans="1:6" x14ac:dyDescent="0.25">
      <c r="A1661">
        <v>-314.93217880854382</v>
      </c>
      <c r="B1661">
        <v>-135.28031997377212</v>
      </c>
      <c r="C1661">
        <v>1416.2120319999999</v>
      </c>
      <c r="E1661">
        <f t="shared" si="73"/>
        <v>314.93217880854399</v>
      </c>
      <c r="F1661">
        <f t="shared" si="74"/>
        <v>905.75549981063944</v>
      </c>
    </row>
    <row r="1662" spans="1:6" x14ac:dyDescent="0.25">
      <c r="A1662">
        <v>-294.88756944143671</v>
      </c>
      <c r="B1662">
        <v>-153.0839392140727</v>
      </c>
      <c r="C1662">
        <v>1416.2120319999999</v>
      </c>
      <c r="E1662">
        <f t="shared" si="73"/>
        <v>294.88756944143688</v>
      </c>
      <c r="F1662">
        <f t="shared" si="74"/>
        <v>893.16643991615956</v>
      </c>
    </row>
    <row r="1663" spans="1:6" x14ac:dyDescent="0.25">
      <c r="A1663">
        <v>-272.06175781013781</v>
      </c>
      <c r="B1663">
        <v>-169.95609207605284</v>
      </c>
      <c r="C1663">
        <v>1416.2120319999999</v>
      </c>
      <c r="E1663">
        <f t="shared" si="73"/>
        <v>272.06175781013798</v>
      </c>
      <c r="F1663">
        <f t="shared" si="74"/>
        <v>881.23602621423743</v>
      </c>
    </row>
    <row r="1664" spans="1:6" x14ac:dyDescent="0.25">
      <c r="A1664">
        <v>-245.36168258669781</v>
      </c>
      <c r="B1664">
        <v>-186.46677747973521</v>
      </c>
      <c r="C1664">
        <v>1416.2120319999999</v>
      </c>
      <c r="E1664">
        <f t="shared" si="73"/>
        <v>245.36168258669798</v>
      </c>
      <c r="F1664">
        <f t="shared" si="74"/>
        <v>869.56120860325586</v>
      </c>
    </row>
    <row r="1665" spans="1:6" x14ac:dyDescent="0.25">
      <c r="A1665">
        <v>-213.07821229871894</v>
      </c>
      <c r="B1665">
        <v>-203.26315200893612</v>
      </c>
      <c r="C1665">
        <v>1416.2120319999999</v>
      </c>
      <c r="E1665">
        <f t="shared" si="73"/>
        <v>213.07821229871911</v>
      </c>
      <c r="F1665">
        <f t="shared" si="74"/>
        <v>857.68437827430898</v>
      </c>
    </row>
    <row r="1666" spans="1:6" x14ac:dyDescent="0.25">
      <c r="A1666">
        <v>-174.85906094296163</v>
      </c>
      <c r="B1666">
        <v>-219.64249232134654</v>
      </c>
      <c r="C1666">
        <v>1416.2120319999999</v>
      </c>
      <c r="E1666">
        <f t="shared" si="73"/>
        <v>174.8590609429618</v>
      </c>
      <c r="F1666">
        <f t="shared" si="74"/>
        <v>846.10243566804138</v>
      </c>
    </row>
    <row r="1667" spans="1:6" x14ac:dyDescent="0.25">
      <c r="A1667">
        <v>-128.21528139603129</v>
      </c>
      <c r="B1667">
        <v>-235.66889387040823</v>
      </c>
      <c r="C1667">
        <v>1416.2120319999999</v>
      </c>
      <c r="E1667">
        <f t="shared" si="73"/>
        <v>128.21528139603146</v>
      </c>
      <c r="F1667">
        <f t="shared" si="74"/>
        <v>834.77005845468125</v>
      </c>
    </row>
    <row r="1668" spans="1:6" x14ac:dyDescent="0.25">
      <c r="A1668">
        <v>-83.124547950256499</v>
      </c>
      <c r="B1668">
        <v>-246.71757505472107</v>
      </c>
      <c r="C1668">
        <v>1416.2120319999999</v>
      </c>
      <c r="E1668">
        <f t="shared" si="73"/>
        <v>83.12454795025667</v>
      </c>
      <c r="F1668">
        <f t="shared" si="74"/>
        <v>826.95746106608544</v>
      </c>
    </row>
    <row r="1669" spans="1:6" x14ac:dyDescent="0.25">
      <c r="A1669">
        <v>-42.745733124955798</v>
      </c>
      <c r="B1669">
        <v>-252.22472939544878</v>
      </c>
      <c r="C1669">
        <v>1416.2120319999999</v>
      </c>
      <c r="E1669">
        <f t="shared" si="73"/>
        <v>42.745733124955969</v>
      </c>
      <c r="F1669">
        <f t="shared" si="74"/>
        <v>823.06331488671594</v>
      </c>
    </row>
    <row r="1670" spans="1:6" x14ac:dyDescent="0.25">
      <c r="A1670">
        <v>8.9213014961991179E-14</v>
      </c>
      <c r="B1670">
        <v>-254.41496362445241</v>
      </c>
      <c r="C1670">
        <v>1416.2120319999999</v>
      </c>
      <c r="E1670">
        <f t="shared" si="73"/>
        <v>8.4293983320788529E-14</v>
      </c>
      <c r="F1670">
        <f t="shared" si="74"/>
        <v>821.51458541100055</v>
      </c>
    </row>
    <row r="1671" spans="1:6" x14ac:dyDescent="0.25">
      <c r="A1671">
        <v>42.745733124955471</v>
      </c>
      <c r="B1671">
        <v>-252.22472939544878</v>
      </c>
      <c r="C1671">
        <v>1416.2120319999999</v>
      </c>
      <c r="E1671">
        <f t="shared" si="73"/>
        <v>-42.745733124955301</v>
      </c>
      <c r="F1671">
        <f t="shared" si="74"/>
        <v>823.06331488671594</v>
      </c>
    </row>
    <row r="1672" spans="1:6" x14ac:dyDescent="0.25">
      <c r="A1672">
        <v>83.124547950256598</v>
      </c>
      <c r="B1672">
        <v>-246.71757505472112</v>
      </c>
      <c r="C1672">
        <v>1416.2120319999999</v>
      </c>
      <c r="E1672">
        <f t="shared" si="73"/>
        <v>-83.124547950256428</v>
      </c>
      <c r="F1672">
        <f t="shared" si="74"/>
        <v>826.95746106608544</v>
      </c>
    </row>
    <row r="1673" spans="1:6" x14ac:dyDescent="0.25">
      <c r="A1673">
        <v>128.21528139603134</v>
      </c>
      <c r="B1673">
        <v>-235.66889387040823</v>
      </c>
      <c r="C1673">
        <v>1416.2120319999999</v>
      </c>
      <c r="E1673">
        <f t="shared" si="73"/>
        <v>-128.21528139603117</v>
      </c>
      <c r="F1673">
        <f t="shared" si="74"/>
        <v>834.77005845468125</v>
      </c>
    </row>
    <row r="1674" spans="1:6" x14ac:dyDescent="0.25">
      <c r="A1674">
        <v>174.85906094296163</v>
      </c>
      <c r="B1674">
        <v>-219.64249232134637</v>
      </c>
      <c r="C1674">
        <v>1416.2120319999999</v>
      </c>
      <c r="E1674">
        <f t="shared" si="73"/>
        <v>-174.85906094296146</v>
      </c>
      <c r="F1674">
        <f t="shared" si="74"/>
        <v>846.10243566804149</v>
      </c>
    </row>
    <row r="1675" spans="1:6" x14ac:dyDescent="0.25">
      <c r="A1675">
        <v>213.07821229871882</v>
      </c>
      <c r="B1675">
        <v>-203.263152008936</v>
      </c>
      <c r="C1675">
        <v>1416.2120319999999</v>
      </c>
      <c r="E1675">
        <f t="shared" si="73"/>
        <v>-213.07821229871865</v>
      </c>
      <c r="F1675">
        <f t="shared" si="74"/>
        <v>857.6843782743091</v>
      </c>
    </row>
    <row r="1676" spans="1:6" x14ac:dyDescent="0.25">
      <c r="A1676">
        <v>245.36168258669773</v>
      </c>
      <c r="B1676">
        <v>-186.46677747973533</v>
      </c>
      <c r="C1676">
        <v>1416.2120319999999</v>
      </c>
      <c r="E1676">
        <f t="shared" si="73"/>
        <v>-245.36168258669755</v>
      </c>
      <c r="F1676">
        <f t="shared" si="74"/>
        <v>869.56120860325586</v>
      </c>
    </row>
    <row r="1677" spans="1:6" x14ac:dyDescent="0.25">
      <c r="A1677">
        <v>272.06175781013792</v>
      </c>
      <c r="B1677">
        <v>-169.95609207605284</v>
      </c>
      <c r="C1677">
        <v>1416.2120319999999</v>
      </c>
      <c r="E1677">
        <f t="shared" si="73"/>
        <v>-272.06175781013775</v>
      </c>
      <c r="F1677">
        <f t="shared" si="74"/>
        <v>881.23602621423754</v>
      </c>
    </row>
    <row r="1678" spans="1:6" x14ac:dyDescent="0.25">
      <c r="A1678">
        <v>294.88756944143682</v>
      </c>
      <c r="B1678">
        <v>-153.0839392140725</v>
      </c>
      <c r="C1678">
        <v>1416.2120319999999</v>
      </c>
      <c r="E1678">
        <f t="shared" si="73"/>
        <v>-294.88756944143665</v>
      </c>
      <c r="F1678">
        <f t="shared" si="74"/>
        <v>893.16643991615979</v>
      </c>
    </row>
    <row r="1679" spans="1:6" x14ac:dyDescent="0.25">
      <c r="A1679">
        <v>314.93217880854382</v>
      </c>
      <c r="B1679">
        <v>-135.28031997377209</v>
      </c>
      <c r="C1679">
        <v>1416.2120319999999</v>
      </c>
      <c r="E1679">
        <f t="shared" si="73"/>
        <v>-314.93217880854365</v>
      </c>
      <c r="F1679">
        <f t="shared" si="74"/>
        <v>905.75549981063955</v>
      </c>
    </row>
    <row r="1680" spans="1:6" x14ac:dyDescent="0.25">
      <c r="A1680">
        <v>333.43389868775131</v>
      </c>
      <c r="B1680">
        <v>-115.85793463485862</v>
      </c>
      <c r="C1680">
        <v>1416.2120319999999</v>
      </c>
      <c r="E1680">
        <f t="shared" si="73"/>
        <v>-333.43389868775114</v>
      </c>
      <c r="F1680">
        <f t="shared" si="74"/>
        <v>919.48920019060347</v>
      </c>
    </row>
    <row r="1681" spans="1:6" x14ac:dyDescent="0.25">
      <c r="A1681">
        <v>348.38156964344597</v>
      </c>
      <c r="B1681">
        <v>-97.785059673625639</v>
      </c>
      <c r="C1681">
        <v>1416.2120319999999</v>
      </c>
      <c r="E1681">
        <f t="shared" si="73"/>
        <v>-348.3815696434458</v>
      </c>
      <c r="F1681">
        <f t="shared" si="74"/>
        <v>932.26865263122784</v>
      </c>
    </row>
    <row r="1682" spans="1:6" x14ac:dyDescent="0.25">
      <c r="A1682">
        <v>360.76201357853864</v>
      </c>
      <c r="B1682">
        <v>-80.323891156955852</v>
      </c>
      <c r="C1682">
        <v>1416.2120319999999</v>
      </c>
      <c r="E1682">
        <f t="shared" si="73"/>
        <v>-360.76201357853847</v>
      </c>
      <c r="F1682">
        <f t="shared" si="74"/>
        <v>944.61556329680604</v>
      </c>
    </row>
    <row r="1683" spans="1:6" x14ac:dyDescent="0.25">
      <c r="A1683">
        <v>368.40455461856175</v>
      </c>
      <c r="B1683">
        <v>-66.273343894468994</v>
      </c>
      <c r="C1683">
        <v>1416.2120319999999</v>
      </c>
      <c r="E1683">
        <f t="shared" si="73"/>
        <v>-368.40455461856158</v>
      </c>
      <c r="F1683">
        <f t="shared" si="74"/>
        <v>954.55080054549262</v>
      </c>
    </row>
    <row r="1684" spans="1:6" x14ac:dyDescent="0.25">
      <c r="A1684">
        <v>374.61021517538597</v>
      </c>
      <c r="B1684">
        <v>-51.972684785552069</v>
      </c>
      <c r="C1684">
        <v>1416.2120319999999</v>
      </c>
      <c r="E1684">
        <f t="shared" ref="E1684:E1747" si="75">($I$2*A1684)+($K$2*B1684)+($M$2*C1684)</f>
        <v>-374.6102151753858</v>
      </c>
      <c r="F1684">
        <f t="shared" ref="F1684:F1747" si="76">($J$2*A1684)+($L$2*B1684)+($N$2*C1684)</f>
        <v>964.66289357684491</v>
      </c>
    </row>
    <row r="1685" spans="1:6" x14ac:dyDescent="0.25">
      <c r="A1685">
        <v>379.30195833096349</v>
      </c>
      <c r="B1685">
        <v>-38.44395540282553</v>
      </c>
      <c r="C1685">
        <v>1416.2120319999999</v>
      </c>
      <c r="E1685">
        <f t="shared" si="75"/>
        <v>-379.30195833096332</v>
      </c>
      <c r="F1685">
        <f t="shared" si="76"/>
        <v>974.22914986420858</v>
      </c>
    </row>
    <row r="1686" spans="1:6" x14ac:dyDescent="0.25">
      <c r="A1686">
        <v>382.76551044667815</v>
      </c>
      <c r="B1686">
        <v>-25.422432336156657</v>
      </c>
      <c r="C1686">
        <v>1416.2120319999999</v>
      </c>
      <c r="E1686">
        <f t="shared" si="75"/>
        <v>-382.76551044667798</v>
      </c>
      <c r="F1686">
        <f t="shared" si="76"/>
        <v>983.43675712602715</v>
      </c>
    </row>
    <row r="1687" spans="1:6" x14ac:dyDescent="0.25">
      <c r="A1687">
        <v>385.18682359391818</v>
      </c>
      <c r="B1687">
        <v>-12.67844150623943</v>
      </c>
      <c r="C1687">
        <v>1416.2120319999999</v>
      </c>
      <c r="E1687">
        <f t="shared" si="75"/>
        <v>-385.18682359391801</v>
      </c>
      <c r="F1687">
        <f t="shared" si="76"/>
        <v>992.44811946124082</v>
      </c>
    </row>
    <row r="1688" spans="1:6" x14ac:dyDescent="0.25">
      <c r="A1688">
        <v>386.678337220804</v>
      </c>
      <c r="B1688">
        <v>0</v>
      </c>
      <c r="C1688">
        <v>1416.2120319999999</v>
      </c>
      <c r="E1688">
        <f t="shared" si="75"/>
        <v>-386.67833722080383</v>
      </c>
      <c r="F1688">
        <f t="shared" si="76"/>
        <v>1001.4131314251797</v>
      </c>
    </row>
    <row r="1689" spans="1:6" x14ac:dyDescent="0.25">
      <c r="A1689">
        <v>385.18682359391835</v>
      </c>
      <c r="B1689">
        <v>12.678441506239388</v>
      </c>
      <c r="C1689">
        <v>1416.2120319999999</v>
      </c>
      <c r="E1689">
        <f t="shared" si="75"/>
        <v>-385.18682359391818</v>
      </c>
      <c r="F1689">
        <f t="shared" si="76"/>
        <v>1010.3781433891186</v>
      </c>
    </row>
    <row r="1690" spans="1:6" x14ac:dyDescent="0.25">
      <c r="A1690">
        <v>382.76551044667804</v>
      </c>
      <c r="B1690">
        <v>25.422432336156668</v>
      </c>
      <c r="C1690">
        <v>1416.2120319999999</v>
      </c>
      <c r="E1690">
        <f t="shared" si="75"/>
        <v>-382.76551044667787</v>
      </c>
      <c r="F1690">
        <f t="shared" si="76"/>
        <v>1019.3895057243323</v>
      </c>
    </row>
    <row r="1691" spans="1:6" x14ac:dyDescent="0.25">
      <c r="A1691">
        <v>379.30195833096326</v>
      </c>
      <c r="B1691">
        <v>38.443955402825509</v>
      </c>
      <c r="C1691">
        <v>1416.2120319999999</v>
      </c>
      <c r="E1691">
        <f t="shared" si="75"/>
        <v>-379.30195833096309</v>
      </c>
      <c r="F1691">
        <f t="shared" si="76"/>
        <v>1028.5971129861509</v>
      </c>
    </row>
    <row r="1692" spans="1:6" x14ac:dyDescent="0.25">
      <c r="A1692">
        <v>374.61021517538592</v>
      </c>
      <c r="B1692">
        <v>51.972684785552069</v>
      </c>
      <c r="C1692">
        <v>1416.2120319999999</v>
      </c>
      <c r="E1692">
        <f t="shared" si="75"/>
        <v>-374.61021517538575</v>
      </c>
      <c r="F1692">
        <f t="shared" si="76"/>
        <v>1038.1633692735145</v>
      </c>
    </row>
    <row r="1693" spans="1:6" x14ac:dyDescent="0.25">
      <c r="A1693">
        <v>368.40455461856175</v>
      </c>
      <c r="B1693">
        <v>66.273343894468994</v>
      </c>
      <c r="C1693">
        <v>1416.2120319999999</v>
      </c>
      <c r="E1693">
        <f t="shared" si="75"/>
        <v>-368.40455461856158</v>
      </c>
      <c r="F1693">
        <f t="shared" si="76"/>
        <v>1048.2754623048668</v>
      </c>
    </row>
    <row r="1694" spans="1:6" x14ac:dyDescent="0.25">
      <c r="A1694">
        <v>360.76201357853864</v>
      </c>
      <c r="B1694">
        <v>80.323891156955852</v>
      </c>
      <c r="C1694">
        <v>1416.2120319999999</v>
      </c>
      <c r="E1694">
        <f t="shared" si="75"/>
        <v>-360.76201357853847</v>
      </c>
      <c r="F1694">
        <f t="shared" si="76"/>
        <v>1058.2106995535535</v>
      </c>
    </row>
    <row r="1695" spans="1:6" x14ac:dyDescent="0.25">
      <c r="A1695">
        <v>348.3815696434458</v>
      </c>
      <c r="B1695">
        <v>97.785059673625639</v>
      </c>
      <c r="C1695">
        <v>1416.2120319999999</v>
      </c>
      <c r="E1695">
        <f t="shared" si="75"/>
        <v>-348.38156964344563</v>
      </c>
      <c r="F1695">
        <f t="shared" si="76"/>
        <v>1070.5576102191317</v>
      </c>
    </row>
    <row r="1696" spans="1:6" x14ac:dyDescent="0.25">
      <c r="A1696">
        <v>333.43389868775131</v>
      </c>
      <c r="B1696">
        <v>115.85793463485857</v>
      </c>
      <c r="C1696">
        <v>1416.2120319999999</v>
      </c>
      <c r="E1696">
        <f t="shared" si="75"/>
        <v>-333.43389868775114</v>
      </c>
      <c r="F1696">
        <f t="shared" si="76"/>
        <v>1083.3370626597559</v>
      </c>
    </row>
    <row r="1697" spans="1:6" x14ac:dyDescent="0.25">
      <c r="A1697">
        <v>314.93217880854382</v>
      </c>
      <c r="B1697">
        <v>135.28031997377212</v>
      </c>
      <c r="C1697">
        <v>1416.2120319999999</v>
      </c>
      <c r="E1697">
        <f t="shared" si="75"/>
        <v>-314.93217880854365</v>
      </c>
      <c r="F1697">
        <f t="shared" si="76"/>
        <v>1097.0707630397198</v>
      </c>
    </row>
    <row r="1698" spans="1:6" x14ac:dyDescent="0.25">
      <c r="A1698">
        <v>294.88756944143688</v>
      </c>
      <c r="B1698">
        <v>153.08393921407256</v>
      </c>
      <c r="C1698">
        <v>1416.2120319999999</v>
      </c>
      <c r="E1698">
        <f t="shared" si="75"/>
        <v>-294.88756944143671</v>
      </c>
      <c r="F1698">
        <f t="shared" si="76"/>
        <v>1109.6598229341996</v>
      </c>
    </row>
    <row r="1699" spans="1:6" x14ac:dyDescent="0.25">
      <c r="A1699">
        <v>272.06175781013792</v>
      </c>
      <c r="B1699">
        <v>169.95609207605276</v>
      </c>
      <c r="C1699">
        <v>1416.2120319999999</v>
      </c>
      <c r="E1699">
        <f t="shared" si="75"/>
        <v>-272.06175781013775</v>
      </c>
      <c r="F1699">
        <f t="shared" si="76"/>
        <v>1121.590236636122</v>
      </c>
    </row>
    <row r="1700" spans="1:6" x14ac:dyDescent="0.25">
      <c r="A1700">
        <v>245.36168258669798</v>
      </c>
      <c r="B1700">
        <v>186.46677747973521</v>
      </c>
      <c r="C1700">
        <v>1416.2120319999999</v>
      </c>
      <c r="E1700">
        <f t="shared" si="75"/>
        <v>-245.36168258669781</v>
      </c>
      <c r="F1700">
        <f t="shared" si="76"/>
        <v>1133.2650542471035</v>
      </c>
    </row>
    <row r="1701" spans="1:6" x14ac:dyDescent="0.25">
      <c r="A1701">
        <v>213.07821229871897</v>
      </c>
      <c r="B1701">
        <v>203.26315200893598</v>
      </c>
      <c r="C1701">
        <v>1416.2120319999999</v>
      </c>
      <c r="E1701">
        <f t="shared" si="75"/>
        <v>-213.0782122987188</v>
      </c>
      <c r="F1701">
        <f t="shared" si="76"/>
        <v>1145.1418845760504</v>
      </c>
    </row>
    <row r="1702" spans="1:6" x14ac:dyDescent="0.25">
      <c r="A1702">
        <v>174.85906094296189</v>
      </c>
      <c r="B1702">
        <v>219.64249232134648</v>
      </c>
      <c r="C1702">
        <v>1416.2120319999999</v>
      </c>
      <c r="E1702">
        <f t="shared" si="75"/>
        <v>-174.85906094296172</v>
      </c>
      <c r="F1702">
        <f t="shared" si="76"/>
        <v>1156.723827182318</v>
      </c>
    </row>
    <row r="1703" spans="1:6" x14ac:dyDescent="0.25">
      <c r="A1703">
        <v>128.21528139603112</v>
      </c>
      <c r="B1703">
        <v>235.66889387040797</v>
      </c>
      <c r="C1703">
        <v>1416.2120319999999</v>
      </c>
      <c r="E1703">
        <f t="shared" si="75"/>
        <v>-128.21528139603095</v>
      </c>
      <c r="F1703">
        <f t="shared" si="76"/>
        <v>1168.0562043956779</v>
      </c>
    </row>
    <row r="1704" spans="1:6" x14ac:dyDescent="0.25">
      <c r="A1704">
        <v>83.124547950256499</v>
      </c>
      <c r="B1704">
        <v>246.71757505472115</v>
      </c>
      <c r="C1704">
        <v>1416.2120319999999</v>
      </c>
      <c r="E1704">
        <f t="shared" si="75"/>
        <v>-83.124547950256328</v>
      </c>
      <c r="F1704">
        <f t="shared" si="76"/>
        <v>1175.868801784274</v>
      </c>
    </row>
    <row r="1705" spans="1:6" x14ac:dyDescent="0.25">
      <c r="A1705">
        <v>42.745733124955535</v>
      </c>
      <c r="B1705">
        <v>252.22472939544878</v>
      </c>
      <c r="C1705">
        <v>1416.2120319999999</v>
      </c>
      <c r="E1705">
        <f t="shared" si="75"/>
        <v>-42.745733124955365</v>
      </c>
      <c r="F1705">
        <f t="shared" si="76"/>
        <v>1179.7629479636435</v>
      </c>
    </row>
    <row r="1706" spans="1:6" x14ac:dyDescent="0.25">
      <c r="A1706">
        <v>7.2124462166960736E-14</v>
      </c>
      <c r="B1706">
        <v>254.41496362445241</v>
      </c>
      <c r="C1706">
        <v>1416.2120319999999</v>
      </c>
      <c r="E1706">
        <f t="shared" si="75"/>
        <v>1.0138253611581897E-13</v>
      </c>
      <c r="F1706">
        <f t="shared" si="76"/>
        <v>1181.3116774393588</v>
      </c>
    </row>
    <row r="1707" spans="1:6" x14ac:dyDescent="0.25">
      <c r="A1707">
        <v>-42.745733124955684</v>
      </c>
      <c r="B1707">
        <v>252.22472939544878</v>
      </c>
      <c r="C1707">
        <v>1416.2120319999999</v>
      </c>
      <c r="E1707">
        <f t="shared" si="75"/>
        <v>42.745733124955855</v>
      </c>
      <c r="F1707">
        <f t="shared" si="76"/>
        <v>1179.7629479636435</v>
      </c>
    </row>
    <row r="1708" spans="1:6" x14ac:dyDescent="0.25">
      <c r="A1708">
        <v>-83.124547950256371</v>
      </c>
      <c r="B1708">
        <v>246.71757505472132</v>
      </c>
      <c r="C1708">
        <v>1416.2120319999999</v>
      </c>
      <c r="E1708">
        <f t="shared" si="75"/>
        <v>83.124547950256542</v>
      </c>
      <c r="F1708">
        <f t="shared" si="76"/>
        <v>1175.8688017842742</v>
      </c>
    </row>
    <row r="1709" spans="1:6" x14ac:dyDescent="0.25">
      <c r="A1709">
        <v>-128.21528139603114</v>
      </c>
      <c r="B1709">
        <v>235.66889387040806</v>
      </c>
      <c r="C1709">
        <v>1416.2120319999999</v>
      </c>
      <c r="E1709">
        <f t="shared" si="75"/>
        <v>128.21528139603132</v>
      </c>
      <c r="F1709">
        <f t="shared" si="76"/>
        <v>1168.0562043956779</v>
      </c>
    </row>
    <row r="1710" spans="1:6" x14ac:dyDescent="0.25">
      <c r="A1710">
        <v>-174.85906094296132</v>
      </c>
      <c r="B1710">
        <v>219.64249232134662</v>
      </c>
      <c r="C1710">
        <v>1416.2120319999999</v>
      </c>
      <c r="E1710">
        <f t="shared" si="75"/>
        <v>174.85906094296149</v>
      </c>
      <c r="F1710">
        <f t="shared" si="76"/>
        <v>1156.723827182318</v>
      </c>
    </row>
    <row r="1711" spans="1:6" x14ac:dyDescent="0.25">
      <c r="A1711">
        <v>-213.07821229871851</v>
      </c>
      <c r="B1711">
        <v>203.26315200893612</v>
      </c>
      <c r="C1711">
        <v>1416.2120319999999</v>
      </c>
      <c r="E1711">
        <f t="shared" si="75"/>
        <v>213.07821229871868</v>
      </c>
      <c r="F1711">
        <f t="shared" si="76"/>
        <v>1145.1418845760504</v>
      </c>
    </row>
    <row r="1712" spans="1:6" x14ac:dyDescent="0.25">
      <c r="A1712">
        <v>-245.36168258669781</v>
      </c>
      <c r="B1712">
        <v>186.46677747973521</v>
      </c>
      <c r="C1712">
        <v>1416.2120319999999</v>
      </c>
      <c r="E1712">
        <f t="shared" si="75"/>
        <v>245.36168258669798</v>
      </c>
      <c r="F1712">
        <f t="shared" si="76"/>
        <v>1133.2650542471035</v>
      </c>
    </row>
    <row r="1713" spans="1:6" x14ac:dyDescent="0.25">
      <c r="A1713">
        <v>-272.06175781013792</v>
      </c>
      <c r="B1713">
        <v>169.95609207605278</v>
      </c>
      <c r="C1713">
        <v>1416.2120319999999</v>
      </c>
      <c r="E1713">
        <f t="shared" si="75"/>
        <v>272.06175781013809</v>
      </c>
      <c r="F1713">
        <f t="shared" si="76"/>
        <v>1121.590236636122</v>
      </c>
    </row>
    <row r="1714" spans="1:6" x14ac:dyDescent="0.25">
      <c r="A1714">
        <v>-294.88756944143671</v>
      </c>
      <c r="B1714">
        <v>153.08393921407267</v>
      </c>
      <c r="C1714">
        <v>1416.2120319999999</v>
      </c>
      <c r="E1714">
        <f t="shared" si="75"/>
        <v>294.88756944143688</v>
      </c>
      <c r="F1714">
        <f t="shared" si="76"/>
        <v>1109.6598229341996</v>
      </c>
    </row>
    <row r="1715" spans="1:6" x14ac:dyDescent="0.25">
      <c r="A1715">
        <v>-314.93217880854382</v>
      </c>
      <c r="B1715">
        <v>135.28031997377212</v>
      </c>
      <c r="C1715">
        <v>1416.2120319999999</v>
      </c>
      <c r="E1715">
        <f t="shared" si="75"/>
        <v>314.93217880854399</v>
      </c>
      <c r="F1715">
        <f t="shared" si="76"/>
        <v>1097.0707630397198</v>
      </c>
    </row>
    <row r="1716" spans="1:6" x14ac:dyDescent="0.25">
      <c r="A1716">
        <v>-333.4338986877512</v>
      </c>
      <c r="B1716">
        <v>115.85793463485857</v>
      </c>
      <c r="C1716">
        <v>1416.2120319999999</v>
      </c>
      <c r="E1716">
        <f t="shared" si="75"/>
        <v>333.43389868775137</v>
      </c>
      <c r="F1716">
        <f t="shared" si="76"/>
        <v>1083.3370626597559</v>
      </c>
    </row>
    <row r="1717" spans="1:6" x14ac:dyDescent="0.25">
      <c r="A1717">
        <v>-348.3815696434458</v>
      </c>
      <c r="B1717">
        <v>97.785059673625611</v>
      </c>
      <c r="C1717">
        <v>1416.2120319999999</v>
      </c>
      <c r="E1717">
        <f t="shared" si="75"/>
        <v>348.38156964344597</v>
      </c>
      <c r="F1717">
        <f t="shared" si="76"/>
        <v>1070.5576102191314</v>
      </c>
    </row>
    <row r="1718" spans="1:6" x14ac:dyDescent="0.25">
      <c r="A1718">
        <v>-360.76201357853881</v>
      </c>
      <c r="B1718">
        <v>80.323891156956037</v>
      </c>
      <c r="C1718">
        <v>1416.2120319999999</v>
      </c>
      <c r="E1718">
        <f t="shared" si="75"/>
        <v>360.76201357853898</v>
      </c>
      <c r="F1718">
        <f t="shared" si="76"/>
        <v>1058.2106995535535</v>
      </c>
    </row>
    <row r="1719" spans="1:6" x14ac:dyDescent="0.25">
      <c r="A1719">
        <v>-368.40455461856186</v>
      </c>
      <c r="B1719">
        <v>66.273343894469107</v>
      </c>
      <c r="C1719">
        <v>1416.2120319999999</v>
      </c>
      <c r="E1719">
        <f t="shared" si="75"/>
        <v>368.40455461856203</v>
      </c>
      <c r="F1719">
        <f t="shared" si="76"/>
        <v>1048.2754623048668</v>
      </c>
    </row>
    <row r="1720" spans="1:6" x14ac:dyDescent="0.25">
      <c r="A1720">
        <v>-374.61021517538603</v>
      </c>
      <c r="B1720">
        <v>51.972684785552239</v>
      </c>
      <c r="C1720">
        <v>1416.2120319999999</v>
      </c>
      <c r="E1720">
        <f t="shared" si="75"/>
        <v>374.6102151753862</v>
      </c>
      <c r="F1720">
        <f t="shared" si="76"/>
        <v>1038.1633692735145</v>
      </c>
    </row>
    <row r="1721" spans="1:6" x14ac:dyDescent="0.25">
      <c r="A1721">
        <v>-379.3019583309632</v>
      </c>
      <c r="B1721">
        <v>38.44395540282553</v>
      </c>
      <c r="C1721">
        <v>1416.2120319999999</v>
      </c>
      <c r="E1721">
        <f t="shared" si="75"/>
        <v>379.30195833096337</v>
      </c>
      <c r="F1721">
        <f t="shared" si="76"/>
        <v>1028.5971129861507</v>
      </c>
    </row>
    <row r="1722" spans="1:6" x14ac:dyDescent="0.25">
      <c r="A1722">
        <v>-382.76551044667769</v>
      </c>
      <c r="B1722">
        <v>25.422432336156639</v>
      </c>
      <c r="C1722">
        <v>1416.2120319999999</v>
      </c>
      <c r="E1722">
        <f t="shared" si="75"/>
        <v>382.76551044667787</v>
      </c>
      <c r="F1722">
        <f t="shared" si="76"/>
        <v>1019.3895057243321</v>
      </c>
    </row>
    <row r="1723" spans="1:6" x14ac:dyDescent="0.25">
      <c r="A1723">
        <v>-348.55152248746151</v>
      </c>
      <c r="B1723">
        <v>-3.808420814071538E-14</v>
      </c>
      <c r="C1723">
        <v>1496.2908159999999</v>
      </c>
      <c r="E1723">
        <f t="shared" si="75"/>
        <v>348.55152248746168</v>
      </c>
      <c r="F1723">
        <f t="shared" si="76"/>
        <v>1058.0373826207526</v>
      </c>
    </row>
    <row r="1724" spans="1:6" x14ac:dyDescent="0.25">
      <c r="A1724">
        <v>-347.04097711020404</v>
      </c>
      <c r="B1724">
        <v>-12.590476189686514</v>
      </c>
      <c r="C1724">
        <v>1496.2908159999999</v>
      </c>
      <c r="E1724">
        <f t="shared" si="75"/>
        <v>347.04097711020421</v>
      </c>
      <c r="F1724">
        <f t="shared" si="76"/>
        <v>1049.1345715286575</v>
      </c>
    </row>
    <row r="1725" spans="1:6" x14ac:dyDescent="0.25">
      <c r="A1725">
        <v>-344.59713550593381</v>
      </c>
      <c r="B1725">
        <v>-25.257531670208969</v>
      </c>
      <c r="C1725">
        <v>1496.2908159999999</v>
      </c>
      <c r="E1725">
        <f t="shared" si="75"/>
        <v>344.59713550593398</v>
      </c>
      <c r="F1725">
        <f t="shared" si="76"/>
        <v>1040.1776107007138</v>
      </c>
    </row>
    <row r="1726" spans="1:6" x14ac:dyDescent="0.25">
      <c r="A1726">
        <v>-341.10767873752974</v>
      </c>
      <c r="B1726">
        <v>-38.210765253008773</v>
      </c>
      <c r="C1726">
        <v>1496.2908159999999</v>
      </c>
      <c r="E1726">
        <f t="shared" si="75"/>
        <v>341.10767873752991</v>
      </c>
      <c r="F1726">
        <f t="shared" si="76"/>
        <v>1031.0182913960227</v>
      </c>
    </row>
    <row r="1727" spans="1:6" x14ac:dyDescent="0.25">
      <c r="A1727">
        <v>-336.38686674311697</v>
      </c>
      <c r="B1727">
        <v>-51.678119759661776</v>
      </c>
      <c r="C1727">
        <v>1496.2908159999999</v>
      </c>
      <c r="E1727">
        <f t="shared" si="75"/>
        <v>336.38686674311714</v>
      </c>
      <c r="F1727">
        <f t="shared" si="76"/>
        <v>1021.4954336997253</v>
      </c>
    </row>
    <row r="1728" spans="1:6" x14ac:dyDescent="0.25">
      <c r="A1728">
        <v>-330.11852141945798</v>
      </c>
      <c r="B1728">
        <v>-65.906940213189188</v>
      </c>
      <c r="C1728">
        <v>1496.2908159999999</v>
      </c>
      <c r="E1728">
        <f t="shared" si="75"/>
        <v>330.11852141945815</v>
      </c>
      <c r="F1728">
        <f t="shared" si="76"/>
        <v>1011.4341382687502</v>
      </c>
    </row>
    <row r="1729" spans="1:6" x14ac:dyDescent="0.25">
      <c r="A1729">
        <v>-322.60481619095168</v>
      </c>
      <c r="B1729">
        <v>-79.762156939935267</v>
      </c>
      <c r="C1729">
        <v>1496.2908159999999</v>
      </c>
      <c r="E1729">
        <f t="shared" si="75"/>
        <v>322.60481619095185</v>
      </c>
      <c r="F1729">
        <f t="shared" si="76"/>
        <v>1001.6370205664588</v>
      </c>
    </row>
    <row r="1730" spans="1:6" x14ac:dyDescent="0.25">
      <c r="A1730">
        <v>-311.63475871267656</v>
      </c>
      <c r="B1730">
        <v>-95.521806656881182</v>
      </c>
      <c r="C1730">
        <v>1496.2908159999999</v>
      </c>
      <c r="E1730">
        <f t="shared" si="75"/>
        <v>311.63475871267673</v>
      </c>
      <c r="F1730">
        <f t="shared" si="76"/>
        <v>990.49326538248158</v>
      </c>
    </row>
    <row r="1731" spans="1:6" x14ac:dyDescent="0.25">
      <c r="A1731">
        <v>-297.1705496498376</v>
      </c>
      <c r="B1731">
        <v>-112.73445378642144</v>
      </c>
      <c r="C1731">
        <v>1496.2908159999999</v>
      </c>
      <c r="E1731">
        <f t="shared" si="75"/>
        <v>297.17054964983777</v>
      </c>
      <c r="F1731">
        <f t="shared" si="76"/>
        <v>978.32208587501259</v>
      </c>
    </row>
    <row r="1732" spans="1:6" x14ac:dyDescent="0.25">
      <c r="A1732">
        <v>-282.12455205311971</v>
      </c>
      <c r="B1732">
        <v>-128.06988733173236</v>
      </c>
      <c r="C1732">
        <v>1496.2908159999999</v>
      </c>
      <c r="E1732">
        <f t="shared" si="75"/>
        <v>282.12455205311988</v>
      </c>
      <c r="F1732">
        <f t="shared" si="76"/>
        <v>967.47829682268753</v>
      </c>
    </row>
    <row r="1733" spans="1:6" x14ac:dyDescent="0.25">
      <c r="A1733">
        <v>-265.97486766683221</v>
      </c>
      <c r="B1733">
        <v>-142.2440672246388</v>
      </c>
      <c r="C1733">
        <v>1496.2908159999999</v>
      </c>
      <c r="E1733">
        <f t="shared" si="75"/>
        <v>265.97486766683238</v>
      </c>
      <c r="F1733">
        <f t="shared" si="76"/>
        <v>957.45563810265537</v>
      </c>
    </row>
    <row r="1734" spans="1:6" x14ac:dyDescent="0.25">
      <c r="A1734">
        <v>-248.02945293305856</v>
      </c>
      <c r="B1734">
        <v>-155.80556757027361</v>
      </c>
      <c r="C1734">
        <v>1496.2908159999999</v>
      </c>
      <c r="E1734">
        <f t="shared" si="75"/>
        <v>248.02945293305874</v>
      </c>
      <c r="F1734">
        <f t="shared" si="76"/>
        <v>947.86620924519332</v>
      </c>
    </row>
    <row r="1735" spans="1:6" x14ac:dyDescent="0.25">
      <c r="A1735">
        <v>-226.67484107469829</v>
      </c>
      <c r="B1735">
        <v>-169.09304624089589</v>
      </c>
      <c r="C1735">
        <v>1496.2908159999999</v>
      </c>
      <c r="E1735">
        <f t="shared" si="75"/>
        <v>226.67484107469846</v>
      </c>
      <c r="F1735">
        <f t="shared" si="76"/>
        <v>938.47054297232467</v>
      </c>
    </row>
    <row r="1736" spans="1:6" x14ac:dyDescent="0.25">
      <c r="A1736">
        <v>-202.70391880373279</v>
      </c>
      <c r="B1736">
        <v>-181.68311696786165</v>
      </c>
      <c r="C1736">
        <v>1496.2908159999999</v>
      </c>
      <c r="E1736">
        <f t="shared" si="75"/>
        <v>202.70391880373296</v>
      </c>
      <c r="F1736">
        <f t="shared" si="76"/>
        <v>929.56801858566894</v>
      </c>
    </row>
    <row r="1737" spans="1:6" x14ac:dyDescent="0.25">
      <c r="A1737">
        <v>-169.82686341079699</v>
      </c>
      <c r="B1737">
        <v>-195.9626207368039</v>
      </c>
      <c r="C1737">
        <v>1496.2908159999999</v>
      </c>
      <c r="E1737">
        <f t="shared" si="75"/>
        <v>169.82686341079716</v>
      </c>
      <c r="F1737">
        <f t="shared" si="76"/>
        <v>919.47088463867101</v>
      </c>
    </row>
    <row r="1738" spans="1:6" x14ac:dyDescent="0.25">
      <c r="A1738">
        <v>-126.06449194350819</v>
      </c>
      <c r="B1738">
        <v>-210.88767765309103</v>
      </c>
      <c r="C1738">
        <v>1496.2908159999999</v>
      </c>
      <c r="E1738">
        <f t="shared" si="75"/>
        <v>126.06449194350837</v>
      </c>
      <c r="F1738">
        <f t="shared" si="76"/>
        <v>908.91727568356919</v>
      </c>
    </row>
    <row r="1739" spans="1:6" x14ac:dyDescent="0.25">
      <c r="A1739">
        <v>-82.160927292345306</v>
      </c>
      <c r="B1739">
        <v>-221.65251830957007</v>
      </c>
      <c r="C1739">
        <v>1496.2908159999999</v>
      </c>
      <c r="E1739">
        <f t="shared" si="75"/>
        <v>82.160927292345491</v>
      </c>
      <c r="F1739">
        <f t="shared" si="76"/>
        <v>901.30538385698026</v>
      </c>
    </row>
    <row r="1740" spans="1:6" x14ac:dyDescent="0.25">
      <c r="A1740">
        <v>-39.864730004489921</v>
      </c>
      <c r="B1740">
        <v>-227.12384794716976</v>
      </c>
      <c r="C1740">
        <v>1496.2908159999999</v>
      </c>
      <c r="E1740">
        <f t="shared" si="75"/>
        <v>39.864730004490106</v>
      </c>
      <c r="F1740">
        <f t="shared" si="76"/>
        <v>897.43656956812652</v>
      </c>
    </row>
    <row r="1741" spans="1:6" x14ac:dyDescent="0.25">
      <c r="A1741">
        <v>1.158354487122095E-13</v>
      </c>
      <c r="B1741">
        <v>-229.09940772335361</v>
      </c>
      <c r="C1741">
        <v>1496.2908159999999</v>
      </c>
      <c r="E1741">
        <f t="shared" si="75"/>
        <v>6.7482389419426311E-14</v>
      </c>
      <c r="F1741">
        <f t="shared" si="76"/>
        <v>896.03963785374754</v>
      </c>
    </row>
    <row r="1742" spans="1:6" x14ac:dyDescent="0.25">
      <c r="A1742">
        <v>39.864730004489658</v>
      </c>
      <c r="B1742">
        <v>-227.12384794716974</v>
      </c>
      <c r="C1742">
        <v>1496.2908159999999</v>
      </c>
      <c r="E1742">
        <f t="shared" si="75"/>
        <v>-39.864730004489473</v>
      </c>
      <c r="F1742">
        <f t="shared" si="76"/>
        <v>897.43656956812652</v>
      </c>
    </row>
    <row r="1743" spans="1:6" x14ac:dyDescent="0.25">
      <c r="A1743">
        <v>82.160927292345278</v>
      </c>
      <c r="B1743">
        <v>-221.65251830956993</v>
      </c>
      <c r="C1743">
        <v>1496.2908159999999</v>
      </c>
      <c r="E1743">
        <f t="shared" si="75"/>
        <v>-82.160927292345093</v>
      </c>
      <c r="F1743">
        <f t="shared" si="76"/>
        <v>901.30538385698037</v>
      </c>
    </row>
    <row r="1744" spans="1:6" x14ac:dyDescent="0.25">
      <c r="A1744">
        <v>126.06449194350814</v>
      </c>
      <c r="B1744">
        <v>-210.88767765309103</v>
      </c>
      <c r="C1744">
        <v>1496.2908159999999</v>
      </c>
      <c r="E1744">
        <f t="shared" si="75"/>
        <v>-126.06449194350796</v>
      </c>
      <c r="F1744">
        <f t="shared" si="76"/>
        <v>908.91727568356919</v>
      </c>
    </row>
    <row r="1745" spans="1:6" x14ac:dyDescent="0.25">
      <c r="A1745">
        <v>169.82686341079699</v>
      </c>
      <c r="B1745">
        <v>-195.9626207368037</v>
      </c>
      <c r="C1745">
        <v>1496.2908159999999</v>
      </c>
      <c r="E1745">
        <f t="shared" si="75"/>
        <v>-169.82686341079682</v>
      </c>
      <c r="F1745">
        <f t="shared" si="76"/>
        <v>919.47088463867112</v>
      </c>
    </row>
    <row r="1746" spans="1:6" x14ac:dyDescent="0.25">
      <c r="A1746">
        <v>202.70391880373268</v>
      </c>
      <c r="B1746">
        <v>-181.68311696786151</v>
      </c>
      <c r="C1746">
        <v>1496.2908159999999</v>
      </c>
      <c r="E1746">
        <f t="shared" si="75"/>
        <v>-202.70391880373251</v>
      </c>
      <c r="F1746">
        <f t="shared" si="76"/>
        <v>929.56801858566905</v>
      </c>
    </row>
    <row r="1747" spans="1:6" x14ac:dyDescent="0.25">
      <c r="A1747">
        <v>226.67484107469829</v>
      </c>
      <c r="B1747">
        <v>-169.09304624089589</v>
      </c>
      <c r="C1747">
        <v>1496.2908159999999</v>
      </c>
      <c r="E1747">
        <f t="shared" si="75"/>
        <v>-226.67484107469812</v>
      </c>
      <c r="F1747">
        <f t="shared" si="76"/>
        <v>938.47054297232467</v>
      </c>
    </row>
    <row r="1748" spans="1:6" x14ac:dyDescent="0.25">
      <c r="A1748">
        <v>248.02945293305874</v>
      </c>
      <c r="B1748">
        <v>-155.80556757027369</v>
      </c>
      <c r="C1748">
        <v>1496.2908159999999</v>
      </c>
      <c r="E1748">
        <f t="shared" ref="E1748:E1811" si="77">($I$2*A1748)+($K$2*B1748)+($M$2*C1748)</f>
        <v>-248.02945293305856</v>
      </c>
      <c r="F1748">
        <f t="shared" ref="F1748:F1811" si="78">($J$2*A1748)+($L$2*B1748)+($N$2*C1748)</f>
        <v>947.86620924519332</v>
      </c>
    </row>
    <row r="1749" spans="1:6" x14ac:dyDescent="0.25">
      <c r="A1749">
        <v>265.97486766683227</v>
      </c>
      <c r="B1749">
        <v>-142.24406722463863</v>
      </c>
      <c r="C1749">
        <v>1496.2908159999999</v>
      </c>
      <c r="E1749">
        <f t="shared" si="77"/>
        <v>-265.9748676668321</v>
      </c>
      <c r="F1749">
        <f t="shared" si="78"/>
        <v>957.45563810265548</v>
      </c>
    </row>
    <row r="1750" spans="1:6" x14ac:dyDescent="0.25">
      <c r="A1750">
        <v>282.12455205311983</v>
      </c>
      <c r="B1750">
        <v>-128.0698873317323</v>
      </c>
      <c r="C1750">
        <v>1496.2908159999999</v>
      </c>
      <c r="E1750">
        <f t="shared" si="77"/>
        <v>-282.12455205311966</v>
      </c>
      <c r="F1750">
        <f t="shared" si="78"/>
        <v>967.47829682268764</v>
      </c>
    </row>
    <row r="1751" spans="1:6" x14ac:dyDescent="0.25">
      <c r="A1751">
        <v>297.17054964983771</v>
      </c>
      <c r="B1751">
        <v>-112.73445378642141</v>
      </c>
      <c r="C1751">
        <v>1496.2908159999999</v>
      </c>
      <c r="E1751">
        <f t="shared" si="77"/>
        <v>-297.17054964983754</v>
      </c>
      <c r="F1751">
        <f t="shared" si="78"/>
        <v>978.32208587501259</v>
      </c>
    </row>
    <row r="1752" spans="1:6" x14ac:dyDescent="0.25">
      <c r="A1752">
        <v>311.63475871267673</v>
      </c>
      <c r="B1752">
        <v>-95.521806656881111</v>
      </c>
      <c r="C1752">
        <v>1496.2908159999999</v>
      </c>
      <c r="E1752">
        <f t="shared" si="77"/>
        <v>-311.63475871267656</v>
      </c>
      <c r="F1752">
        <f t="shared" si="78"/>
        <v>990.4932653824817</v>
      </c>
    </row>
    <row r="1753" spans="1:6" x14ac:dyDescent="0.25">
      <c r="A1753">
        <v>322.60481619095168</v>
      </c>
      <c r="B1753">
        <v>-79.762156939935196</v>
      </c>
      <c r="C1753">
        <v>1496.2908159999999</v>
      </c>
      <c r="E1753">
        <f t="shared" si="77"/>
        <v>-322.60481619095151</v>
      </c>
      <c r="F1753">
        <f t="shared" si="78"/>
        <v>1001.6370205664589</v>
      </c>
    </row>
    <row r="1754" spans="1:6" x14ac:dyDescent="0.25">
      <c r="A1754">
        <v>330.11852141945792</v>
      </c>
      <c r="B1754">
        <v>-65.906940213189074</v>
      </c>
      <c r="C1754">
        <v>1496.2908159999999</v>
      </c>
      <c r="E1754">
        <f t="shared" si="77"/>
        <v>-330.11852141945775</v>
      </c>
      <c r="F1754">
        <f t="shared" si="78"/>
        <v>1011.4341382687503</v>
      </c>
    </row>
    <row r="1755" spans="1:6" x14ac:dyDescent="0.25">
      <c r="A1755">
        <v>336.38686674311714</v>
      </c>
      <c r="B1755">
        <v>-51.678119759661755</v>
      </c>
      <c r="C1755">
        <v>1496.2908159999999</v>
      </c>
      <c r="E1755">
        <f t="shared" si="77"/>
        <v>-336.38686674311697</v>
      </c>
      <c r="F1755">
        <f t="shared" si="78"/>
        <v>1021.4954336997253</v>
      </c>
    </row>
    <row r="1756" spans="1:6" x14ac:dyDescent="0.25">
      <c r="A1756">
        <v>341.10767873753008</v>
      </c>
      <c r="B1756">
        <v>-38.210765253008674</v>
      </c>
      <c r="C1756">
        <v>1496.2908159999999</v>
      </c>
      <c r="E1756">
        <f t="shared" si="77"/>
        <v>-341.10767873752991</v>
      </c>
      <c r="F1756">
        <f t="shared" si="78"/>
        <v>1031.018291396023</v>
      </c>
    </row>
    <row r="1757" spans="1:6" x14ac:dyDescent="0.25">
      <c r="A1757">
        <v>344.59713550593403</v>
      </c>
      <c r="B1757">
        <v>-25.257531670209051</v>
      </c>
      <c r="C1757">
        <v>1496.2908159999999</v>
      </c>
      <c r="E1757">
        <f t="shared" si="77"/>
        <v>-344.59713550593386</v>
      </c>
      <c r="F1757">
        <f t="shared" si="78"/>
        <v>1040.1776107007138</v>
      </c>
    </row>
    <row r="1758" spans="1:6" x14ac:dyDescent="0.25">
      <c r="A1758">
        <v>347.04097711020387</v>
      </c>
      <c r="B1758">
        <v>-12.590476189686386</v>
      </c>
      <c r="C1758">
        <v>1496.2908159999999</v>
      </c>
      <c r="E1758">
        <f t="shared" si="77"/>
        <v>-347.0409771102037</v>
      </c>
      <c r="F1758">
        <f t="shared" si="78"/>
        <v>1049.1345715286577</v>
      </c>
    </row>
    <row r="1759" spans="1:6" x14ac:dyDescent="0.25">
      <c r="A1759">
        <v>348.55152248746157</v>
      </c>
      <c r="B1759">
        <v>0</v>
      </c>
      <c r="C1759">
        <v>1496.2908159999999</v>
      </c>
      <c r="E1759">
        <f t="shared" si="77"/>
        <v>-348.5515224874614</v>
      </c>
      <c r="F1759">
        <f t="shared" si="78"/>
        <v>1058.0373826207526</v>
      </c>
    </row>
    <row r="1760" spans="1:6" x14ac:dyDescent="0.25">
      <c r="A1760">
        <v>347.04097711020387</v>
      </c>
      <c r="B1760">
        <v>12.590476189686386</v>
      </c>
      <c r="C1760">
        <v>1496.2908159999999</v>
      </c>
      <c r="E1760">
        <f t="shared" si="77"/>
        <v>-347.0409771102037</v>
      </c>
      <c r="F1760">
        <f t="shared" si="78"/>
        <v>1066.9401937128478</v>
      </c>
    </row>
    <row r="1761" spans="1:6" x14ac:dyDescent="0.25">
      <c r="A1761">
        <v>344.59713550593403</v>
      </c>
      <c r="B1761">
        <v>25.257531670209055</v>
      </c>
      <c r="C1761">
        <v>1496.2908159999999</v>
      </c>
      <c r="E1761">
        <f t="shared" si="77"/>
        <v>-344.59713550593386</v>
      </c>
      <c r="F1761">
        <f t="shared" si="78"/>
        <v>1075.8971545407915</v>
      </c>
    </row>
    <row r="1762" spans="1:6" x14ac:dyDescent="0.25">
      <c r="A1762">
        <v>341.10767873752997</v>
      </c>
      <c r="B1762">
        <v>38.210765253008788</v>
      </c>
      <c r="C1762">
        <v>1496.2908159999999</v>
      </c>
      <c r="E1762">
        <f t="shared" si="77"/>
        <v>-341.1076787375298</v>
      </c>
      <c r="F1762">
        <f t="shared" si="78"/>
        <v>1085.0564738454825</v>
      </c>
    </row>
    <row r="1763" spans="1:6" x14ac:dyDescent="0.25">
      <c r="A1763">
        <v>336.38686674311714</v>
      </c>
      <c r="B1763">
        <v>51.678119759661811</v>
      </c>
      <c r="C1763">
        <v>1496.2908159999999</v>
      </c>
      <c r="E1763">
        <f t="shared" si="77"/>
        <v>-336.38686674311697</v>
      </c>
      <c r="F1763">
        <f t="shared" si="78"/>
        <v>1094.57933154178</v>
      </c>
    </row>
    <row r="1764" spans="1:6" x14ac:dyDescent="0.25">
      <c r="A1764">
        <v>330.11852141945792</v>
      </c>
      <c r="B1764">
        <v>65.906940213189046</v>
      </c>
      <c r="C1764">
        <v>1496.2908159999999</v>
      </c>
      <c r="E1764">
        <f t="shared" si="77"/>
        <v>-330.11852141945775</v>
      </c>
      <c r="F1764">
        <f t="shared" si="78"/>
        <v>1104.6406269727549</v>
      </c>
    </row>
    <row r="1765" spans="1:6" x14ac:dyDescent="0.25">
      <c r="A1765">
        <v>322.60481619095168</v>
      </c>
      <c r="B1765">
        <v>79.762156939935196</v>
      </c>
      <c r="C1765">
        <v>1496.2908159999999</v>
      </c>
      <c r="E1765">
        <f t="shared" si="77"/>
        <v>-322.60481619095151</v>
      </c>
      <c r="F1765">
        <f t="shared" si="78"/>
        <v>1114.4377446750464</v>
      </c>
    </row>
    <row r="1766" spans="1:6" x14ac:dyDescent="0.25">
      <c r="A1766">
        <v>311.6347587126769</v>
      </c>
      <c r="B1766">
        <v>95.52180665688104</v>
      </c>
      <c r="C1766">
        <v>1496.2908159999999</v>
      </c>
      <c r="E1766">
        <f t="shared" si="77"/>
        <v>-311.63475871267673</v>
      </c>
      <c r="F1766">
        <f t="shared" si="78"/>
        <v>1125.5814998590236</v>
      </c>
    </row>
    <row r="1767" spans="1:6" x14ac:dyDescent="0.25">
      <c r="A1767">
        <v>297.17054964983765</v>
      </c>
      <c r="B1767">
        <v>112.73445378642144</v>
      </c>
      <c r="C1767">
        <v>1496.2908159999999</v>
      </c>
      <c r="E1767">
        <f t="shared" si="77"/>
        <v>-297.17054964983748</v>
      </c>
      <c r="F1767">
        <f t="shared" si="78"/>
        <v>1137.7526793664927</v>
      </c>
    </row>
    <row r="1768" spans="1:6" x14ac:dyDescent="0.25">
      <c r="A1768">
        <v>282.12455205311983</v>
      </c>
      <c r="B1768">
        <v>128.06988733173236</v>
      </c>
      <c r="C1768">
        <v>1496.2908159999999</v>
      </c>
      <c r="E1768">
        <f t="shared" si="77"/>
        <v>-282.12455205311966</v>
      </c>
      <c r="F1768">
        <f t="shared" si="78"/>
        <v>1148.5964684188177</v>
      </c>
    </row>
    <row r="1769" spans="1:6" x14ac:dyDescent="0.25">
      <c r="A1769">
        <v>265.97486766683227</v>
      </c>
      <c r="B1769">
        <v>142.24406722463866</v>
      </c>
      <c r="C1769">
        <v>1496.2908159999999</v>
      </c>
      <c r="E1769">
        <f t="shared" si="77"/>
        <v>-265.9748676668321</v>
      </c>
      <c r="F1769">
        <f t="shared" si="78"/>
        <v>1158.6191271388498</v>
      </c>
    </row>
    <row r="1770" spans="1:6" x14ac:dyDescent="0.25">
      <c r="A1770">
        <v>248.02945293305856</v>
      </c>
      <c r="B1770">
        <v>155.8055675702735</v>
      </c>
      <c r="C1770">
        <v>1496.2908159999999</v>
      </c>
      <c r="E1770">
        <f t="shared" si="77"/>
        <v>-248.02945293305839</v>
      </c>
      <c r="F1770">
        <f t="shared" si="78"/>
        <v>1168.2085559963118</v>
      </c>
    </row>
    <row r="1771" spans="1:6" x14ac:dyDescent="0.25">
      <c r="A1771">
        <v>226.67484107469855</v>
      </c>
      <c r="B1771">
        <v>169.0930462408958</v>
      </c>
      <c r="C1771">
        <v>1496.2908159999999</v>
      </c>
      <c r="E1771">
        <f t="shared" si="77"/>
        <v>-226.67484107469838</v>
      </c>
      <c r="F1771">
        <f t="shared" si="78"/>
        <v>1177.6042222691806</v>
      </c>
    </row>
    <row r="1772" spans="1:6" x14ac:dyDescent="0.25">
      <c r="A1772">
        <v>202.70391880373262</v>
      </c>
      <c r="B1772">
        <v>181.68311696786131</v>
      </c>
      <c r="C1772">
        <v>1496.2908159999999</v>
      </c>
      <c r="E1772">
        <f t="shared" si="77"/>
        <v>-202.70391880373245</v>
      </c>
      <c r="F1772">
        <f t="shared" si="78"/>
        <v>1186.5067466558362</v>
      </c>
    </row>
    <row r="1773" spans="1:6" x14ac:dyDescent="0.25">
      <c r="A1773">
        <v>169.82686341079727</v>
      </c>
      <c r="B1773">
        <v>195.96262073680398</v>
      </c>
      <c r="C1773">
        <v>1496.2908159999999</v>
      </c>
      <c r="E1773">
        <f t="shared" si="77"/>
        <v>-169.8268634107971</v>
      </c>
      <c r="F1773">
        <f t="shared" si="78"/>
        <v>1196.6038806028344</v>
      </c>
    </row>
    <row r="1774" spans="1:6" x14ac:dyDescent="0.25">
      <c r="A1774">
        <v>126.06449194350805</v>
      </c>
      <c r="B1774">
        <v>210.88767765309095</v>
      </c>
      <c r="C1774">
        <v>1496.2908159999999</v>
      </c>
      <c r="E1774">
        <f t="shared" si="77"/>
        <v>-126.06449194350786</v>
      </c>
      <c r="F1774">
        <f t="shared" si="78"/>
        <v>1207.1574895579361</v>
      </c>
    </row>
    <row r="1775" spans="1:6" x14ac:dyDescent="0.25">
      <c r="A1775">
        <v>82.160927292345278</v>
      </c>
      <c r="B1775">
        <v>221.65251830957007</v>
      </c>
      <c r="C1775">
        <v>1496.2908159999999</v>
      </c>
      <c r="E1775">
        <f t="shared" si="77"/>
        <v>-82.160927292345093</v>
      </c>
      <c r="F1775">
        <f t="shared" si="78"/>
        <v>1214.7693813845251</v>
      </c>
    </row>
    <row r="1776" spans="1:6" x14ac:dyDescent="0.25">
      <c r="A1776">
        <v>39.86473000448963</v>
      </c>
      <c r="B1776">
        <v>227.12384794716962</v>
      </c>
      <c r="C1776">
        <v>1496.2908159999999</v>
      </c>
      <c r="E1776">
        <f t="shared" si="77"/>
        <v>-39.864730004489445</v>
      </c>
      <c r="F1776">
        <f t="shared" si="78"/>
        <v>1218.6381956733785</v>
      </c>
    </row>
    <row r="1777" spans="1:6" x14ac:dyDescent="0.25">
      <c r="A1777">
        <v>1.079839514820604E-13</v>
      </c>
      <c r="B1777">
        <v>229.09940772335361</v>
      </c>
      <c r="C1777">
        <v>1496.2908159999999</v>
      </c>
      <c r="E1777">
        <f t="shared" si="77"/>
        <v>7.5333886649575408E-14</v>
      </c>
      <c r="F1777">
        <f t="shared" si="78"/>
        <v>1220.0351273877577</v>
      </c>
    </row>
    <row r="1778" spans="1:6" x14ac:dyDescent="0.25">
      <c r="A1778">
        <v>-39.864730004489807</v>
      </c>
      <c r="B1778">
        <v>227.12384794716959</v>
      </c>
      <c r="C1778">
        <v>1496.2908159999999</v>
      </c>
      <c r="E1778">
        <f t="shared" si="77"/>
        <v>39.864730004489992</v>
      </c>
      <c r="F1778">
        <f t="shared" si="78"/>
        <v>1218.6381956733785</v>
      </c>
    </row>
    <row r="1779" spans="1:6" x14ac:dyDescent="0.25">
      <c r="A1779">
        <v>-82.160927292345107</v>
      </c>
      <c r="B1779">
        <v>221.65251830957007</v>
      </c>
      <c r="C1779">
        <v>1496.2908159999999</v>
      </c>
      <c r="E1779">
        <f t="shared" si="77"/>
        <v>82.160927292345292</v>
      </c>
      <c r="F1779">
        <f t="shared" si="78"/>
        <v>1214.7693813845251</v>
      </c>
    </row>
    <row r="1780" spans="1:6" x14ac:dyDescent="0.25">
      <c r="A1780">
        <v>-126.06449194350805</v>
      </c>
      <c r="B1780">
        <v>210.887677653091</v>
      </c>
      <c r="C1780">
        <v>1496.2908159999999</v>
      </c>
      <c r="E1780">
        <f t="shared" si="77"/>
        <v>126.06449194350823</v>
      </c>
      <c r="F1780">
        <f t="shared" si="78"/>
        <v>1207.1574895579361</v>
      </c>
    </row>
    <row r="1781" spans="1:6" x14ac:dyDescent="0.25">
      <c r="A1781">
        <v>-169.82686341079682</v>
      </c>
      <c r="B1781">
        <v>195.96262073680415</v>
      </c>
      <c r="C1781">
        <v>1496.2908159999999</v>
      </c>
      <c r="E1781">
        <f t="shared" si="77"/>
        <v>169.82686341079699</v>
      </c>
      <c r="F1781">
        <f t="shared" si="78"/>
        <v>1196.6038806028344</v>
      </c>
    </row>
    <row r="1782" spans="1:6" x14ac:dyDescent="0.25">
      <c r="A1782">
        <v>-202.70391880373242</v>
      </c>
      <c r="B1782">
        <v>181.68311696786165</v>
      </c>
      <c r="C1782">
        <v>1496.2908159999999</v>
      </c>
      <c r="E1782">
        <f t="shared" si="77"/>
        <v>202.70391880373259</v>
      </c>
      <c r="F1782">
        <f t="shared" si="78"/>
        <v>1186.5067466558362</v>
      </c>
    </row>
    <row r="1783" spans="1:6" x14ac:dyDescent="0.25">
      <c r="A1783">
        <v>-226.67484107469824</v>
      </c>
      <c r="B1783">
        <v>169.0930462408958</v>
      </c>
      <c r="C1783">
        <v>1496.2908159999999</v>
      </c>
      <c r="E1783">
        <f t="shared" si="77"/>
        <v>226.67484107469841</v>
      </c>
      <c r="F1783">
        <f t="shared" si="78"/>
        <v>1177.6042222691806</v>
      </c>
    </row>
    <row r="1784" spans="1:6" x14ac:dyDescent="0.25">
      <c r="A1784">
        <v>-248.02945293305856</v>
      </c>
      <c r="B1784">
        <v>155.80556757027361</v>
      </c>
      <c r="C1784">
        <v>1496.2908159999999</v>
      </c>
      <c r="E1784">
        <f t="shared" si="77"/>
        <v>248.02945293305874</v>
      </c>
      <c r="F1784">
        <f t="shared" si="78"/>
        <v>1168.2085559963118</v>
      </c>
    </row>
    <row r="1785" spans="1:6" x14ac:dyDescent="0.25">
      <c r="A1785">
        <v>-265.97486766683221</v>
      </c>
      <c r="B1785">
        <v>142.2440672246388</v>
      </c>
      <c r="C1785">
        <v>1496.2908159999999</v>
      </c>
      <c r="E1785">
        <f t="shared" si="77"/>
        <v>265.97486766683238</v>
      </c>
      <c r="F1785">
        <f t="shared" si="78"/>
        <v>1158.6191271388498</v>
      </c>
    </row>
    <row r="1786" spans="1:6" x14ac:dyDescent="0.25">
      <c r="A1786">
        <v>-282.12455205311971</v>
      </c>
      <c r="B1786">
        <v>128.06988733173236</v>
      </c>
      <c r="C1786">
        <v>1496.2908159999999</v>
      </c>
      <c r="E1786">
        <f t="shared" si="77"/>
        <v>282.12455205311988</v>
      </c>
      <c r="F1786">
        <f t="shared" si="78"/>
        <v>1148.5964684188177</v>
      </c>
    </row>
    <row r="1787" spans="1:6" x14ac:dyDescent="0.25">
      <c r="A1787">
        <v>-297.17054964983765</v>
      </c>
      <c r="B1787">
        <v>112.73445378642138</v>
      </c>
      <c r="C1787">
        <v>1496.2908159999999</v>
      </c>
      <c r="E1787">
        <f t="shared" si="77"/>
        <v>297.17054964983782</v>
      </c>
      <c r="F1787">
        <f t="shared" si="78"/>
        <v>1137.7526793664927</v>
      </c>
    </row>
    <row r="1788" spans="1:6" x14ac:dyDescent="0.25">
      <c r="A1788">
        <v>-311.63475871267661</v>
      </c>
      <c r="B1788">
        <v>95.521806656881168</v>
      </c>
      <c r="C1788">
        <v>1496.2908159999999</v>
      </c>
      <c r="E1788">
        <f t="shared" si="77"/>
        <v>311.63475871267678</v>
      </c>
      <c r="F1788">
        <f t="shared" si="78"/>
        <v>1125.5814998590236</v>
      </c>
    </row>
    <row r="1789" spans="1:6" x14ac:dyDescent="0.25">
      <c r="A1789">
        <v>-322.60481619095151</v>
      </c>
      <c r="B1789">
        <v>79.76215693993538</v>
      </c>
      <c r="C1789">
        <v>1496.2908159999999</v>
      </c>
      <c r="E1789">
        <f t="shared" si="77"/>
        <v>322.60481619095168</v>
      </c>
      <c r="F1789">
        <f t="shared" si="78"/>
        <v>1114.4377446750466</v>
      </c>
    </row>
    <row r="1790" spans="1:6" x14ac:dyDescent="0.25">
      <c r="A1790">
        <v>-330.11852141945798</v>
      </c>
      <c r="B1790">
        <v>65.906940213189159</v>
      </c>
      <c r="C1790">
        <v>1496.2908159999999</v>
      </c>
      <c r="E1790">
        <f t="shared" si="77"/>
        <v>330.11852141945815</v>
      </c>
      <c r="F1790">
        <f t="shared" si="78"/>
        <v>1104.6406269727549</v>
      </c>
    </row>
    <row r="1791" spans="1:6" x14ac:dyDescent="0.25">
      <c r="A1791">
        <v>-336.38686674311691</v>
      </c>
      <c r="B1791">
        <v>51.678119759661939</v>
      </c>
      <c r="C1791">
        <v>1496.2908159999999</v>
      </c>
      <c r="E1791">
        <f t="shared" si="77"/>
        <v>336.38686674311708</v>
      </c>
      <c r="F1791">
        <f t="shared" si="78"/>
        <v>1094.57933154178</v>
      </c>
    </row>
    <row r="1792" spans="1:6" x14ac:dyDescent="0.25">
      <c r="A1792">
        <v>-341.10767873752991</v>
      </c>
      <c r="B1792">
        <v>38.210765253008653</v>
      </c>
      <c r="C1792">
        <v>1496.2908159999999</v>
      </c>
      <c r="E1792">
        <f t="shared" si="77"/>
        <v>341.10767873753008</v>
      </c>
      <c r="F1792">
        <f t="shared" si="78"/>
        <v>1085.0564738454823</v>
      </c>
    </row>
    <row r="1793" spans="1:6" x14ac:dyDescent="0.25">
      <c r="A1793">
        <v>-344.59713550593381</v>
      </c>
      <c r="B1793">
        <v>25.257531670209023</v>
      </c>
      <c r="C1793">
        <v>1496.2908159999999</v>
      </c>
      <c r="E1793">
        <f t="shared" si="77"/>
        <v>344.59713550593398</v>
      </c>
      <c r="F1793">
        <f t="shared" si="78"/>
        <v>1075.8971545407915</v>
      </c>
    </row>
    <row r="1794" spans="1:6" x14ac:dyDescent="0.25">
      <c r="A1794">
        <v>-16.089533128015617</v>
      </c>
      <c r="B1794">
        <v>2.6473211172417482E-15</v>
      </c>
      <c r="C1794">
        <v>1576.3696</v>
      </c>
      <c r="E1794">
        <f t="shared" si="77"/>
        <v>16.089533128015809</v>
      </c>
      <c r="F1794">
        <f t="shared" si="78"/>
        <v>1114.6616338163253</v>
      </c>
    </row>
    <row r="1795" spans="1:6" x14ac:dyDescent="0.25">
      <c r="A1795">
        <v>-24.724651111812634</v>
      </c>
      <c r="B1795">
        <v>-0.77701616345919711</v>
      </c>
      <c r="C1795">
        <v>1576.3696</v>
      </c>
      <c r="E1795">
        <f t="shared" si="77"/>
        <v>24.724651111812825</v>
      </c>
      <c r="F1795">
        <f t="shared" si="78"/>
        <v>1114.1122004180518</v>
      </c>
    </row>
    <row r="1796" spans="1:6" x14ac:dyDescent="0.25">
      <c r="A1796">
        <v>-99.959906871158154</v>
      </c>
      <c r="B1796">
        <v>-22.677662064242821</v>
      </c>
      <c r="C1796">
        <v>1576.3696</v>
      </c>
      <c r="E1796">
        <f t="shared" si="77"/>
        <v>99.959906871158353</v>
      </c>
      <c r="F1796">
        <f t="shared" si="78"/>
        <v>1098.6261051892423</v>
      </c>
    </row>
    <row r="1797" spans="1:6" x14ac:dyDescent="0.25">
      <c r="A1797">
        <v>-85.608272608001727</v>
      </c>
      <c r="B1797">
        <v>-25.826746710121906</v>
      </c>
      <c r="C1797">
        <v>1576.3696</v>
      </c>
      <c r="E1797">
        <f t="shared" si="77"/>
        <v>85.608272608001926</v>
      </c>
      <c r="F1797">
        <f t="shared" si="78"/>
        <v>1096.3993660816107</v>
      </c>
    </row>
    <row r="1798" spans="1:6" x14ac:dyDescent="0.25">
      <c r="A1798">
        <v>-76.819455201176368</v>
      </c>
      <c r="B1798">
        <v>-26.694659883731944</v>
      </c>
      <c r="C1798">
        <v>1576.3696</v>
      </c>
      <c r="E1798">
        <f t="shared" si="77"/>
        <v>76.819455201176567</v>
      </c>
      <c r="F1798">
        <f t="shared" si="78"/>
        <v>1095.7856587910699</v>
      </c>
    </row>
    <row r="1799" spans="1:6" x14ac:dyDescent="0.25">
      <c r="A1799">
        <v>-69.826800304053634</v>
      </c>
      <c r="B1799">
        <v>-26.720892810251858</v>
      </c>
      <c r="C1799">
        <v>1576.3696</v>
      </c>
      <c r="E1799">
        <f t="shared" si="77"/>
        <v>69.826800304053833</v>
      </c>
      <c r="F1799">
        <f t="shared" si="78"/>
        <v>1095.7671093108374</v>
      </c>
    </row>
    <row r="1800" spans="1:6" x14ac:dyDescent="0.25">
      <c r="A1800">
        <v>-63.24682640195828</v>
      </c>
      <c r="B1800">
        <v>-26.125694486482249</v>
      </c>
      <c r="C1800">
        <v>1576.3696</v>
      </c>
      <c r="E1800">
        <f t="shared" si="77"/>
        <v>63.246826401958472</v>
      </c>
      <c r="F1800">
        <f t="shared" si="78"/>
        <v>1096.1879780817258</v>
      </c>
    </row>
    <row r="1801" spans="1:6" x14ac:dyDescent="0.25">
      <c r="A1801">
        <v>-56.362376075620304</v>
      </c>
      <c r="B1801">
        <v>-24.854661535592236</v>
      </c>
      <c r="C1801">
        <v>1576.3696</v>
      </c>
      <c r="E1801">
        <f t="shared" si="77"/>
        <v>56.362376075620496</v>
      </c>
      <c r="F1801">
        <f t="shared" si="78"/>
        <v>1097.0867341004116</v>
      </c>
    </row>
    <row r="1802" spans="1:6" x14ac:dyDescent="0.25">
      <c r="A1802">
        <v>-25.86433578634513</v>
      </c>
      <c r="B1802">
        <v>-10.029682637664118</v>
      </c>
      <c r="C1802">
        <v>1576.3696</v>
      </c>
      <c r="E1802">
        <f t="shared" si="77"/>
        <v>25.864335786345322</v>
      </c>
      <c r="F1802">
        <f t="shared" si="78"/>
        <v>1107.5695772100839</v>
      </c>
    </row>
    <row r="1803" spans="1:6" x14ac:dyDescent="0.25">
      <c r="A1803">
        <v>-29.252731697083838</v>
      </c>
      <c r="B1803">
        <v>-13.55516156140213</v>
      </c>
      <c r="C1803">
        <v>1576.3696</v>
      </c>
      <c r="E1803">
        <f t="shared" si="77"/>
        <v>29.25273169708403</v>
      </c>
      <c r="F1803">
        <f t="shared" si="78"/>
        <v>1105.0766871561787</v>
      </c>
    </row>
    <row r="1804" spans="1:6" x14ac:dyDescent="0.25">
      <c r="A1804">
        <v>-18.632609532941373</v>
      </c>
      <c r="B1804">
        <v>-8.529377689967049</v>
      </c>
      <c r="C1804">
        <v>1576.3696</v>
      </c>
      <c r="E1804">
        <f t="shared" si="77"/>
        <v>18.632609532941565</v>
      </c>
      <c r="F1804">
        <f t="shared" si="78"/>
        <v>1108.6304530124485</v>
      </c>
    </row>
    <row r="1805" spans="1:6" x14ac:dyDescent="0.25">
      <c r="A1805">
        <v>-15.080312028086636</v>
      </c>
      <c r="B1805">
        <v>-7.8053411887396766</v>
      </c>
      <c r="C1805">
        <v>1576.3696</v>
      </c>
      <c r="E1805">
        <f t="shared" si="77"/>
        <v>15.08031202808683</v>
      </c>
      <c r="F1805">
        <f t="shared" si="78"/>
        <v>1109.1424241322927</v>
      </c>
    </row>
    <row r="1806" spans="1:6" x14ac:dyDescent="0.25">
      <c r="A1806">
        <v>-14.194252183675426</v>
      </c>
      <c r="B1806">
        <v>-9.2286342643011672</v>
      </c>
      <c r="C1806">
        <v>1576.3696</v>
      </c>
      <c r="E1806">
        <f t="shared" si="77"/>
        <v>14.194252183675619</v>
      </c>
      <c r="F1806">
        <f t="shared" si="78"/>
        <v>1108.1360039469475</v>
      </c>
    </row>
    <row r="1807" spans="1:6" x14ac:dyDescent="0.25">
      <c r="A1807">
        <v>-86.804379026285133</v>
      </c>
      <c r="B1807">
        <v>-66.336585921963973</v>
      </c>
      <c r="C1807">
        <v>1576.3696</v>
      </c>
      <c r="E1807">
        <f t="shared" si="77"/>
        <v>86.804379026285332</v>
      </c>
      <c r="F1807">
        <f t="shared" si="78"/>
        <v>1067.7545840701405</v>
      </c>
    </row>
    <row r="1808" spans="1:6" x14ac:dyDescent="0.25">
      <c r="A1808">
        <v>-115.11862068187661</v>
      </c>
      <c r="B1808">
        <v>-105.21218237669481</v>
      </c>
      <c r="C1808">
        <v>1576.3696</v>
      </c>
      <c r="E1808">
        <f t="shared" si="77"/>
        <v>115.11862068187681</v>
      </c>
      <c r="F1808">
        <f t="shared" si="78"/>
        <v>1040.2653861943286</v>
      </c>
    </row>
    <row r="1809" spans="1:6" x14ac:dyDescent="0.25">
      <c r="A1809">
        <v>-120.39037930218811</v>
      </c>
      <c r="B1809">
        <v>-157.09016241746414</v>
      </c>
      <c r="C1809">
        <v>1576.3696</v>
      </c>
      <c r="E1809">
        <f t="shared" si="77"/>
        <v>120.39037930218831</v>
      </c>
      <c r="F1809">
        <f t="shared" si="78"/>
        <v>1003.5821147132402</v>
      </c>
    </row>
    <row r="1810" spans="1:6" x14ac:dyDescent="0.25">
      <c r="A1810">
        <v>-80.827641848647986</v>
      </c>
      <c r="B1810">
        <v>-192.03291580506769</v>
      </c>
      <c r="C1810">
        <v>1576.3696</v>
      </c>
      <c r="E1810">
        <f t="shared" si="77"/>
        <v>80.827641848648184</v>
      </c>
      <c r="F1810">
        <f t="shared" si="78"/>
        <v>978.87385683953664</v>
      </c>
    </row>
    <row r="1811" spans="1:6" x14ac:dyDescent="0.25">
      <c r="A1811">
        <v>-38.731481491196305</v>
      </c>
      <c r="B1811">
        <v>-197.43249560529318</v>
      </c>
      <c r="C1811">
        <v>1576.3696</v>
      </c>
      <c r="E1811">
        <f t="shared" si="77"/>
        <v>38.731481491196497</v>
      </c>
      <c r="F1811">
        <f t="shared" si="78"/>
        <v>975.0557773472392</v>
      </c>
    </row>
    <row r="1812" spans="1:6" x14ac:dyDescent="0.25">
      <c r="A1812">
        <v>1.0834329777212272E-13</v>
      </c>
      <c r="B1812">
        <v>-199.77811800993842</v>
      </c>
      <c r="C1812">
        <v>1576.3696</v>
      </c>
      <c r="E1812">
        <f t="shared" ref="E1812:E1866" si="79">($I$2*A1812)+($K$2*B1812)+($M$2*C1812)</f>
        <v>8.4785380208369224E-14</v>
      </c>
      <c r="F1812">
        <f t="shared" ref="F1812:F1866" si="80">($J$2*A1812)+($L$2*B1812)+($N$2*C1812)</f>
        <v>973.39717183881157</v>
      </c>
    </row>
    <row r="1813" spans="1:6" x14ac:dyDescent="0.25">
      <c r="A1813">
        <v>38.731481491212854</v>
      </c>
      <c r="B1813">
        <v>-197.43249560745346</v>
      </c>
      <c r="C1813">
        <v>1576.3696</v>
      </c>
      <c r="E1813">
        <f t="shared" si="79"/>
        <v>-38.731481491212662</v>
      </c>
      <c r="F1813">
        <f t="shared" si="80"/>
        <v>975.0557773457117</v>
      </c>
    </row>
    <row r="1814" spans="1:6" x14ac:dyDescent="0.25">
      <c r="A1814">
        <v>80.827641848648085</v>
      </c>
      <c r="B1814">
        <v>-192.03291580506774</v>
      </c>
      <c r="C1814">
        <v>1576.3696</v>
      </c>
      <c r="E1814">
        <f t="shared" si="79"/>
        <v>-80.827641848647886</v>
      </c>
      <c r="F1814">
        <f t="shared" si="80"/>
        <v>978.87385683953653</v>
      </c>
    </row>
    <row r="1815" spans="1:6" x14ac:dyDescent="0.25">
      <c r="A1815">
        <v>120.39037930218818</v>
      </c>
      <c r="B1815">
        <v>-157.09016241746417</v>
      </c>
      <c r="C1815">
        <v>1576.3696</v>
      </c>
      <c r="E1815">
        <f t="shared" si="79"/>
        <v>-120.39037930218798</v>
      </c>
      <c r="F1815">
        <f t="shared" si="80"/>
        <v>1003.5821147132402</v>
      </c>
    </row>
    <row r="1816" spans="1:6" x14ac:dyDescent="0.25">
      <c r="A1816">
        <v>115.11862068187658</v>
      </c>
      <c r="B1816">
        <v>-105.21218237669463</v>
      </c>
      <c r="C1816">
        <v>1576.3696</v>
      </c>
      <c r="E1816">
        <f t="shared" si="79"/>
        <v>-115.11862068187638</v>
      </c>
      <c r="F1816">
        <f t="shared" si="80"/>
        <v>1040.2653861943288</v>
      </c>
    </row>
    <row r="1817" spans="1:6" x14ac:dyDescent="0.25">
      <c r="A1817">
        <v>86.804379914466125</v>
      </c>
      <c r="B1817">
        <v>-66.33658663507687</v>
      </c>
      <c r="C1817">
        <v>1576.3696</v>
      </c>
      <c r="E1817">
        <f t="shared" si="79"/>
        <v>-86.804379914465926</v>
      </c>
      <c r="F1817">
        <f t="shared" si="80"/>
        <v>1067.7545835658937</v>
      </c>
    </row>
    <row r="1818" spans="1:6" x14ac:dyDescent="0.25">
      <c r="A1818">
        <v>14.194251651279023</v>
      </c>
      <c r="B1818">
        <v>-9.2286338957542942</v>
      </c>
      <c r="C1818">
        <v>1576.3696</v>
      </c>
      <c r="E1818">
        <f t="shared" si="79"/>
        <v>-14.194251651278829</v>
      </c>
      <c r="F1818">
        <f t="shared" si="80"/>
        <v>1108.1360042075494</v>
      </c>
    </row>
    <row r="1819" spans="1:6" x14ac:dyDescent="0.25">
      <c r="A1819">
        <v>15.080312028086698</v>
      </c>
      <c r="B1819">
        <v>-7.8053411887396855</v>
      </c>
      <c r="C1819">
        <v>1576.3696</v>
      </c>
      <c r="E1819">
        <f t="shared" si="79"/>
        <v>-15.080312028086505</v>
      </c>
      <c r="F1819">
        <f t="shared" si="80"/>
        <v>1109.1424241322927</v>
      </c>
    </row>
    <row r="1820" spans="1:6" x14ac:dyDescent="0.25">
      <c r="A1820">
        <v>18.63260953294138</v>
      </c>
      <c r="B1820">
        <v>-8.5293776899668909</v>
      </c>
      <c r="C1820">
        <v>1576.3696</v>
      </c>
      <c r="E1820">
        <f t="shared" si="79"/>
        <v>-18.632609532941188</v>
      </c>
      <c r="F1820">
        <f t="shared" si="80"/>
        <v>1108.6304530124485</v>
      </c>
    </row>
    <row r="1821" spans="1:6" x14ac:dyDescent="0.25">
      <c r="A1821">
        <v>29.252730861867409</v>
      </c>
      <c r="B1821">
        <v>-13.555161078241804</v>
      </c>
      <c r="C1821">
        <v>1576.3696</v>
      </c>
      <c r="E1821">
        <f t="shared" si="79"/>
        <v>-29.252730861867217</v>
      </c>
      <c r="F1821">
        <f t="shared" si="80"/>
        <v>1105.0766874978247</v>
      </c>
    </row>
    <row r="1822" spans="1:6" x14ac:dyDescent="0.25">
      <c r="A1822">
        <v>25.864336560980167</v>
      </c>
      <c r="B1822">
        <v>-10.02968307319397</v>
      </c>
      <c r="C1822">
        <v>1576.3696</v>
      </c>
      <c r="E1822">
        <f t="shared" si="79"/>
        <v>-25.864336560979975</v>
      </c>
      <c r="F1822">
        <f t="shared" si="80"/>
        <v>1107.5695769021179</v>
      </c>
    </row>
    <row r="1823" spans="1:6" x14ac:dyDescent="0.25">
      <c r="A1823">
        <v>56.362377532477062</v>
      </c>
      <c r="B1823">
        <v>-24.854662281629878</v>
      </c>
      <c r="C1823">
        <v>1576.3696</v>
      </c>
      <c r="E1823">
        <f t="shared" si="79"/>
        <v>-56.36237753247687</v>
      </c>
      <c r="F1823">
        <f t="shared" si="80"/>
        <v>1097.0867335728833</v>
      </c>
    </row>
    <row r="1824" spans="1:6" x14ac:dyDescent="0.25">
      <c r="A1824">
        <v>63.246826401958536</v>
      </c>
      <c r="B1824">
        <v>-26.125694486482256</v>
      </c>
      <c r="C1824">
        <v>1576.3696</v>
      </c>
      <c r="E1824">
        <f t="shared" si="79"/>
        <v>-63.246826401958344</v>
      </c>
      <c r="F1824">
        <f t="shared" si="80"/>
        <v>1096.1879780817258</v>
      </c>
    </row>
    <row r="1825" spans="1:6" x14ac:dyDescent="0.25">
      <c r="A1825">
        <v>69.826796214496099</v>
      </c>
      <c r="B1825">
        <v>-26.720891080019271</v>
      </c>
      <c r="C1825">
        <v>1576.3696</v>
      </c>
      <c r="E1825">
        <f t="shared" si="79"/>
        <v>-69.8267962144959</v>
      </c>
      <c r="F1825">
        <f t="shared" si="80"/>
        <v>1095.7671105342965</v>
      </c>
    </row>
    <row r="1826" spans="1:6" x14ac:dyDescent="0.25">
      <c r="A1826">
        <v>76.819455201176325</v>
      </c>
      <c r="B1826">
        <v>-26.694659883731827</v>
      </c>
      <c r="C1826">
        <v>1576.3696</v>
      </c>
      <c r="E1826">
        <f t="shared" si="79"/>
        <v>-76.819455201176126</v>
      </c>
      <c r="F1826">
        <f t="shared" si="80"/>
        <v>1095.7856587910701</v>
      </c>
    </row>
    <row r="1827" spans="1:6" x14ac:dyDescent="0.25">
      <c r="A1827">
        <v>85.608269570902678</v>
      </c>
      <c r="B1827">
        <v>-25.826745894205434</v>
      </c>
      <c r="C1827">
        <v>1576.3696</v>
      </c>
      <c r="E1827">
        <f t="shared" si="79"/>
        <v>-85.608269570902479</v>
      </c>
      <c r="F1827">
        <f t="shared" si="80"/>
        <v>1096.3993666585509</v>
      </c>
    </row>
    <row r="1828" spans="1:6" x14ac:dyDescent="0.25">
      <c r="A1828">
        <v>99.959902765343671</v>
      </c>
      <c r="B1828">
        <v>-22.677661658833756</v>
      </c>
      <c r="C1828">
        <v>1576.3696</v>
      </c>
      <c r="E1828">
        <f t="shared" si="79"/>
        <v>-99.959902765343472</v>
      </c>
      <c r="F1828">
        <f t="shared" si="80"/>
        <v>1098.6261054759098</v>
      </c>
    </row>
    <row r="1829" spans="1:6" x14ac:dyDescent="0.25">
      <c r="A1829">
        <v>24.724651344751393</v>
      </c>
      <c r="B1829">
        <v>-0.77701616636343229</v>
      </c>
      <c r="C1829">
        <v>1576.3696</v>
      </c>
      <c r="E1829">
        <f t="shared" si="79"/>
        <v>-24.724651344751202</v>
      </c>
      <c r="F1829">
        <f t="shared" si="80"/>
        <v>1114.1122004159981</v>
      </c>
    </row>
    <row r="1830" spans="1:6" x14ac:dyDescent="0.25">
      <c r="A1830">
        <v>16.089533128015656</v>
      </c>
      <c r="B1830">
        <v>0</v>
      </c>
      <c r="C1830">
        <v>1576.3696</v>
      </c>
      <c r="E1830">
        <f t="shared" si="79"/>
        <v>-16.089533128015464</v>
      </c>
      <c r="F1830">
        <f t="shared" si="80"/>
        <v>1114.6616338163253</v>
      </c>
    </row>
    <row r="1831" spans="1:6" x14ac:dyDescent="0.25">
      <c r="A1831">
        <v>24.7246513447514</v>
      </c>
      <c r="B1831">
        <v>0.77701616636343274</v>
      </c>
      <c r="C1831">
        <v>1576.3696</v>
      </c>
      <c r="E1831">
        <f t="shared" si="79"/>
        <v>-24.724651344751209</v>
      </c>
      <c r="F1831">
        <f t="shared" si="80"/>
        <v>1115.2110672166525</v>
      </c>
    </row>
    <row r="1832" spans="1:6" x14ac:dyDescent="0.25">
      <c r="A1832">
        <v>99.959906871158267</v>
      </c>
      <c r="B1832">
        <v>22.67766206424286</v>
      </c>
      <c r="C1832">
        <v>1576.3696</v>
      </c>
      <c r="E1832">
        <f t="shared" si="79"/>
        <v>-99.959906871158068</v>
      </c>
      <c r="F1832">
        <f t="shared" si="80"/>
        <v>1130.6971624434084</v>
      </c>
    </row>
    <row r="1833" spans="1:6" x14ac:dyDescent="0.25">
      <c r="A1833">
        <v>85.608272608001727</v>
      </c>
      <c r="B1833">
        <v>25.826746710121927</v>
      </c>
      <c r="C1833">
        <v>1576.3696</v>
      </c>
      <c r="E1833">
        <f t="shared" si="79"/>
        <v>-85.608272608001528</v>
      </c>
      <c r="F1833">
        <f t="shared" si="80"/>
        <v>1132.92390155104</v>
      </c>
    </row>
    <row r="1834" spans="1:6" x14ac:dyDescent="0.25">
      <c r="A1834">
        <v>76.819455201176297</v>
      </c>
      <c r="B1834">
        <v>26.69465988373187</v>
      </c>
      <c r="C1834">
        <v>1576.3696</v>
      </c>
      <c r="E1834">
        <f t="shared" si="79"/>
        <v>-76.819455201176098</v>
      </c>
      <c r="F1834">
        <f t="shared" si="80"/>
        <v>1133.5376088415805</v>
      </c>
    </row>
    <row r="1835" spans="1:6" x14ac:dyDescent="0.25">
      <c r="A1835">
        <v>69.826796214496099</v>
      </c>
      <c r="B1835">
        <v>26.720891080019271</v>
      </c>
      <c r="C1835">
        <v>1576.3696</v>
      </c>
      <c r="E1835">
        <f t="shared" si="79"/>
        <v>-69.8267962144959</v>
      </c>
      <c r="F1835">
        <f t="shared" si="80"/>
        <v>1133.5561570983541</v>
      </c>
    </row>
    <row r="1836" spans="1:6" x14ac:dyDescent="0.25">
      <c r="A1836">
        <v>63.24682467373011</v>
      </c>
      <c r="B1836">
        <v>26.125693671357904</v>
      </c>
      <c r="C1836">
        <v>1576.3696</v>
      </c>
      <c r="E1836">
        <f t="shared" si="79"/>
        <v>-63.246824673729918</v>
      </c>
      <c r="F1836">
        <f t="shared" si="80"/>
        <v>1133.1352889745449</v>
      </c>
    </row>
    <row r="1837" spans="1:6" x14ac:dyDescent="0.25">
      <c r="A1837">
        <v>56.362376075620595</v>
      </c>
      <c r="B1837">
        <v>24.85466153559225</v>
      </c>
      <c r="C1837">
        <v>1576.3696</v>
      </c>
      <c r="E1837">
        <f t="shared" si="79"/>
        <v>-56.362376075620404</v>
      </c>
      <c r="F1837">
        <f t="shared" si="80"/>
        <v>1132.236533532239</v>
      </c>
    </row>
    <row r="1838" spans="1:6" x14ac:dyDescent="0.25">
      <c r="A1838">
        <v>25.864336560980178</v>
      </c>
      <c r="B1838">
        <v>10.029683073193944</v>
      </c>
      <c r="C1838">
        <v>1576.3696</v>
      </c>
      <c r="E1838">
        <f t="shared" si="79"/>
        <v>-25.864336560979986</v>
      </c>
      <c r="F1838">
        <f t="shared" si="80"/>
        <v>1121.7536907305328</v>
      </c>
    </row>
    <row r="1839" spans="1:6" x14ac:dyDescent="0.25">
      <c r="A1839">
        <v>29.252730861867427</v>
      </c>
      <c r="B1839">
        <v>13.555161078241829</v>
      </c>
      <c r="C1839">
        <v>1576.3696</v>
      </c>
      <c r="E1839">
        <f t="shared" si="79"/>
        <v>-29.252730861867235</v>
      </c>
      <c r="F1839">
        <f t="shared" si="80"/>
        <v>1124.246580134826</v>
      </c>
    </row>
    <row r="1840" spans="1:6" x14ac:dyDescent="0.25">
      <c r="A1840">
        <v>18.632609532941419</v>
      </c>
      <c r="B1840">
        <v>8.5293776899668305</v>
      </c>
      <c r="C1840">
        <v>1576.3696</v>
      </c>
      <c r="E1840">
        <f t="shared" si="79"/>
        <v>-18.632609532941228</v>
      </c>
      <c r="F1840">
        <f t="shared" si="80"/>
        <v>1120.6928146202022</v>
      </c>
    </row>
    <row r="1841" spans="1:6" x14ac:dyDescent="0.25">
      <c r="A1841">
        <v>15.080311822166903</v>
      </c>
      <c r="B1841">
        <v>7.805341076525167</v>
      </c>
      <c r="C1841">
        <v>1576.3696</v>
      </c>
      <c r="E1841">
        <f t="shared" si="79"/>
        <v>-15.08031182216671</v>
      </c>
      <c r="F1841">
        <f t="shared" si="80"/>
        <v>1120.1808434210102</v>
      </c>
    </row>
    <row r="1842" spans="1:6" x14ac:dyDescent="0.25">
      <c r="A1842">
        <v>14.194251917477381</v>
      </c>
      <c r="B1842">
        <v>9.2286340800275966</v>
      </c>
      <c r="C1842">
        <v>1576.3696</v>
      </c>
      <c r="E1842">
        <f t="shared" si="79"/>
        <v>-14.194251917477187</v>
      </c>
      <c r="F1842">
        <f t="shared" si="80"/>
        <v>1121.1872635554021</v>
      </c>
    </row>
    <row r="1843" spans="1:6" x14ac:dyDescent="0.25">
      <c r="A1843">
        <v>86.804379026284892</v>
      </c>
      <c r="B1843">
        <v>66.336585921963845</v>
      </c>
      <c r="C1843">
        <v>1576.3696</v>
      </c>
      <c r="E1843">
        <f t="shared" si="79"/>
        <v>-86.804379026284693</v>
      </c>
      <c r="F1843">
        <f t="shared" si="80"/>
        <v>1161.5686835625099</v>
      </c>
    </row>
    <row r="1844" spans="1:6" x14ac:dyDescent="0.25">
      <c r="A1844">
        <v>115.11862004321787</v>
      </c>
      <c r="B1844">
        <v>105.2121816624685</v>
      </c>
      <c r="C1844">
        <v>1576.3696</v>
      </c>
      <c r="E1844">
        <f t="shared" si="79"/>
        <v>-115.11862004321767</v>
      </c>
      <c r="F1844">
        <f t="shared" si="80"/>
        <v>1189.0578809332878</v>
      </c>
    </row>
    <row r="1845" spans="1:6" x14ac:dyDescent="0.25">
      <c r="A1845">
        <v>120.39037950857171</v>
      </c>
      <c r="B1845">
        <v>157.09016317140407</v>
      </c>
      <c r="C1845">
        <v>1576.3696</v>
      </c>
      <c r="E1845">
        <f t="shared" si="79"/>
        <v>-120.39037950857151</v>
      </c>
      <c r="F1845">
        <f t="shared" si="80"/>
        <v>1225.7411534525263</v>
      </c>
    </row>
    <row r="1846" spans="1:6" x14ac:dyDescent="0.25">
      <c r="A1846">
        <v>80.827641848648042</v>
      </c>
      <c r="B1846">
        <v>192.03291580506774</v>
      </c>
      <c r="C1846">
        <v>1576.3696</v>
      </c>
      <c r="E1846">
        <f t="shared" si="79"/>
        <v>-80.827641848647843</v>
      </c>
      <c r="F1846">
        <f t="shared" si="80"/>
        <v>1250.4494107931141</v>
      </c>
    </row>
    <row r="1847" spans="1:6" x14ac:dyDescent="0.25">
      <c r="A1847">
        <v>38.731481491212861</v>
      </c>
      <c r="B1847">
        <v>197.43249560745349</v>
      </c>
      <c r="C1847">
        <v>1576.3696</v>
      </c>
      <c r="E1847">
        <f t="shared" si="79"/>
        <v>-38.731481491212669</v>
      </c>
      <c r="F1847">
        <f t="shared" si="80"/>
        <v>1254.2674902869389</v>
      </c>
    </row>
    <row r="1848" spans="1:6" x14ac:dyDescent="0.25">
      <c r="A1848">
        <v>9.8952291281160069E-14</v>
      </c>
      <c r="B1848">
        <v>199.77811800993842</v>
      </c>
      <c r="C1848">
        <v>1576.3696</v>
      </c>
      <c r="E1848">
        <f t="shared" si="79"/>
        <v>9.4176386699331872E-14</v>
      </c>
      <c r="F1848">
        <f t="shared" si="80"/>
        <v>1255.9260957938391</v>
      </c>
    </row>
    <row r="1849" spans="1:6" x14ac:dyDescent="0.25">
      <c r="A1849">
        <v>-38.731481491212932</v>
      </c>
      <c r="B1849">
        <v>197.43249560745349</v>
      </c>
      <c r="C1849">
        <v>1576.3696</v>
      </c>
      <c r="E1849">
        <f t="shared" si="79"/>
        <v>38.731481491213124</v>
      </c>
      <c r="F1849">
        <f t="shared" si="80"/>
        <v>1254.2674902869389</v>
      </c>
    </row>
    <row r="1850" spans="1:6" x14ac:dyDescent="0.25">
      <c r="A1850">
        <v>-80.827641848647815</v>
      </c>
      <c r="B1850">
        <v>192.03291580506789</v>
      </c>
      <c r="C1850">
        <v>1576.3696</v>
      </c>
      <c r="E1850">
        <f t="shared" si="79"/>
        <v>80.827641848648014</v>
      </c>
      <c r="F1850">
        <f t="shared" si="80"/>
        <v>1250.4494107931141</v>
      </c>
    </row>
    <row r="1851" spans="1:6" x14ac:dyDescent="0.25">
      <c r="A1851">
        <v>-120.39037930218812</v>
      </c>
      <c r="B1851">
        <v>157.09016241746428</v>
      </c>
      <c r="C1851">
        <v>1576.3696</v>
      </c>
      <c r="E1851">
        <f t="shared" si="79"/>
        <v>120.39037930218832</v>
      </c>
      <c r="F1851">
        <f t="shared" si="80"/>
        <v>1225.7411529194105</v>
      </c>
    </row>
    <row r="1852" spans="1:6" x14ac:dyDescent="0.25">
      <c r="A1852">
        <v>-115.11862068187669</v>
      </c>
      <c r="B1852">
        <v>105.21218237669494</v>
      </c>
      <c r="C1852">
        <v>1576.3696</v>
      </c>
      <c r="E1852">
        <f t="shared" si="79"/>
        <v>115.11862068187689</v>
      </c>
      <c r="F1852">
        <f t="shared" si="80"/>
        <v>1189.0578814383221</v>
      </c>
    </row>
    <row r="1853" spans="1:6" x14ac:dyDescent="0.25">
      <c r="A1853">
        <v>-86.804379026284892</v>
      </c>
      <c r="B1853">
        <v>66.336585921963987</v>
      </c>
      <c r="C1853">
        <v>1576.3696</v>
      </c>
      <c r="E1853">
        <f t="shared" si="79"/>
        <v>86.804379026285091</v>
      </c>
      <c r="F1853">
        <f t="shared" si="80"/>
        <v>1161.5686835625102</v>
      </c>
    </row>
    <row r="1854" spans="1:6" x14ac:dyDescent="0.25">
      <c r="A1854">
        <v>-14.194252183675452</v>
      </c>
      <c r="B1854">
        <v>9.2286342643011299</v>
      </c>
      <c r="C1854">
        <v>1576.3696</v>
      </c>
      <c r="E1854">
        <f t="shared" si="79"/>
        <v>14.194252183675646</v>
      </c>
      <c r="F1854">
        <f t="shared" si="80"/>
        <v>1121.1872636857031</v>
      </c>
    </row>
    <row r="1855" spans="1:6" x14ac:dyDescent="0.25">
      <c r="A1855">
        <v>-15.080312028086613</v>
      </c>
      <c r="B1855">
        <v>7.8053411887396891</v>
      </c>
      <c r="C1855">
        <v>1576.3696</v>
      </c>
      <c r="E1855">
        <f t="shared" si="79"/>
        <v>15.080312028086807</v>
      </c>
      <c r="F1855">
        <f t="shared" si="80"/>
        <v>1120.1808435003579</v>
      </c>
    </row>
    <row r="1856" spans="1:6" x14ac:dyDescent="0.25">
      <c r="A1856">
        <v>-18.632609532941341</v>
      </c>
      <c r="B1856">
        <v>8.5293776899670402</v>
      </c>
      <c r="C1856">
        <v>1576.3696</v>
      </c>
      <c r="E1856">
        <f t="shared" si="79"/>
        <v>18.632609532941533</v>
      </c>
      <c r="F1856">
        <f t="shared" si="80"/>
        <v>1120.6928146202022</v>
      </c>
    </row>
    <row r="1857" spans="1:6" x14ac:dyDescent="0.25">
      <c r="A1857">
        <v>-29.25273169708387</v>
      </c>
      <c r="B1857">
        <v>13.555161561402205</v>
      </c>
      <c r="C1857">
        <v>1576.3696</v>
      </c>
      <c r="E1857">
        <f t="shared" si="79"/>
        <v>29.252731697084062</v>
      </c>
      <c r="F1857">
        <f t="shared" si="80"/>
        <v>1124.246580476472</v>
      </c>
    </row>
    <row r="1858" spans="1:6" x14ac:dyDescent="0.25">
      <c r="A1858">
        <v>-25.864335786345116</v>
      </c>
      <c r="B1858">
        <v>10.02968263766412</v>
      </c>
      <c r="C1858">
        <v>1576.3696</v>
      </c>
      <c r="E1858">
        <f t="shared" si="79"/>
        <v>25.864335786345308</v>
      </c>
      <c r="F1858">
        <f t="shared" si="80"/>
        <v>1121.7536904225667</v>
      </c>
    </row>
    <row r="1859" spans="1:6" x14ac:dyDescent="0.25">
      <c r="A1859">
        <v>-56.362376075620304</v>
      </c>
      <c r="B1859">
        <v>24.854661535592214</v>
      </c>
      <c r="C1859">
        <v>1576.3696</v>
      </c>
      <c r="E1859">
        <f t="shared" si="79"/>
        <v>56.362376075620496</v>
      </c>
      <c r="F1859">
        <f t="shared" si="80"/>
        <v>1132.236533532239</v>
      </c>
    </row>
    <row r="1860" spans="1:6" x14ac:dyDescent="0.25">
      <c r="A1860">
        <v>-63.246826401958415</v>
      </c>
      <c r="B1860">
        <v>26.12569448648231</v>
      </c>
      <c r="C1860">
        <v>1576.3696</v>
      </c>
      <c r="E1860">
        <f t="shared" si="79"/>
        <v>63.246826401958607</v>
      </c>
      <c r="F1860">
        <f t="shared" si="80"/>
        <v>1133.1352895509249</v>
      </c>
    </row>
    <row r="1861" spans="1:6" x14ac:dyDescent="0.25">
      <c r="A1861">
        <v>-69.826796214495843</v>
      </c>
      <c r="B1861">
        <v>26.720891080019086</v>
      </c>
      <c r="C1861">
        <v>1576.3696</v>
      </c>
      <c r="E1861">
        <f t="shared" si="79"/>
        <v>69.826796214496042</v>
      </c>
      <c r="F1861">
        <f t="shared" si="80"/>
        <v>1133.5561570983539</v>
      </c>
    </row>
    <row r="1862" spans="1:6" x14ac:dyDescent="0.25">
      <c r="A1862">
        <v>-76.819455201176552</v>
      </c>
      <c r="B1862">
        <v>26.694659883732101</v>
      </c>
      <c r="C1862">
        <v>1576.3696</v>
      </c>
      <c r="E1862">
        <f t="shared" si="79"/>
        <v>76.819455201176751</v>
      </c>
      <c r="F1862">
        <f t="shared" si="80"/>
        <v>1133.5376088415808</v>
      </c>
    </row>
    <row r="1863" spans="1:6" x14ac:dyDescent="0.25">
      <c r="A1863">
        <v>-85.608272608001613</v>
      </c>
      <c r="B1863">
        <v>25.826746710121945</v>
      </c>
      <c r="C1863">
        <v>1576.3696</v>
      </c>
      <c r="E1863">
        <f t="shared" si="79"/>
        <v>85.608272608001812</v>
      </c>
      <c r="F1863">
        <f t="shared" si="80"/>
        <v>1132.92390155104</v>
      </c>
    </row>
    <row r="1864" spans="1:6" x14ac:dyDescent="0.25">
      <c r="A1864">
        <v>-99.959906871158196</v>
      </c>
      <c r="B1864">
        <v>22.677662064242877</v>
      </c>
      <c r="C1864">
        <v>1576.3696</v>
      </c>
      <c r="E1864">
        <f t="shared" si="79"/>
        <v>99.959906871158395</v>
      </c>
      <c r="F1864">
        <f t="shared" si="80"/>
        <v>1130.6971624434084</v>
      </c>
    </row>
    <row r="1865" spans="1:6" x14ac:dyDescent="0.25">
      <c r="A1865">
        <v>-24.724651111812634</v>
      </c>
      <c r="B1865">
        <v>0.77701616345919644</v>
      </c>
      <c r="C1865">
        <v>1576.3696</v>
      </c>
      <c r="E1865">
        <f t="shared" si="79"/>
        <v>24.724651111812825</v>
      </c>
      <c r="F1865">
        <f t="shared" si="80"/>
        <v>1115.2110672145989</v>
      </c>
    </row>
    <row r="1866" spans="1:6" x14ac:dyDescent="0.25">
      <c r="A1866">
        <v>-16.089533128015628</v>
      </c>
      <c r="B1866">
        <v>-2.6473211172417466E-15</v>
      </c>
      <c r="C1866">
        <v>1576.3696</v>
      </c>
      <c r="E1866">
        <f t="shared" si="79"/>
        <v>16.08953312801582</v>
      </c>
      <c r="F1866">
        <f t="shared" si="80"/>
        <v>1114.6616338163253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Scroll Bar 4">
              <controlPr defaultSize="0" autoPict="0">
                <anchor moveWithCells="1">
                  <from>
                    <xdr:col>21</xdr:col>
                    <xdr:colOff>600075</xdr:colOff>
                    <xdr:row>1</xdr:row>
                    <xdr:rowOff>9525</xdr:rowOff>
                  </from>
                  <to>
                    <xdr:col>25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Scroll Bar 6">
              <controlPr defaultSize="0" autoPict="0">
                <anchor mov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25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Scroll Bar 7">
              <controlPr defaultSize="0" autoPict="0">
                <anchor moveWithCells="1">
                  <from>
                    <xdr:col>21</xdr:col>
                    <xdr:colOff>600075</xdr:colOff>
                    <xdr:row>5</xdr:row>
                    <xdr:rowOff>0</xdr:rowOff>
                  </from>
                  <to>
                    <xdr:col>25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U12"/>
  <sheetViews>
    <sheetView workbookViewId="0">
      <selection activeCell="P6" sqref="P6"/>
    </sheetView>
  </sheetViews>
  <sheetFormatPr defaultColWidth="8.85546875" defaultRowHeight="15" x14ac:dyDescent="0.25"/>
  <sheetData>
    <row r="1" spans="1:21" x14ac:dyDescent="0.25">
      <c r="A1">
        <v>0</v>
      </c>
      <c r="B1">
        <v>0</v>
      </c>
      <c r="C1">
        <v>0</v>
      </c>
    </row>
    <row r="2" spans="1:21" x14ac:dyDescent="0.25">
      <c r="A2">
        <v>3</v>
      </c>
      <c r="B2">
        <v>0.375</v>
      </c>
      <c r="C2">
        <v>0.11</v>
      </c>
      <c r="I2">
        <f ca="1">'Cross Section Analysis'!J116-'Cross Section Analysis'!B118</f>
        <v>5.3811118050361983E-7</v>
      </c>
      <c r="K2">
        <v>493.95161180143532</v>
      </c>
      <c r="L2">
        <v>0.5953156470817067</v>
      </c>
      <c r="N2">
        <f t="array" ref="N2:O3">MINVERSE(K2:L3)</f>
        <v>-1.4264894556055576E-3</v>
      </c>
      <c r="O2">
        <v>2.2756663405015292E-2</v>
      </c>
      <c r="Q2">
        <f t="array" aca="1" ref="Q2:Q3" ca="1">MMULT(N2:O3,I2:I3)</f>
        <v>8.745472073531357E-3</v>
      </c>
      <c r="S2">
        <f ca="1">'Cross Section Analysis'!B53+Reference!Q2</f>
        <v>3.1503381256633243</v>
      </c>
      <c r="U2">
        <v>1.1715235041500063</v>
      </c>
    </row>
    <row r="3" spans="1:21" x14ac:dyDescent="0.25">
      <c r="A3">
        <v>4</v>
      </c>
      <c r="B3">
        <v>0.5</v>
      </c>
      <c r="C3">
        <v>0.2</v>
      </c>
      <c r="I3">
        <f ca="1">'Cross Section Analysis'!N115-'Cross Section Analysis'!B121</f>
        <v>0.38430382721281919</v>
      </c>
      <c r="K3">
        <v>74.906269670378833</v>
      </c>
      <c r="L3">
        <v>3.7317047679841231E-2</v>
      </c>
      <c r="N3">
        <v>2.8633831046946421</v>
      </c>
      <c r="O3">
        <v>-18.881900086505311</v>
      </c>
      <c r="Q3">
        <f ca="1"/>
        <v>-7.2563849274755903</v>
      </c>
      <c r="S3">
        <f ca="1">Q3+'Cross Section Analysis'!B78</f>
        <v>22.391121877435651</v>
      </c>
      <c r="U3">
        <v>6.3730114079794804</v>
      </c>
    </row>
    <row r="4" spans="1:21" x14ac:dyDescent="0.25">
      <c r="A4">
        <v>5</v>
      </c>
      <c r="B4">
        <v>0.625</v>
      </c>
      <c r="C4">
        <v>0.31</v>
      </c>
    </row>
    <row r="5" spans="1:21" x14ac:dyDescent="0.25">
      <c r="A5">
        <v>6</v>
      </c>
      <c r="B5">
        <v>0.75</v>
      </c>
      <c r="C5">
        <v>0.44</v>
      </c>
    </row>
    <row r="6" spans="1:21" x14ac:dyDescent="0.25">
      <c r="A6">
        <v>7</v>
      </c>
      <c r="B6">
        <v>0.875</v>
      </c>
      <c r="C6">
        <v>0.6</v>
      </c>
    </row>
    <row r="7" spans="1:21" x14ac:dyDescent="0.25">
      <c r="A7">
        <v>8</v>
      </c>
      <c r="B7">
        <v>1</v>
      </c>
      <c r="C7">
        <v>0.79</v>
      </c>
    </row>
    <row r="8" spans="1:21" x14ac:dyDescent="0.25">
      <c r="A8">
        <v>9</v>
      </c>
      <c r="B8">
        <v>1.1279999999999999</v>
      </c>
      <c r="C8">
        <v>1</v>
      </c>
    </row>
    <row r="9" spans="1:21" x14ac:dyDescent="0.25">
      <c r="A9">
        <v>10</v>
      </c>
      <c r="B9">
        <v>1.27</v>
      </c>
      <c r="C9">
        <v>1.27</v>
      </c>
    </row>
    <row r="10" spans="1:21" x14ac:dyDescent="0.25">
      <c r="A10">
        <v>11</v>
      </c>
      <c r="B10">
        <v>1.41</v>
      </c>
      <c r="C10">
        <v>1.56</v>
      </c>
    </row>
    <row r="11" spans="1:21" x14ac:dyDescent="0.25">
      <c r="A11">
        <v>14</v>
      </c>
      <c r="B11">
        <v>1.6930000000000001</v>
      </c>
      <c r="C11">
        <v>2.25</v>
      </c>
    </row>
    <row r="12" spans="1:21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Cross Section Analysis</vt:lpstr>
      <vt:lpstr>failure_surface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 III</cp:lastModifiedBy>
  <dcterms:created xsi:type="dcterms:W3CDTF">2020-01-14T22:46:38Z</dcterms:created>
  <dcterms:modified xsi:type="dcterms:W3CDTF">2020-11-05T02:09:15Z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