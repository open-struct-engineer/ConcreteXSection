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EE96BB47-F55A-4310-A1DE-4367EAE3EE89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0" i="1" l="1"/>
  <c r="B490" i="1"/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8" i="1" l="1"/>
  <c r="B98" i="1"/>
  <c r="J117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I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I99" i="1" s="1"/>
  <c r="E101" i="1"/>
  <c r="F101" i="1" s="1"/>
  <c r="G101" i="1" s="1"/>
  <c r="H101" i="1" s="1"/>
  <c r="I101" i="1" s="1"/>
  <c r="I91" i="1"/>
  <c r="E83" i="1"/>
  <c r="G89" i="1"/>
  <c r="F103" i="1"/>
  <c r="G103" i="1" s="1"/>
  <c r="H103" i="1" s="1"/>
  <c r="F105" i="1"/>
  <c r="F104" i="1"/>
  <c r="F107" i="1"/>
  <c r="F108" i="1"/>
  <c r="F106" i="1"/>
  <c r="F109" i="1"/>
  <c r="H90" i="1" l="1"/>
  <c r="L91" i="1"/>
  <c r="H89" i="1"/>
  <c r="G106" i="1"/>
  <c r="H106" i="1" s="1"/>
  <c r="J106" i="1" s="1"/>
  <c r="G108" i="1"/>
  <c r="H108" i="1" s="1"/>
  <c r="I108" i="1" s="1"/>
  <c r="J91" i="1"/>
  <c r="K91" i="1"/>
  <c r="J99" i="1"/>
  <c r="J10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I104" i="1" s="1"/>
  <c r="J100" i="1"/>
  <c r="I90" i="1"/>
  <c r="I98" i="1"/>
  <c r="F110" i="1"/>
  <c r="J113" i="1" s="1"/>
  <c r="J103" i="1"/>
  <c r="I103" i="1"/>
  <c r="J90" i="1" l="1"/>
  <c r="K90" i="1"/>
  <c r="L90" i="1"/>
  <c r="J89" i="1"/>
  <c r="L89" i="1"/>
  <c r="K89" i="1"/>
  <c r="I106" i="1"/>
  <c r="J108" i="1"/>
  <c r="L88" i="1"/>
  <c r="J88" i="1"/>
  <c r="I105" i="1"/>
  <c r="I109" i="1"/>
  <c r="J104" i="1"/>
  <c r="H110" i="1"/>
  <c r="I107" i="1"/>
  <c r="K92" i="1" l="1"/>
  <c r="J92" i="1"/>
  <c r="B113" i="1" s="1"/>
  <c r="J116" i="1" s="1"/>
  <c r="L92" i="1"/>
  <c r="J110" i="1"/>
  <c r="I110" i="1"/>
  <c r="B114" i="1" l="1"/>
  <c r="D115" i="1"/>
  <c r="B115" i="1"/>
  <c r="D114" i="1"/>
  <c r="F114" i="1" l="1"/>
  <c r="H114" i="1" s="1"/>
  <c r="J114" i="1" s="1"/>
  <c r="H125" i="1" s="1"/>
  <c r="F115" i="1"/>
  <c r="H115" i="1" s="1"/>
  <c r="J115" i="1" s="1"/>
  <c r="I125" i="1" s="1"/>
  <c r="N115" i="1" l="1"/>
</calcChain>
</file>

<file path=xl/sharedStrings.xml><?xml version="1.0" encoding="utf-8"?>
<sst xmlns="http://schemas.openxmlformats.org/spreadsheetml/2006/main" count="129" uniqueCount="86">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</sst>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  <c:pt idx="5" formatCode="General">
                  <c:v>10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12.834866920623305</c:v>
                </c:pt>
                <c:pt idx="1">
                  <c:v>16.622298104424942</c:v>
                </c:pt>
                <c:pt idx="2">
                  <c:v>-12.834866920623305</c:v>
                </c:pt>
                <c:pt idx="3">
                  <c:v>-16.622298104424942</c:v>
                </c:pt>
                <c:pt idx="4">
                  <c:v>12.834866920623305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-12.659628396200642</c:v>
                </c:pt>
                <c:pt idx="1">
                  <c:v>6.9784816204981892</c:v>
                </c:pt>
                <c:pt idx="2">
                  <c:v>12.659628396200642</c:v>
                </c:pt>
                <c:pt idx="3">
                  <c:v>-6.9784816204981892</c:v>
                </c:pt>
                <c:pt idx="4">
                  <c:v>-12.659628396200642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9.6647311540438654</c:v>
                </c:pt>
                <c:pt idx="1">
                  <c:v>11.937189864324848</c:v>
                </c:pt>
                <c:pt idx="2">
                  <c:v>-9.6647311540438654</c:v>
                </c:pt>
                <c:pt idx="3">
                  <c:v>-10.800960509184357</c:v>
                </c:pt>
                <c:pt idx="4">
                  <c:v>-11.937189864324848</c:v>
                </c:pt>
                <c:pt idx="5">
                  <c:v>10.800960509184357</c:v>
                </c:pt>
                <c:pt idx="6">
                  <c:v>12.834866920623305</c:v>
                </c:pt>
                <c:pt idx="7">
                  <c:v>12.834866920623305</c:v>
                </c:pt>
                <c:pt idx="8">
                  <c:v>12.834866920623305</c:v>
                </c:pt>
                <c:pt idx="9">
                  <c:v>12.834866920623305</c:v>
                </c:pt>
                <c:pt idx="10">
                  <c:v>12.834866920623305</c:v>
                </c:pt>
                <c:pt idx="11">
                  <c:v>12.834866920623305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-7.9745201561005485</c:v>
                </c:pt>
                <c:pt idx="1">
                  <c:v>3.8083458539187491</c:v>
                </c:pt>
                <c:pt idx="2">
                  <c:v>7.9745201561005485</c:v>
                </c:pt>
                <c:pt idx="3">
                  <c:v>2.0830871510908997</c:v>
                </c:pt>
                <c:pt idx="4">
                  <c:v>-3.8083458539187491</c:v>
                </c:pt>
                <c:pt idx="5">
                  <c:v>-2.0830871510908997</c:v>
                </c:pt>
                <c:pt idx="6">
                  <c:v>-12.659628396200642</c:v>
                </c:pt>
                <c:pt idx="7">
                  <c:v>-12.659628396200642</c:v>
                </c:pt>
                <c:pt idx="8">
                  <c:v>-12.659628396200642</c:v>
                </c:pt>
                <c:pt idx="9">
                  <c:v>-12.659628396200642</c:v>
                </c:pt>
                <c:pt idx="10">
                  <c:v>-12.659628396200642</c:v>
                </c:pt>
                <c:pt idx="11">
                  <c:v>-12.659628396200642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-16.622298104424942</c:v>
                </c:pt>
                <c:pt idx="1">
                  <c:v>16.622298104424942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6.1381596323044851</c:v>
                </c:pt>
                <c:pt idx="1">
                  <c:v>6.1381596323044851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-16.622298104424942</c:v>
                </c:pt>
                <c:pt idx="1">
                  <c:v>16.622298104424942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7.4424533850837165</c:v>
                </c:pt>
                <c:pt idx="1">
                  <c:v>7.4424533850837165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#N/A</c:v>
                </c:pt>
                <c:pt idx="1">
                  <c:v>14.216570286440728</c:v>
                </c:pt>
                <c:pt idx="2">
                  <c:v>-13.841058010888748</c:v>
                </c:pt>
                <c:pt idx="3">
                  <c:v>#N/A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#N/A</c:v>
                </c:pt>
                <c:pt idx="1">
                  <c:v>7.4424533850837165</c:v>
                </c:pt>
                <c:pt idx="2">
                  <c:v>7.4424533850837165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16.622298104424942</c:v>
                </c:pt>
                <c:pt idx="1">
                  <c:v>-16.622298104424942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16.622298104424942</c:v>
                </c:pt>
                <c:pt idx="1">
                  <c:v>-16.622298104424942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Sheet1!$B$129:$B$490</c:f>
              <c:numCache>
                <c:formatCode>General</c:formatCode>
                <c:ptCount val="362"/>
                <c:pt idx="0">
                  <c:v>424.86643826493577</c:v>
                </c:pt>
                <c:pt idx="1">
                  <c:v>424.66591616018576</c:v>
                </c:pt>
                <c:pt idx="2">
                  <c:v>424.40333803729737</c:v>
                </c:pt>
                <c:pt idx="3">
                  <c:v>424.07848517197851</c:v>
                </c:pt>
                <c:pt idx="4">
                  <c:v>423.6909679066884</c:v>
                </c:pt>
                <c:pt idx="5">
                  <c:v>423.24021586875875</c:v>
                </c:pt>
                <c:pt idx="6">
                  <c:v>422.7254786385904</c:v>
                </c:pt>
                <c:pt idx="7">
                  <c:v>422.14582495773681</c:v>
                </c:pt>
                <c:pt idx="8">
                  <c:v>421.50014053455754</c:v>
                </c:pt>
                <c:pt idx="9">
                  <c:v>420.78712448178101</c:v>
                </c:pt>
                <c:pt idx="10">
                  <c:v>420.0052843988334</c:v>
                </c:pt>
                <c:pt idx="11">
                  <c:v>419.1529300916107</c:v>
                </c:pt>
                <c:pt idx="12">
                  <c:v>418.50951013425203</c:v>
                </c:pt>
                <c:pt idx="13">
                  <c:v>417.51872685518521</c:v>
                </c:pt>
                <c:pt idx="14">
                  <c:v>416.45095686323884</c:v>
                </c:pt>
                <c:pt idx="15">
                  <c:v>415.30334060482915</c:v>
                </c:pt>
                <c:pt idx="16">
                  <c:v>414.12549311843776</c:v>
                </c:pt>
                <c:pt idx="17">
                  <c:v>413.00711976257037</c:v>
                </c:pt>
                <c:pt idx="18">
                  <c:v>411.93945191547124</c:v>
                </c:pt>
                <c:pt idx="19">
                  <c:v>410.91309175458133</c:v>
                </c:pt>
                <c:pt idx="20">
                  <c:v>409.92022766943342</c:v>
                </c:pt>
                <c:pt idx="21">
                  <c:v>408.95427838221809</c:v>
                </c:pt>
                <c:pt idx="22">
                  <c:v>408.00962630803724</c:v>
                </c:pt>
                <c:pt idx="23">
                  <c:v>407.08141455480586</c:v>
                </c:pt>
                <c:pt idx="24">
                  <c:v>406.16539011985367</c:v>
                </c:pt>
                <c:pt idx="25">
                  <c:v>405.25778108640884</c:v>
                </c:pt>
                <c:pt idx="26">
                  <c:v>404.35519914648501</c:v>
                </c:pt>
                <c:pt idx="27">
                  <c:v>403.45456118510253</c:v>
                </c:pt>
                <c:pt idx="28">
                  <c:v>402.55302533339727</c:v>
                </c:pt>
                <c:pt idx="29">
                  <c:v>401.64793807645003</c:v>
                </c:pt>
                <c:pt idx="30">
                  <c:v>400.7367898423289</c:v>
                </c:pt>
                <c:pt idx="31">
                  <c:v>399.81717710518518</c:v>
                </c:pt>
                <c:pt idx="32">
                  <c:v>398.88619917232353</c:v>
                </c:pt>
                <c:pt idx="33">
                  <c:v>397.94326622634185</c:v>
                </c:pt>
                <c:pt idx="34">
                  <c:v>396.98489707019286</c:v>
                </c:pt>
                <c:pt idx="35">
                  <c:v>396.00882352575559</c:v>
                </c:pt>
                <c:pt idx="36">
                  <c:v>395.01158406933416</c:v>
                </c:pt>
                <c:pt idx="37">
                  <c:v>393.99290433125856</c:v>
                </c:pt>
                <c:pt idx="38">
                  <c:v>392.94950906901153</c:v>
                </c:pt>
                <c:pt idx="39">
                  <c:v>391.87887346106805</c:v>
                </c:pt>
                <c:pt idx="40">
                  <c:v>390.77835482955879</c:v>
                </c:pt>
                <c:pt idx="41">
                  <c:v>389.64516903212251</c:v>
                </c:pt>
                <c:pt idx="42">
                  <c:v>388.47636536398352</c:v>
                </c:pt>
                <c:pt idx="43">
                  <c:v>387.2687994994161</c:v>
                </c:pt>
                <c:pt idx="44">
                  <c:v>386.01910396110452</c:v>
                </c:pt>
                <c:pt idx="45">
                  <c:v>384.723655548995</c:v>
                </c:pt>
                <c:pt idx="46">
                  <c:v>383.37853908469782</c:v>
                </c:pt>
                <c:pt idx="47">
                  <c:v>381.97950673036007</c:v>
                </c:pt>
                <c:pt idx="48">
                  <c:v>380.5219320181111</c:v>
                </c:pt>
                <c:pt idx="49">
                  <c:v>379.00155016415403</c:v>
                </c:pt>
                <c:pt idx="50">
                  <c:v>377.41093645450508</c:v>
                </c:pt>
                <c:pt idx="51">
                  <c:v>375.74503641818916</c:v>
                </c:pt>
                <c:pt idx="52">
                  <c:v>373.99745693577114</c:v>
                </c:pt>
                <c:pt idx="53">
                  <c:v>372.16073469376369</c:v>
                </c:pt>
                <c:pt idx="54">
                  <c:v>370.2253634231422</c:v>
                </c:pt>
                <c:pt idx="55">
                  <c:v>368.1834290572977</c:v>
                </c:pt>
                <c:pt idx="56">
                  <c:v>366.02401946227758</c:v>
                </c:pt>
                <c:pt idx="57">
                  <c:v>363.73544726157962</c:v>
                </c:pt>
                <c:pt idx="58">
                  <c:v>361.30452411857607</c:v>
                </c:pt>
                <c:pt idx="59">
                  <c:v>358.71630917847801</c:v>
                </c:pt>
                <c:pt idx="60">
                  <c:v>355.95380581925929</c:v>
                </c:pt>
                <c:pt idx="61">
                  <c:v>353.28974935747789</c:v>
                </c:pt>
                <c:pt idx="62">
                  <c:v>350.56577664689195</c:v>
                </c:pt>
                <c:pt idx="63">
                  <c:v>345.76803797490697</c:v>
                </c:pt>
                <c:pt idx="64">
                  <c:v>339.61371737477856</c:v>
                </c:pt>
                <c:pt idx="65">
                  <c:v>333.28165783031932</c:v>
                </c:pt>
                <c:pt idx="66">
                  <c:v>326.74727190236052</c:v>
                </c:pt>
                <c:pt idx="67">
                  <c:v>319.9818035701814</c:v>
                </c:pt>
                <c:pt idx="68">
                  <c:v>312.95175741098723</c:v>
                </c:pt>
                <c:pt idx="69">
                  <c:v>305.61774347868487</c:v>
                </c:pt>
                <c:pt idx="70">
                  <c:v>297.93297117977761</c:v>
                </c:pt>
                <c:pt idx="71">
                  <c:v>289.8412599829694</c:v>
                </c:pt>
                <c:pt idx="72">
                  <c:v>281.2743748856924</c:v>
                </c:pt>
                <c:pt idx="73">
                  <c:v>272.14840233445415</c:v>
                </c:pt>
                <c:pt idx="74">
                  <c:v>262.35873721944415</c:v>
                </c:pt>
                <c:pt idx="75">
                  <c:v>251.77301781015242</c:v>
                </c:pt>
                <c:pt idx="76">
                  <c:v>240.22095866313558</c:v>
                </c:pt>
                <c:pt idx="77">
                  <c:v>227.47937189111695</c:v>
                </c:pt>
                <c:pt idx="78">
                  <c:v>213.24950361275867</c:v>
                </c:pt>
                <c:pt idx="79">
                  <c:v>197.1216792054453</c:v>
                </c:pt>
                <c:pt idx="80">
                  <c:v>178.5181668138047</c:v>
                </c:pt>
                <c:pt idx="81">
                  <c:v>161.1530300865538</c:v>
                </c:pt>
                <c:pt idx="82">
                  <c:v>144.9861000510308</c:v>
                </c:pt>
                <c:pt idx="83">
                  <c:v>133.26182813552796</c:v>
                </c:pt>
                <c:pt idx="84">
                  <c:v>116.37018715365078</c:v>
                </c:pt>
                <c:pt idx="85">
                  <c:v>98.995252894548429</c:v>
                </c:pt>
                <c:pt idx="86">
                  <c:v>81.028653723132493</c:v>
                </c:pt>
                <c:pt idx="87">
                  <c:v>62.336756583631434</c:v>
                </c:pt>
                <c:pt idx="88">
                  <c:v>42.752556745881122</c:v>
                </c:pt>
                <c:pt idx="89">
                  <c:v>22.064395695969367</c:v>
                </c:pt>
                <c:pt idx="90">
                  <c:v>1.7880304743660785E-13</c:v>
                </c:pt>
                <c:pt idx="91">
                  <c:v>-22.064396700951097</c:v>
                </c:pt>
                <c:pt idx="92">
                  <c:v>-42.75255778517046</c:v>
                </c:pt>
                <c:pt idx="93">
                  <c:v>-62.336757409811774</c:v>
                </c:pt>
                <c:pt idx="94">
                  <c:v>-81.028654320348025</c:v>
                </c:pt>
                <c:pt idx="95">
                  <c:v>-98.995253307850405</c:v>
                </c:pt>
                <c:pt idx="96">
                  <c:v>-116.37018743360261</c:v>
                </c:pt>
                <c:pt idx="97">
                  <c:v>-133.26182828675149</c:v>
                </c:pt>
                <c:pt idx="98">
                  <c:v>-144.98610013967925</c:v>
                </c:pt>
                <c:pt idx="99">
                  <c:v>-161.15308526731349</c:v>
                </c:pt>
                <c:pt idx="100">
                  <c:v>-178.51815345166509</c:v>
                </c:pt>
                <c:pt idx="101">
                  <c:v>-197.12161714965958</c:v>
                </c:pt>
                <c:pt idx="102">
                  <c:v>-213.24945046062959</c:v>
                </c:pt>
                <c:pt idx="103">
                  <c:v>-227.47932770491312</c:v>
                </c:pt>
                <c:pt idx="104">
                  <c:v>-240.22092259788968</c:v>
                </c:pt>
                <c:pt idx="105">
                  <c:v>-251.77298875567104</c:v>
                </c:pt>
                <c:pt idx="106">
                  <c:v>-262.35871406398905</c:v>
                </c:pt>
                <c:pt idx="107">
                  <c:v>-272.14838406633999</c:v>
                </c:pt>
                <c:pt idx="108">
                  <c:v>-281.27436062415563</c:v>
                </c:pt>
                <c:pt idx="109">
                  <c:v>-289.84124897874653</c:v>
                </c:pt>
                <c:pt idx="110">
                  <c:v>-297.9329628036441</c:v>
                </c:pt>
                <c:pt idx="111">
                  <c:v>-305.61773720620556</c:v>
                </c:pt>
                <c:pt idx="112">
                  <c:v>-312.95175280711612</c:v>
                </c:pt>
                <c:pt idx="113">
                  <c:v>-319.98180027518976</c:v>
                </c:pt>
                <c:pt idx="114">
                  <c:v>-326.7472696195822</c:v>
                </c:pt>
                <c:pt idx="115">
                  <c:v>-333.28165631574171</c:v>
                </c:pt>
                <c:pt idx="116">
                  <c:v>-339.61371642858643</c:v>
                </c:pt>
                <c:pt idx="117">
                  <c:v>-345.76839812072336</c:v>
                </c:pt>
                <c:pt idx="118">
                  <c:v>-350.56639995886462</c:v>
                </c:pt>
                <c:pt idx="119">
                  <c:v>-353.28910037989738</c:v>
                </c:pt>
                <c:pt idx="120">
                  <c:v>-355.95385477201432</c:v>
                </c:pt>
                <c:pt idx="121">
                  <c:v>-358.71630725926224</c:v>
                </c:pt>
                <c:pt idx="122">
                  <c:v>-361.30452204902321</c:v>
                </c:pt>
                <c:pt idx="123">
                  <c:v>-363.73544512564359</c:v>
                </c:pt>
                <c:pt idx="124">
                  <c:v>-366.02401735907864</c:v>
                </c:pt>
                <c:pt idx="125">
                  <c:v>-368.18342710067111</c:v>
                </c:pt>
                <c:pt idx="126">
                  <c:v>-370.22536174117516</c:v>
                </c:pt>
                <c:pt idx="127">
                  <c:v>-372.16099022084745</c:v>
                </c:pt>
                <c:pt idx="128">
                  <c:v>-373.99776625242083</c:v>
                </c:pt>
                <c:pt idx="129">
                  <c:v>-375.74502572499176</c:v>
                </c:pt>
                <c:pt idx="130">
                  <c:v>-377.41062905514218</c:v>
                </c:pt>
                <c:pt idx="131">
                  <c:v>-379.00129573225041</c:v>
                </c:pt>
                <c:pt idx="132">
                  <c:v>-380.52193383920149</c:v>
                </c:pt>
                <c:pt idx="133">
                  <c:v>-381.97950890593</c:v>
                </c:pt>
                <c:pt idx="134">
                  <c:v>-383.37854149897345</c:v>
                </c:pt>
                <c:pt idx="135">
                  <c:v>-384.72365809516401</c:v>
                </c:pt>
                <c:pt idx="136">
                  <c:v>-386.01910654176908</c:v>
                </c:pt>
                <c:pt idx="137">
                  <c:v>-387.26880202685589</c:v>
                </c:pt>
                <c:pt idx="138">
                  <c:v>-388.47636776064121</c:v>
                </c:pt>
                <c:pt idx="139">
                  <c:v>-389.64517123133498</c:v>
                </c:pt>
                <c:pt idx="140">
                  <c:v>-390.77835677656725</c:v>
                </c:pt>
                <c:pt idx="141">
                  <c:v>-391.87887511435542</c:v>
                </c:pt>
                <c:pt idx="142">
                  <c:v>-392.94951040202318</c:v>
                </c:pt>
                <c:pt idx="143">
                  <c:v>-393.99290533457793</c:v>
                </c:pt>
                <c:pt idx="144">
                  <c:v>-395.01158475373467</c:v>
                </c:pt>
                <c:pt idx="145">
                  <c:v>-396.00797821384396</c:v>
                </c:pt>
                <c:pt idx="146">
                  <c:v>-396.98532424609084</c:v>
                </c:pt>
                <c:pt idx="147">
                  <c:v>-397.94378817868932</c:v>
                </c:pt>
                <c:pt idx="148">
                  <c:v>-398.8868333861555</c:v>
                </c:pt>
                <c:pt idx="149">
                  <c:v>-399.81672095149321</c:v>
                </c:pt>
                <c:pt idx="150">
                  <c:v>-400.73679049321134</c:v>
                </c:pt>
                <c:pt idx="151">
                  <c:v>-401.64793945698477</c:v>
                </c:pt>
                <c:pt idx="152">
                  <c:v>-402.55302783784651</c:v>
                </c:pt>
                <c:pt idx="153">
                  <c:v>-403.45456531453607</c:v>
                </c:pt>
                <c:pt idx="154">
                  <c:v>-404.35520553460043</c:v>
                </c:pt>
                <c:pt idx="155">
                  <c:v>-405.25779053302239</c:v>
                </c:pt>
                <c:pt idx="156">
                  <c:v>-406.16540363437525</c:v>
                </c:pt>
                <c:pt idx="157">
                  <c:v>-407.08143341322057</c:v>
                </c:pt>
                <c:pt idx="158">
                  <c:v>-408.00965212836468</c:v>
                </c:pt>
                <c:pt idx="159">
                  <c:v>-408.95431322561575</c:v>
                </c:pt>
                <c:pt idx="160">
                  <c:v>-409.92027417741815</c:v>
                </c:pt>
                <c:pt idx="161">
                  <c:v>-410.9131533379724</c:v>
                </c:pt>
                <c:pt idx="162">
                  <c:v>-411.93953301878986</c:v>
                </c:pt>
                <c:pt idx="163">
                  <c:v>-413.00722624079873</c:v>
                </c:pt>
                <c:pt idx="164">
                  <c:v>-414.1256325932959</c:v>
                </c:pt>
                <c:pt idx="165">
                  <c:v>-415.30450717738398</c:v>
                </c:pt>
                <c:pt idx="166">
                  <c:v>-416.45095707910741</c:v>
                </c:pt>
                <c:pt idx="167">
                  <c:v>-417.51872600866409</c:v>
                </c:pt>
                <c:pt idx="168">
                  <c:v>-418.50952484088214</c:v>
                </c:pt>
                <c:pt idx="169">
                  <c:v>-419.15294510070089</c:v>
                </c:pt>
                <c:pt idx="170">
                  <c:v>-420.00528515911304</c:v>
                </c:pt>
                <c:pt idx="171">
                  <c:v>-420.7871255126293</c:v>
                </c:pt>
                <c:pt idx="172">
                  <c:v>-421.50014193616488</c:v>
                </c:pt>
                <c:pt idx="173">
                  <c:v>-422.14582686969493</c:v>
                </c:pt>
                <c:pt idx="174">
                  <c:v>-422.72548125660393</c:v>
                </c:pt>
                <c:pt idx="175">
                  <c:v>-423.24021946907828</c:v>
                </c:pt>
                <c:pt idx="176">
                  <c:v>-423.69097288217671</c:v>
                </c:pt>
                <c:pt idx="177">
                  <c:v>-424.07849208590943</c:v>
                </c:pt>
                <c:pt idx="178">
                  <c:v>-424.40334770451915</c:v>
                </c:pt>
                <c:pt idx="179">
                  <c:v>-424.66592977105091</c:v>
                </c:pt>
                <c:pt idx="180">
                  <c:v>-424.86644558306722</c:v>
                </c:pt>
                <c:pt idx="181">
                  <c:v>-424.66591616019844</c:v>
                </c:pt>
                <c:pt idx="182">
                  <c:v>-424.40333803729737</c:v>
                </c:pt>
                <c:pt idx="183">
                  <c:v>-424.0784851719784</c:v>
                </c:pt>
                <c:pt idx="184">
                  <c:v>-423.69096790668851</c:v>
                </c:pt>
                <c:pt idx="185">
                  <c:v>-423.24021586875875</c:v>
                </c:pt>
                <c:pt idx="186">
                  <c:v>-422.72547863859052</c:v>
                </c:pt>
                <c:pt idx="187">
                  <c:v>-422.14582495773686</c:v>
                </c:pt>
                <c:pt idx="188">
                  <c:v>-421.5001405345576</c:v>
                </c:pt>
                <c:pt idx="189">
                  <c:v>-420.78712448178089</c:v>
                </c:pt>
                <c:pt idx="190">
                  <c:v>-420.00528439883311</c:v>
                </c:pt>
                <c:pt idx="191">
                  <c:v>-419.1529300916107</c:v>
                </c:pt>
                <c:pt idx="192">
                  <c:v>-418.50951013425197</c:v>
                </c:pt>
                <c:pt idx="193">
                  <c:v>-417.51872685518521</c:v>
                </c:pt>
                <c:pt idx="194">
                  <c:v>-416.45095686323867</c:v>
                </c:pt>
                <c:pt idx="195">
                  <c:v>-415.30334060482937</c:v>
                </c:pt>
                <c:pt idx="196">
                  <c:v>-414.12549311843793</c:v>
                </c:pt>
                <c:pt idx="197">
                  <c:v>-413.00711976257037</c:v>
                </c:pt>
                <c:pt idx="198">
                  <c:v>-411.93945191547135</c:v>
                </c:pt>
                <c:pt idx="199">
                  <c:v>-410.9130917545811</c:v>
                </c:pt>
                <c:pt idx="200">
                  <c:v>-409.92022766943325</c:v>
                </c:pt>
                <c:pt idx="201">
                  <c:v>-408.95427838221798</c:v>
                </c:pt>
                <c:pt idx="202">
                  <c:v>-408.00962630803724</c:v>
                </c:pt>
                <c:pt idx="203">
                  <c:v>-407.0814145548058</c:v>
                </c:pt>
                <c:pt idx="204">
                  <c:v>-406.16539011985373</c:v>
                </c:pt>
                <c:pt idx="205">
                  <c:v>-405.25778108640895</c:v>
                </c:pt>
                <c:pt idx="206">
                  <c:v>-404.35519914648467</c:v>
                </c:pt>
                <c:pt idx="207">
                  <c:v>-403.45456118510265</c:v>
                </c:pt>
                <c:pt idx="208">
                  <c:v>-402.55302533339727</c:v>
                </c:pt>
                <c:pt idx="209">
                  <c:v>-401.64793807645015</c:v>
                </c:pt>
                <c:pt idx="210">
                  <c:v>-400.73678984232913</c:v>
                </c:pt>
                <c:pt idx="211">
                  <c:v>-399.81717710518518</c:v>
                </c:pt>
                <c:pt idx="212">
                  <c:v>-398.88619917232353</c:v>
                </c:pt>
                <c:pt idx="213">
                  <c:v>-397.94326622634185</c:v>
                </c:pt>
                <c:pt idx="214">
                  <c:v>-396.98489707019263</c:v>
                </c:pt>
                <c:pt idx="215">
                  <c:v>-396.00882352575576</c:v>
                </c:pt>
                <c:pt idx="216">
                  <c:v>-395.01158406933405</c:v>
                </c:pt>
                <c:pt idx="217">
                  <c:v>-393.99290433125856</c:v>
                </c:pt>
                <c:pt idx="218">
                  <c:v>-392.94950906901164</c:v>
                </c:pt>
                <c:pt idx="219">
                  <c:v>-391.87887346106817</c:v>
                </c:pt>
                <c:pt idx="220">
                  <c:v>-390.77835482955879</c:v>
                </c:pt>
                <c:pt idx="221">
                  <c:v>-389.64516903212251</c:v>
                </c:pt>
                <c:pt idx="222">
                  <c:v>-388.47636536398352</c:v>
                </c:pt>
                <c:pt idx="223">
                  <c:v>-387.26879949941593</c:v>
                </c:pt>
                <c:pt idx="224">
                  <c:v>-386.01910396110469</c:v>
                </c:pt>
                <c:pt idx="225">
                  <c:v>-384.723655548995</c:v>
                </c:pt>
                <c:pt idx="226">
                  <c:v>-383.37853908469782</c:v>
                </c:pt>
                <c:pt idx="227">
                  <c:v>-381.9795067303603</c:v>
                </c:pt>
                <c:pt idx="228">
                  <c:v>-380.5219320181111</c:v>
                </c:pt>
                <c:pt idx="229">
                  <c:v>-379.00155016415391</c:v>
                </c:pt>
                <c:pt idx="230">
                  <c:v>-377.41093645450513</c:v>
                </c:pt>
                <c:pt idx="231">
                  <c:v>-375.74503641818916</c:v>
                </c:pt>
                <c:pt idx="232">
                  <c:v>-373.99745693577125</c:v>
                </c:pt>
                <c:pt idx="233">
                  <c:v>-372.16073469376369</c:v>
                </c:pt>
                <c:pt idx="234">
                  <c:v>-370.22536342314237</c:v>
                </c:pt>
                <c:pt idx="235">
                  <c:v>-368.18342905729781</c:v>
                </c:pt>
                <c:pt idx="236">
                  <c:v>-366.02401946227747</c:v>
                </c:pt>
                <c:pt idx="237">
                  <c:v>-363.73544726157945</c:v>
                </c:pt>
                <c:pt idx="238">
                  <c:v>-361.30452411857607</c:v>
                </c:pt>
                <c:pt idx="239">
                  <c:v>-358.71630917847801</c:v>
                </c:pt>
                <c:pt idx="240">
                  <c:v>-355.9538058192594</c:v>
                </c:pt>
                <c:pt idx="241">
                  <c:v>-353.28974935747777</c:v>
                </c:pt>
                <c:pt idx="242">
                  <c:v>-350.56577664689195</c:v>
                </c:pt>
                <c:pt idx="243">
                  <c:v>-345.76803797490697</c:v>
                </c:pt>
                <c:pt idx="244">
                  <c:v>-339.61371737477879</c:v>
                </c:pt>
                <c:pt idx="245">
                  <c:v>-333.28165783031926</c:v>
                </c:pt>
                <c:pt idx="246">
                  <c:v>-326.74727190236052</c:v>
                </c:pt>
                <c:pt idx="247">
                  <c:v>-319.98180357018157</c:v>
                </c:pt>
                <c:pt idx="248">
                  <c:v>-312.9517574109874</c:v>
                </c:pt>
                <c:pt idx="249">
                  <c:v>-305.6177434786851</c:v>
                </c:pt>
                <c:pt idx="250">
                  <c:v>-297.93297117977755</c:v>
                </c:pt>
                <c:pt idx="251">
                  <c:v>-289.8412599829694</c:v>
                </c:pt>
                <c:pt idx="252">
                  <c:v>-281.27437488569262</c:v>
                </c:pt>
                <c:pt idx="253">
                  <c:v>-272.14840233445443</c:v>
                </c:pt>
                <c:pt idx="254">
                  <c:v>-262.35873721944404</c:v>
                </c:pt>
                <c:pt idx="255">
                  <c:v>-251.77301781015234</c:v>
                </c:pt>
                <c:pt idx="256">
                  <c:v>-240.22095866313563</c:v>
                </c:pt>
                <c:pt idx="257">
                  <c:v>-227.47937189111724</c:v>
                </c:pt>
                <c:pt idx="258">
                  <c:v>-213.24950361275896</c:v>
                </c:pt>
                <c:pt idx="259">
                  <c:v>-197.12167920544508</c:v>
                </c:pt>
                <c:pt idx="260">
                  <c:v>-178.51816681380456</c:v>
                </c:pt>
                <c:pt idx="261">
                  <c:v>-161.15303008655388</c:v>
                </c:pt>
                <c:pt idx="262">
                  <c:v>-144.986100051031</c:v>
                </c:pt>
                <c:pt idx="263">
                  <c:v>-133.26182813552762</c:v>
                </c:pt>
                <c:pt idx="264">
                  <c:v>-116.37018715365078</c:v>
                </c:pt>
                <c:pt idx="265">
                  <c:v>-98.995252894548486</c:v>
                </c:pt>
                <c:pt idx="266">
                  <c:v>-81.028653723132848</c:v>
                </c:pt>
                <c:pt idx="267">
                  <c:v>-62.336756583631789</c:v>
                </c:pt>
                <c:pt idx="268">
                  <c:v>-42.75255674588071</c:v>
                </c:pt>
                <c:pt idx="269">
                  <c:v>-22.064395695969257</c:v>
                </c:pt>
                <c:pt idx="270">
                  <c:v>-2.5536728585621138E-13</c:v>
                </c:pt>
                <c:pt idx="271">
                  <c:v>22.064396700950649</c:v>
                </c:pt>
                <c:pt idx="272">
                  <c:v>42.752557785170843</c:v>
                </c:pt>
                <c:pt idx="273">
                  <c:v>62.336757409811938</c:v>
                </c:pt>
                <c:pt idx="274">
                  <c:v>81.028654320347897</c:v>
                </c:pt>
                <c:pt idx="275">
                  <c:v>98.995253307850092</c:v>
                </c:pt>
                <c:pt idx="276">
                  <c:v>116.37018743360204</c:v>
                </c:pt>
                <c:pt idx="277">
                  <c:v>133.26182828675175</c:v>
                </c:pt>
                <c:pt idx="278">
                  <c:v>144.98610013967937</c:v>
                </c:pt>
                <c:pt idx="279">
                  <c:v>161.15308526731343</c:v>
                </c:pt>
                <c:pt idx="280">
                  <c:v>178.5181534516646</c:v>
                </c:pt>
                <c:pt idx="281">
                  <c:v>197.12161714965987</c:v>
                </c:pt>
                <c:pt idx="282">
                  <c:v>213.24945046062959</c:v>
                </c:pt>
                <c:pt idx="283">
                  <c:v>227.47932770491309</c:v>
                </c:pt>
                <c:pt idx="284">
                  <c:v>240.22092259788954</c:v>
                </c:pt>
                <c:pt idx="285">
                  <c:v>251.77298875567064</c:v>
                </c:pt>
                <c:pt idx="286">
                  <c:v>262.35871406398917</c:v>
                </c:pt>
                <c:pt idx="287">
                  <c:v>272.14838406633999</c:v>
                </c:pt>
                <c:pt idx="288">
                  <c:v>281.27436062415558</c:v>
                </c:pt>
                <c:pt idx="289">
                  <c:v>289.84124897874631</c:v>
                </c:pt>
                <c:pt idx="290">
                  <c:v>297.9329628036441</c:v>
                </c:pt>
                <c:pt idx="291">
                  <c:v>305.61773720620573</c:v>
                </c:pt>
                <c:pt idx="292">
                  <c:v>312.95175280711607</c:v>
                </c:pt>
                <c:pt idx="293">
                  <c:v>319.98180027518976</c:v>
                </c:pt>
                <c:pt idx="294">
                  <c:v>326.74726961958208</c:v>
                </c:pt>
                <c:pt idx="295">
                  <c:v>333.28165631574188</c:v>
                </c:pt>
                <c:pt idx="296">
                  <c:v>339.61371642858649</c:v>
                </c:pt>
                <c:pt idx="297">
                  <c:v>345.76839812072336</c:v>
                </c:pt>
                <c:pt idx="298">
                  <c:v>350.56639995886462</c:v>
                </c:pt>
                <c:pt idx="299">
                  <c:v>353.28910037989755</c:v>
                </c:pt>
                <c:pt idx="300">
                  <c:v>355.95385477201461</c:v>
                </c:pt>
                <c:pt idx="301">
                  <c:v>358.71630725926224</c:v>
                </c:pt>
                <c:pt idx="302">
                  <c:v>361.30452204902332</c:v>
                </c:pt>
                <c:pt idx="303">
                  <c:v>363.73544512564371</c:v>
                </c:pt>
                <c:pt idx="304">
                  <c:v>366.02401735907881</c:v>
                </c:pt>
                <c:pt idx="305">
                  <c:v>368.18342710067117</c:v>
                </c:pt>
                <c:pt idx="306">
                  <c:v>370.22536174117516</c:v>
                </c:pt>
                <c:pt idx="307">
                  <c:v>372.16099022084734</c:v>
                </c:pt>
                <c:pt idx="308">
                  <c:v>373.99776625242089</c:v>
                </c:pt>
                <c:pt idx="309">
                  <c:v>375.74502572499165</c:v>
                </c:pt>
                <c:pt idx="310">
                  <c:v>377.41062905514207</c:v>
                </c:pt>
                <c:pt idx="311">
                  <c:v>379.00129573225041</c:v>
                </c:pt>
                <c:pt idx="312">
                  <c:v>380.52193383920138</c:v>
                </c:pt>
                <c:pt idx="313">
                  <c:v>381.97950890593012</c:v>
                </c:pt>
                <c:pt idx="314">
                  <c:v>383.37854149897339</c:v>
                </c:pt>
                <c:pt idx="315">
                  <c:v>384.72365809516384</c:v>
                </c:pt>
                <c:pt idx="316">
                  <c:v>386.01910654176885</c:v>
                </c:pt>
                <c:pt idx="317">
                  <c:v>387.26880202685601</c:v>
                </c:pt>
                <c:pt idx="318">
                  <c:v>388.47636776064132</c:v>
                </c:pt>
                <c:pt idx="319">
                  <c:v>389.64517123133504</c:v>
                </c:pt>
                <c:pt idx="320">
                  <c:v>390.77835677656714</c:v>
                </c:pt>
                <c:pt idx="321">
                  <c:v>391.87887511435548</c:v>
                </c:pt>
                <c:pt idx="322">
                  <c:v>392.94951040202324</c:v>
                </c:pt>
                <c:pt idx="323">
                  <c:v>393.99290533457781</c:v>
                </c:pt>
                <c:pt idx="324">
                  <c:v>395.01158475373467</c:v>
                </c:pt>
                <c:pt idx="325">
                  <c:v>396.00797821384413</c:v>
                </c:pt>
                <c:pt idx="326">
                  <c:v>396.98532424609084</c:v>
                </c:pt>
                <c:pt idx="327">
                  <c:v>397.94378817868954</c:v>
                </c:pt>
                <c:pt idx="328">
                  <c:v>398.88683338615556</c:v>
                </c:pt>
                <c:pt idx="329">
                  <c:v>399.81672095149321</c:v>
                </c:pt>
                <c:pt idx="330">
                  <c:v>400.73679049321123</c:v>
                </c:pt>
                <c:pt idx="331">
                  <c:v>401.6479394569846</c:v>
                </c:pt>
                <c:pt idx="332">
                  <c:v>402.55302783784657</c:v>
                </c:pt>
                <c:pt idx="333">
                  <c:v>403.45456531453607</c:v>
                </c:pt>
                <c:pt idx="334">
                  <c:v>404.35520553460049</c:v>
                </c:pt>
                <c:pt idx="335">
                  <c:v>405.25779053302227</c:v>
                </c:pt>
                <c:pt idx="336">
                  <c:v>406.16540363437525</c:v>
                </c:pt>
                <c:pt idx="337">
                  <c:v>407.08143341322034</c:v>
                </c:pt>
                <c:pt idx="338">
                  <c:v>408.00965212836479</c:v>
                </c:pt>
                <c:pt idx="339">
                  <c:v>408.95431322561564</c:v>
                </c:pt>
                <c:pt idx="340">
                  <c:v>409.92027417741821</c:v>
                </c:pt>
                <c:pt idx="341">
                  <c:v>410.91315333797252</c:v>
                </c:pt>
                <c:pt idx="342">
                  <c:v>411.93953301878969</c:v>
                </c:pt>
                <c:pt idx="343">
                  <c:v>413.00722624079884</c:v>
                </c:pt>
                <c:pt idx="344">
                  <c:v>414.12563259329585</c:v>
                </c:pt>
                <c:pt idx="345">
                  <c:v>415.30450717738393</c:v>
                </c:pt>
                <c:pt idx="346">
                  <c:v>416.45095707910741</c:v>
                </c:pt>
                <c:pt idx="347">
                  <c:v>417.51872600866398</c:v>
                </c:pt>
                <c:pt idx="348">
                  <c:v>418.50952484088191</c:v>
                </c:pt>
                <c:pt idx="349">
                  <c:v>419.15294510070089</c:v>
                </c:pt>
                <c:pt idx="350">
                  <c:v>420.00528515911327</c:v>
                </c:pt>
                <c:pt idx="351">
                  <c:v>420.7871255126293</c:v>
                </c:pt>
                <c:pt idx="352">
                  <c:v>421.50014193616482</c:v>
                </c:pt>
                <c:pt idx="353">
                  <c:v>422.14582686969476</c:v>
                </c:pt>
                <c:pt idx="354">
                  <c:v>422.72548125660393</c:v>
                </c:pt>
                <c:pt idx="355">
                  <c:v>423.24021946907823</c:v>
                </c:pt>
                <c:pt idx="356">
                  <c:v>423.69097288217671</c:v>
                </c:pt>
                <c:pt idx="357">
                  <c:v>424.07849208590966</c:v>
                </c:pt>
                <c:pt idx="358">
                  <c:v>424.40334770451915</c:v>
                </c:pt>
                <c:pt idx="359">
                  <c:v>424.66592977105091</c:v>
                </c:pt>
                <c:pt idx="360">
                  <c:v>424.86644558306716</c:v>
                </c:pt>
                <c:pt idx="361">
                  <c:v>424.86643826493577</c:v>
                </c:pt>
              </c:numCache>
            </c:numRef>
          </c:xVal>
          <c:yVal>
            <c:numRef>
              <c:f>Sheet1!$C$129:$C$490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6.372823422745916</c:v>
                </c:pt>
                <c:pt idx="2">
                  <c:v>12.505435038836923</c:v>
                </c:pt>
                <c:pt idx="3">
                  <c:v>18.430978538349827</c:v>
                </c:pt>
                <c:pt idx="4">
                  <c:v>24.17770368050213</c:v>
                </c:pt>
                <c:pt idx="5" formatCode="0.00000">
                  <c:v>29.769897256543825</c:v>
                </c:pt>
                <c:pt idx="6" formatCode="0.00000">
                  <c:v>35.228613495446091</c:v>
                </c:pt>
                <c:pt idx="7">
                  <c:v>40.572252790677233</c:v>
                </c:pt>
                <c:pt idx="8">
                  <c:v>45.817024508488927</c:v>
                </c:pt>
                <c:pt idx="9">
                  <c:v>50.977320353885879</c:v>
                </c:pt>
                <c:pt idx="10">
                  <c:v>56.066018114548832</c:v>
                </c:pt>
                <c:pt idx="11">
                  <c:v>61.094730774332547</c:v>
                </c:pt>
                <c:pt idx="12">
                  <c:v>63.494727637106749</c:v>
                </c:pt>
                <c:pt idx="13">
                  <c:v>68.429346626186671</c:v>
                </c:pt>
                <c:pt idx="14">
                  <c:v>73.333763111846096</c:v>
                </c:pt>
                <c:pt idx="15">
                  <c:v>78.216225060938214</c:v>
                </c:pt>
                <c:pt idx="16">
                  <c:v>82.936943422760294</c:v>
                </c:pt>
                <c:pt idx="17">
                  <c:v>87.263069537260947</c:v>
                </c:pt>
                <c:pt idx="18">
                  <c:v>91.258806234766638</c:v>
                </c:pt>
                <c:pt idx="19">
                  <c:v>94.980190947676476</c:v>
                </c:pt>
                <c:pt idx="20">
                  <c:v>98.471694032535467</c:v>
                </c:pt>
                <c:pt idx="21">
                  <c:v>101.7690913955368</c:v>
                </c:pt>
                <c:pt idx="22">
                  <c:v>104.90152792501391</c:v>
                </c:pt>
                <c:pt idx="23">
                  <c:v>107.89302484454672</c:v>
                </c:pt>
                <c:pt idx="24">
                  <c:v>110.76359781310843</c:v>
                </c:pt>
                <c:pt idx="25">
                  <c:v>113.53009796848784</c:v>
                </c:pt>
                <c:pt idx="26">
                  <c:v>116.20685276288579</c:v>
                </c:pt>
                <c:pt idx="27">
                  <c:v>118.80616011428235</c:v>
                </c:pt>
                <c:pt idx="28">
                  <c:v>121.33867372641669</c:v>
                </c:pt>
                <c:pt idx="29">
                  <c:v>123.81370672774354</c:v>
                </c:pt>
                <c:pt idx="30">
                  <c:v>126.23947335933511</c:v>
                </c:pt>
                <c:pt idx="31">
                  <c:v>128.62328322495176</c:v>
                </c:pt>
                <c:pt idx="32">
                  <c:v>130.97162701950379</c:v>
                </c:pt>
                <c:pt idx="33">
                  <c:v>133.29066313751798</c:v>
                </c:pt>
                <c:pt idx="34">
                  <c:v>135.58567787883979</c:v>
                </c:pt>
                <c:pt idx="35">
                  <c:v>137.86168195563673</c:v>
                </c:pt>
                <c:pt idx="36">
                  <c:v>140.12316571939914</c:v>
                </c:pt>
                <c:pt idx="37">
                  <c:v>142.37481276807694</c:v>
                </c:pt>
                <c:pt idx="38">
                  <c:v>144.62065614452374</c:v>
                </c:pt>
                <c:pt idx="39">
                  <c:v>146.8646714670428</c:v>
                </c:pt>
                <c:pt idx="40">
                  <c:v>149.11069833289156</c:v>
                </c:pt>
                <c:pt idx="41">
                  <c:v>151.3624789488895</c:v>
                </c:pt>
                <c:pt idx="42">
                  <c:v>153.62369349230011</c:v>
                </c:pt>
                <c:pt idx="43">
                  <c:v>155.89799306052029</c:v>
                </c:pt>
                <c:pt idx="44">
                  <c:v>158.18903095587899</c:v>
                </c:pt>
                <c:pt idx="45">
                  <c:v>160.50049297130167</c:v>
                </c:pt>
                <c:pt idx="46">
                  <c:v>162.83612728842488</c:v>
                </c:pt>
                <c:pt idx="47">
                  <c:v>165.19977456835656</c:v>
                </c:pt>
                <c:pt idx="48">
                  <c:v>167.59539880443515</c:v>
                </c:pt>
                <c:pt idx="49">
                  <c:v>170.0272933641659</c:v>
                </c:pt>
                <c:pt idx="50">
                  <c:v>172.49935862440347</c:v>
                </c:pt>
                <c:pt idx="51">
                  <c:v>175.01635472244348</c:v>
                </c:pt>
                <c:pt idx="52">
                  <c:v>177.58316666757793</c:v>
                </c:pt>
                <c:pt idx="53">
                  <c:v>180.20491638073136</c:v>
                </c:pt>
                <c:pt idx="54">
                  <c:v>182.8867869183826</c:v>
                </c:pt>
                <c:pt idx="55">
                  <c:v>185.63499948385902</c:v>
                </c:pt>
                <c:pt idx="56">
                  <c:v>188.45579579893862</c:v>
                </c:pt>
                <c:pt idx="57">
                  <c:v>191.35609340929454</c:v>
                </c:pt>
                <c:pt idx="58">
                  <c:v>194.34344383784747</c:v>
                </c:pt>
                <c:pt idx="59">
                  <c:v>197.42612923873591</c:v>
                </c:pt>
                <c:pt idx="60">
                  <c:v>200.61327528494405</c:v>
                </c:pt>
                <c:pt idx="61">
                  <c:v>202.77866928908963</c:v>
                </c:pt>
                <c:pt idx="62">
                  <c:v>204.59398081024162</c:v>
                </c:pt>
                <c:pt idx="63">
                  <c:v>206.57251327205381</c:v>
                </c:pt>
                <c:pt idx="64">
                  <c:v>208.6668039783911</c:v>
                </c:pt>
                <c:pt idx="65">
                  <c:v>210.8098769275156</c:v>
                </c:pt>
                <c:pt idx="66">
                  <c:v>213.01023131182197</c:v>
                </c:pt>
                <c:pt idx="67">
                  <c:v>215.27695405572911</c:v>
                </c:pt>
                <c:pt idx="68">
                  <c:v>217.62032175034716</c:v>
                </c:pt>
                <c:pt idx="69">
                  <c:v>220.05206194805581</c:v>
                </c:pt>
                <c:pt idx="70">
                  <c:v>222.58568224295161</c:v>
                </c:pt>
                <c:pt idx="71">
                  <c:v>225.23688968895405</c:v>
                </c:pt>
                <c:pt idx="72">
                  <c:v>228.02413217213029</c:v>
                </c:pt>
                <c:pt idx="73">
                  <c:v>230.96930680680609</c:v>
                </c:pt>
                <c:pt idx="74">
                  <c:v>234.09870078725871</c:v>
                </c:pt>
                <c:pt idx="75">
                  <c:v>237.44426162799354</c:v>
                </c:pt>
                <c:pt idx="76">
                  <c:v>241.04534366192331</c:v>
                </c:pt>
                <c:pt idx="77">
                  <c:v>244.95115902085121</c:v>
                </c:pt>
                <c:pt idx="78">
                  <c:v>249.22429802480718</c:v>
                </c:pt>
                <c:pt idx="79">
                  <c:v>253.94592184304312</c:v>
                </c:pt>
                <c:pt idx="80">
                  <c:v>259.22367777888928</c:v>
                </c:pt>
                <c:pt idx="81">
                  <c:v>262.62054141613538</c:v>
                </c:pt>
                <c:pt idx="82">
                  <c:v>264.78230421516514</c:v>
                </c:pt>
                <c:pt idx="83">
                  <c:v>266.30555481380708</c:v>
                </c:pt>
                <c:pt idx="84">
                  <c:v>268.04578118517412</c:v>
                </c:pt>
                <c:pt idx="85">
                  <c:v>269.57681084579366</c:v>
                </c:pt>
                <c:pt idx="86">
                  <c:v>270.90331127224482</c:v>
                </c:pt>
                <c:pt idx="87">
                  <c:v>272.0294928743869</c:v>
                </c:pt>
                <c:pt idx="88">
                  <c:v>272.95910326584624</c:v>
                </c:pt>
                <c:pt idx="89">
                  <c:v>273.69540232424623</c:v>
                </c:pt>
                <c:pt idx="90">
                  <c:v>274.24111120571098</c:v>
                </c:pt>
                <c:pt idx="91">
                  <c:v>273.69536851406701</c:v>
                </c:pt>
                <c:pt idx="92">
                  <c:v>272.95908352111172</c:v>
                </c:pt>
                <c:pt idx="93">
                  <c:v>272.02948112082868</c:v>
                </c:pt>
                <c:pt idx="94">
                  <c:v>270.90330415102488</c:v>
                </c:pt>
                <c:pt idx="95">
                  <c:v>269.57680646038369</c:v>
                </c:pt>
                <c:pt idx="96">
                  <c:v>268.04577844368799</c:v>
                </c:pt>
                <c:pt idx="97">
                  <c:v>266.30555341368375</c:v>
                </c:pt>
                <c:pt idx="98">
                  <c:v>264.78230342050387</c:v>
                </c:pt>
                <c:pt idx="99">
                  <c:v>262.62006005151386</c:v>
                </c:pt>
                <c:pt idx="100">
                  <c:v>259.22362673850654</c:v>
                </c:pt>
                <c:pt idx="101">
                  <c:v>253.94573651635216</c:v>
                </c:pt>
                <c:pt idx="102">
                  <c:v>249.22416410890301</c:v>
                </c:pt>
                <c:pt idx="103">
                  <c:v>244.95106091449566</c:v>
                </c:pt>
                <c:pt idx="104">
                  <c:v>241.04527110553568</c:v>
                </c:pt>
                <c:pt idx="105">
                  <c:v>237.44420764909194</c:v>
                </c:pt>
                <c:pt idx="106">
                  <c:v>234.0986605155523</c:v>
                </c:pt>
                <c:pt idx="107">
                  <c:v>230.96927676208929</c:v>
                </c:pt>
                <c:pt idx="108">
                  <c:v>228.02410981981458</c:v>
                </c:pt>
                <c:pt idx="109">
                  <c:v>225.23687315353212</c:v>
                </c:pt>
                <c:pt idx="110">
                  <c:v>222.58567011804368</c:v>
                </c:pt>
                <c:pt idx="111">
                  <c:v>220.05205316738036</c:v>
                </c:pt>
                <c:pt idx="112">
                  <c:v>217.6203154981836</c:v>
                </c:pt>
                <c:pt idx="113">
                  <c:v>215.27694970359744</c:v>
                </c:pt>
                <c:pt idx="114">
                  <c:v>213.01022837294616</c:v>
                </c:pt>
                <c:pt idx="115">
                  <c:v>210.8098750235792</c:v>
                </c:pt>
                <c:pt idx="116">
                  <c:v>208.66680281525612</c:v>
                </c:pt>
                <c:pt idx="117">
                  <c:v>206.57294674296804</c:v>
                </c:pt>
                <c:pt idx="118">
                  <c:v>204.59435323114587</c:v>
                </c:pt>
                <c:pt idx="119">
                  <c:v>202.7782920548141</c:v>
                </c:pt>
                <c:pt idx="120">
                  <c:v>200.61328953480017</c:v>
                </c:pt>
                <c:pt idx="121">
                  <c:v>197.42612869512928</c:v>
                </c:pt>
                <c:pt idx="122">
                  <c:v>194.34344326712861</c:v>
                </c:pt>
                <c:pt idx="123">
                  <c:v>191.35609283553299</c:v>
                </c:pt>
                <c:pt idx="124">
                  <c:v>188.45579524839391</c:v>
                </c:pt>
                <c:pt idx="125">
                  <c:v>185.63499898460358</c:v>
                </c:pt>
                <c:pt idx="126">
                  <c:v>182.88678649994307</c:v>
                </c:pt>
                <c:pt idx="127">
                  <c:v>180.20497837005655</c:v>
                </c:pt>
                <c:pt idx="128">
                  <c:v>177.5832398451185</c:v>
                </c:pt>
                <c:pt idx="129">
                  <c:v>175.01635225540784</c:v>
                </c:pt>
                <c:pt idx="130">
                  <c:v>172.49928946819543</c:v>
                </c:pt>
                <c:pt idx="131">
                  <c:v>170.02723755636922</c:v>
                </c:pt>
                <c:pt idx="132">
                  <c:v>167.59539919379486</c:v>
                </c:pt>
                <c:pt idx="133">
                  <c:v>165.19977502162715</c:v>
                </c:pt>
                <c:pt idx="134">
                  <c:v>162.83612777839485</c:v>
                </c:pt>
                <c:pt idx="135">
                  <c:v>160.50049347441242</c:v>
                </c:pt>
                <c:pt idx="136">
                  <c:v>158.18903145208009</c:v>
                </c:pt>
                <c:pt idx="137">
                  <c:v>155.89799353309456</c:v>
                </c:pt>
                <c:pt idx="138">
                  <c:v>153.62369392773579</c:v>
                </c:pt>
                <c:pt idx="139">
                  <c:v>151.36247933679709</c:v>
                </c:pt>
                <c:pt idx="140">
                  <c:v>149.11069866595622</c:v>
                </c:pt>
                <c:pt idx="141">
                  <c:v>146.86467174101068</c:v>
                </c:pt>
                <c:pt idx="142">
                  <c:v>144.62065635821841</c:v>
                </c:pt>
                <c:pt idx="143">
                  <c:v>142.37481292343745</c:v>
                </c:pt>
                <c:pt idx="144">
                  <c:v>140.12316582158445</c:v>
                </c:pt>
                <c:pt idx="145">
                  <c:v>137.86156050670513</c:v>
                </c:pt>
                <c:pt idx="146">
                  <c:v>135.58573679958329</c:v>
                </c:pt>
                <c:pt idx="147">
                  <c:v>133.2907320666728</c:v>
                </c:pt>
                <c:pt idx="148">
                  <c:v>130.97170695703173</c:v>
                </c:pt>
                <c:pt idx="149">
                  <c:v>128.62322855299035</c:v>
                </c:pt>
                <c:pt idx="150">
                  <c:v>126.23947343319296</c:v>
                </c:pt>
                <c:pt idx="151">
                  <c:v>123.81370687528532</c:v>
                </c:pt>
                <c:pt idx="152">
                  <c:v>121.33867397691954</c:v>
                </c:pt>
                <c:pt idx="153">
                  <c:v>118.806160497869</c:v>
                </c:pt>
                <c:pt idx="154">
                  <c:v>116.20685330867471</c:v>
                </c:pt>
                <c:pt idx="155">
                  <c:v>113.53009870175221</c:v>
                </c:pt>
                <c:pt idx="156">
                  <c:v>110.76359875091407</c:v>
                </c:pt>
                <c:pt idx="157">
                  <c:v>107.89302598910461</c:v>
                </c:pt>
                <c:pt idx="158">
                  <c:v>104.90152925357015</c:v>
                </c:pt>
                <c:pt idx="159">
                  <c:v>101.76909284497169</c:v>
                </c:pt>
                <c:pt idx="160">
                  <c:v>98.471695475787897</c:v>
                </c:pt>
                <c:pt idx="161">
                  <c:v>94.980192157359795</c:v>
                </c:pt>
                <c:pt idx="162">
                  <c:v>91.258806826401894</c:v>
                </c:pt>
                <c:pt idx="163">
                  <c:v>87.26306887945421</c:v>
                </c:pt>
                <c:pt idx="164">
                  <c:v>82.936940496629788</c:v>
                </c:pt>
                <c:pt idx="165">
                  <c:v>78.216185175890359</c:v>
                </c:pt>
                <c:pt idx="166">
                  <c:v>73.333763104619933</c:v>
                </c:pt>
                <c:pt idx="167">
                  <c:v>68.429346653814918</c:v>
                </c:pt>
                <c:pt idx="168">
                  <c:v>63.49472717143982</c:v>
                </c:pt>
                <c:pt idx="169">
                  <c:v>61.094730312876727</c:v>
                </c:pt>
                <c:pt idx="170">
                  <c:v>56.066018092165734</c:v>
                </c:pt>
                <c:pt idx="171">
                  <c:v>50.97732032508177</c:v>
                </c:pt>
                <c:pt idx="172">
                  <c:v>45.817024471731514</c:v>
                </c:pt>
                <c:pt idx="173">
                  <c:v>40.572252744290843</c:v>
                </c:pt>
                <c:pt idx="174">
                  <c:v>35.228613437804597</c:v>
                </c:pt>
                <c:pt idx="175">
                  <c:v>29.76989718649881</c:v>
                </c:pt>
                <c:pt idx="176">
                  <c:v>24.177703598256279</c:v>
                </c:pt>
                <c:pt idx="177">
                  <c:v>18.4309784471554</c:v>
                </c:pt>
                <c:pt idx="178">
                  <c:v>12.505434948229844</c:v>
                </c:pt>
                <c:pt idx="179">
                  <c:v>6.3728233546229882</c:v>
                </c:pt>
                <c:pt idx="180">
                  <c:v>2.3038626016963264E-14</c:v>
                </c:pt>
                <c:pt idx="181">
                  <c:v>-6.3728234227458973</c:v>
                </c:pt>
                <c:pt idx="182">
                  <c:v>-12.505435038836874</c:v>
                </c:pt>
                <c:pt idx="183">
                  <c:v>-18.430978538349692</c:v>
                </c:pt>
                <c:pt idx="184">
                  <c:v>-24.177703680502155</c:v>
                </c:pt>
                <c:pt idx="185">
                  <c:v>-29.769897256543739</c:v>
                </c:pt>
                <c:pt idx="186">
                  <c:v>-35.228613495446126</c:v>
                </c:pt>
                <c:pt idx="187">
                  <c:v>-40.572252790677183</c:v>
                </c:pt>
                <c:pt idx="188">
                  <c:v>-45.817024508489006</c:v>
                </c:pt>
                <c:pt idx="189">
                  <c:v>-50.977320353885879</c:v>
                </c:pt>
                <c:pt idx="190">
                  <c:v>-56.066018114548882</c:v>
                </c:pt>
                <c:pt idx="191">
                  <c:v>-61.094730774332533</c:v>
                </c:pt>
                <c:pt idx="192">
                  <c:v>-63.494727637106799</c:v>
                </c:pt>
                <c:pt idx="193">
                  <c:v>-68.429346626186671</c:v>
                </c:pt>
                <c:pt idx="194">
                  <c:v>-73.333763111845968</c:v>
                </c:pt>
                <c:pt idx="195">
                  <c:v>-78.216225060938271</c:v>
                </c:pt>
                <c:pt idx="196">
                  <c:v>-82.936943422760251</c:v>
                </c:pt>
                <c:pt idx="197">
                  <c:v>-87.263069537260947</c:v>
                </c:pt>
                <c:pt idx="198">
                  <c:v>-91.258806234766681</c:v>
                </c:pt>
                <c:pt idx="199">
                  <c:v>-94.980190947676448</c:v>
                </c:pt>
                <c:pt idx="200">
                  <c:v>-98.471694032535467</c:v>
                </c:pt>
                <c:pt idx="201">
                  <c:v>-101.7690913955368</c:v>
                </c:pt>
                <c:pt idx="202">
                  <c:v>-104.90152792501391</c:v>
                </c:pt>
                <c:pt idx="203">
                  <c:v>-107.89302484454662</c:v>
                </c:pt>
                <c:pt idx="204">
                  <c:v>-110.76359781310846</c:v>
                </c:pt>
                <c:pt idx="205">
                  <c:v>-113.53009796848787</c:v>
                </c:pt>
                <c:pt idx="206">
                  <c:v>-116.20685276288582</c:v>
                </c:pt>
                <c:pt idx="207">
                  <c:v>-118.80616011428235</c:v>
                </c:pt>
                <c:pt idx="208">
                  <c:v>-121.33867372641663</c:v>
                </c:pt>
                <c:pt idx="209">
                  <c:v>-123.81370672774354</c:v>
                </c:pt>
                <c:pt idx="210">
                  <c:v>-126.23947335933519</c:v>
                </c:pt>
                <c:pt idx="211">
                  <c:v>-128.62328322495176</c:v>
                </c:pt>
                <c:pt idx="212">
                  <c:v>-130.9716270195037</c:v>
                </c:pt>
                <c:pt idx="213">
                  <c:v>-133.29066313751798</c:v>
                </c:pt>
                <c:pt idx="214">
                  <c:v>-135.5856778788397</c:v>
                </c:pt>
                <c:pt idx="215">
                  <c:v>-137.86168195563681</c:v>
                </c:pt>
                <c:pt idx="216">
                  <c:v>-140.12316571939914</c:v>
                </c:pt>
                <c:pt idx="217">
                  <c:v>-142.37481276807694</c:v>
                </c:pt>
                <c:pt idx="218">
                  <c:v>-144.62065614452362</c:v>
                </c:pt>
                <c:pt idx="219">
                  <c:v>-146.86467146704285</c:v>
                </c:pt>
                <c:pt idx="220">
                  <c:v>-149.11069833289156</c:v>
                </c:pt>
                <c:pt idx="221">
                  <c:v>-151.36247894888936</c:v>
                </c:pt>
                <c:pt idx="222">
                  <c:v>-153.62369349230011</c:v>
                </c:pt>
                <c:pt idx="223">
                  <c:v>-155.89799306052029</c:v>
                </c:pt>
                <c:pt idx="224">
                  <c:v>-158.18903095587905</c:v>
                </c:pt>
                <c:pt idx="225">
                  <c:v>-160.50049297130164</c:v>
                </c:pt>
                <c:pt idx="226">
                  <c:v>-162.83612728842488</c:v>
                </c:pt>
                <c:pt idx="227">
                  <c:v>-165.19977456835659</c:v>
                </c:pt>
                <c:pt idx="228">
                  <c:v>-167.59539880443518</c:v>
                </c:pt>
                <c:pt idx="229">
                  <c:v>-170.02729336416587</c:v>
                </c:pt>
                <c:pt idx="230">
                  <c:v>-172.49935862440347</c:v>
                </c:pt>
                <c:pt idx="231">
                  <c:v>-175.01635472244348</c:v>
                </c:pt>
                <c:pt idx="232">
                  <c:v>-177.58316666757793</c:v>
                </c:pt>
                <c:pt idx="233">
                  <c:v>-180.20491638073156</c:v>
                </c:pt>
                <c:pt idx="234">
                  <c:v>-182.8867869183826</c:v>
                </c:pt>
                <c:pt idx="235">
                  <c:v>-185.63499948385902</c:v>
                </c:pt>
                <c:pt idx="236">
                  <c:v>-188.45579579893874</c:v>
                </c:pt>
                <c:pt idx="237">
                  <c:v>-191.35609340929457</c:v>
                </c:pt>
                <c:pt idx="238">
                  <c:v>-194.34344383784756</c:v>
                </c:pt>
                <c:pt idx="239">
                  <c:v>-197.4261292387358</c:v>
                </c:pt>
                <c:pt idx="240">
                  <c:v>-200.61327528494397</c:v>
                </c:pt>
                <c:pt idx="241">
                  <c:v>-202.77866928908963</c:v>
                </c:pt>
                <c:pt idx="242">
                  <c:v>-204.5939808102417</c:v>
                </c:pt>
                <c:pt idx="243">
                  <c:v>-206.57251327205381</c:v>
                </c:pt>
                <c:pt idx="244">
                  <c:v>-208.66680397839116</c:v>
                </c:pt>
                <c:pt idx="245">
                  <c:v>-210.80987692751583</c:v>
                </c:pt>
                <c:pt idx="246">
                  <c:v>-213.01023131182203</c:v>
                </c:pt>
                <c:pt idx="247">
                  <c:v>-215.27695405572925</c:v>
                </c:pt>
                <c:pt idx="248">
                  <c:v>-217.62032175034716</c:v>
                </c:pt>
                <c:pt idx="249">
                  <c:v>-220.05206194805575</c:v>
                </c:pt>
                <c:pt idx="250">
                  <c:v>-222.58568224295169</c:v>
                </c:pt>
                <c:pt idx="251">
                  <c:v>-225.23688968895411</c:v>
                </c:pt>
                <c:pt idx="252">
                  <c:v>-228.02413217213046</c:v>
                </c:pt>
                <c:pt idx="253">
                  <c:v>-230.9693068068062</c:v>
                </c:pt>
                <c:pt idx="254">
                  <c:v>-234.09870078725885</c:v>
                </c:pt>
                <c:pt idx="255">
                  <c:v>-237.44426162799354</c:v>
                </c:pt>
                <c:pt idx="256">
                  <c:v>-241.04534366192331</c:v>
                </c:pt>
                <c:pt idx="257">
                  <c:v>-244.95115902085115</c:v>
                </c:pt>
                <c:pt idx="258">
                  <c:v>-249.22429802480715</c:v>
                </c:pt>
                <c:pt idx="259">
                  <c:v>-253.94592184304324</c:v>
                </c:pt>
                <c:pt idx="260">
                  <c:v>-259.22367777888923</c:v>
                </c:pt>
                <c:pt idx="261">
                  <c:v>-262.62054141613527</c:v>
                </c:pt>
                <c:pt idx="262">
                  <c:v>-264.7823042151652</c:v>
                </c:pt>
                <c:pt idx="263">
                  <c:v>-266.3055548138073</c:v>
                </c:pt>
                <c:pt idx="264">
                  <c:v>-268.04578118517412</c:v>
                </c:pt>
                <c:pt idx="265">
                  <c:v>-269.57681084579366</c:v>
                </c:pt>
                <c:pt idx="266">
                  <c:v>-270.90331127224459</c:v>
                </c:pt>
                <c:pt idx="267">
                  <c:v>-272.02949287438707</c:v>
                </c:pt>
                <c:pt idx="268">
                  <c:v>-272.95910326584635</c:v>
                </c:pt>
                <c:pt idx="269">
                  <c:v>-273.69540232424617</c:v>
                </c:pt>
                <c:pt idx="270">
                  <c:v>-274.24111120571098</c:v>
                </c:pt>
                <c:pt idx="271">
                  <c:v>-273.69536851406713</c:v>
                </c:pt>
                <c:pt idx="272">
                  <c:v>-272.95908352111184</c:v>
                </c:pt>
                <c:pt idx="273">
                  <c:v>-272.02948112082868</c:v>
                </c:pt>
                <c:pt idx="274">
                  <c:v>-270.90330415102488</c:v>
                </c:pt>
                <c:pt idx="275">
                  <c:v>-269.57680646038386</c:v>
                </c:pt>
                <c:pt idx="276">
                  <c:v>-268.04577844368811</c:v>
                </c:pt>
                <c:pt idx="277">
                  <c:v>-266.3055534136837</c:v>
                </c:pt>
                <c:pt idx="278">
                  <c:v>-264.78230342050381</c:v>
                </c:pt>
                <c:pt idx="279">
                  <c:v>-262.62006005151386</c:v>
                </c:pt>
                <c:pt idx="280">
                  <c:v>-259.22362673850671</c:v>
                </c:pt>
                <c:pt idx="281">
                  <c:v>-253.94573651635201</c:v>
                </c:pt>
                <c:pt idx="282">
                  <c:v>-249.2241641089029</c:v>
                </c:pt>
                <c:pt idx="283">
                  <c:v>-244.95106091449577</c:v>
                </c:pt>
                <c:pt idx="284">
                  <c:v>-241.04527110553579</c:v>
                </c:pt>
                <c:pt idx="285">
                  <c:v>-237.44420764909208</c:v>
                </c:pt>
                <c:pt idx="286">
                  <c:v>-234.09866051555235</c:v>
                </c:pt>
                <c:pt idx="287">
                  <c:v>-230.96927676208935</c:v>
                </c:pt>
                <c:pt idx="288">
                  <c:v>-228.02410981981458</c:v>
                </c:pt>
                <c:pt idx="289">
                  <c:v>-225.23687315353212</c:v>
                </c:pt>
                <c:pt idx="290">
                  <c:v>-222.58567011804342</c:v>
                </c:pt>
                <c:pt idx="291">
                  <c:v>-220.05205316738042</c:v>
                </c:pt>
                <c:pt idx="292">
                  <c:v>-217.6203154981836</c:v>
                </c:pt>
                <c:pt idx="293">
                  <c:v>-215.27694970359764</c:v>
                </c:pt>
                <c:pt idx="294">
                  <c:v>-213.01022837294624</c:v>
                </c:pt>
                <c:pt idx="295">
                  <c:v>-210.80987502357937</c:v>
                </c:pt>
                <c:pt idx="296">
                  <c:v>-208.66680281525623</c:v>
                </c:pt>
                <c:pt idx="297">
                  <c:v>-206.57294674296804</c:v>
                </c:pt>
                <c:pt idx="298">
                  <c:v>-204.59435323114607</c:v>
                </c:pt>
                <c:pt idx="299">
                  <c:v>-202.77829205481399</c:v>
                </c:pt>
                <c:pt idx="300">
                  <c:v>-200.61328953480032</c:v>
                </c:pt>
                <c:pt idx="301">
                  <c:v>-197.42612869512936</c:v>
                </c:pt>
                <c:pt idx="302">
                  <c:v>-194.34344326712872</c:v>
                </c:pt>
                <c:pt idx="303">
                  <c:v>-191.35609283553302</c:v>
                </c:pt>
                <c:pt idx="304">
                  <c:v>-188.45579524839388</c:v>
                </c:pt>
                <c:pt idx="305">
                  <c:v>-185.63499898460364</c:v>
                </c:pt>
                <c:pt idx="306">
                  <c:v>-182.88678649994318</c:v>
                </c:pt>
                <c:pt idx="307">
                  <c:v>-180.20497837005661</c:v>
                </c:pt>
                <c:pt idx="308">
                  <c:v>-177.58323984511844</c:v>
                </c:pt>
                <c:pt idx="309">
                  <c:v>-175.01635225540775</c:v>
                </c:pt>
                <c:pt idx="310">
                  <c:v>-172.49928946819543</c:v>
                </c:pt>
                <c:pt idx="311">
                  <c:v>-170.02723755636922</c:v>
                </c:pt>
                <c:pt idx="312">
                  <c:v>-167.59539919379489</c:v>
                </c:pt>
                <c:pt idx="313">
                  <c:v>-165.19977502162715</c:v>
                </c:pt>
                <c:pt idx="314">
                  <c:v>-162.8361277783948</c:v>
                </c:pt>
                <c:pt idx="315">
                  <c:v>-160.50049347441242</c:v>
                </c:pt>
                <c:pt idx="316">
                  <c:v>-158.18903145208017</c:v>
                </c:pt>
                <c:pt idx="317">
                  <c:v>-155.89799353309448</c:v>
                </c:pt>
                <c:pt idx="318">
                  <c:v>-153.62369392773576</c:v>
                </c:pt>
                <c:pt idx="319">
                  <c:v>-151.36247933679709</c:v>
                </c:pt>
                <c:pt idx="320">
                  <c:v>-149.11069866595619</c:v>
                </c:pt>
                <c:pt idx="321">
                  <c:v>-146.86467174101082</c:v>
                </c:pt>
                <c:pt idx="322">
                  <c:v>-144.6206563582183</c:v>
                </c:pt>
                <c:pt idx="323">
                  <c:v>-142.37481292343745</c:v>
                </c:pt>
                <c:pt idx="324">
                  <c:v>-140.12316582158454</c:v>
                </c:pt>
                <c:pt idx="325">
                  <c:v>-137.86156050670527</c:v>
                </c:pt>
                <c:pt idx="326">
                  <c:v>-135.58573679958329</c:v>
                </c:pt>
                <c:pt idx="327">
                  <c:v>-133.29073206667283</c:v>
                </c:pt>
                <c:pt idx="328">
                  <c:v>-130.97170695703178</c:v>
                </c:pt>
                <c:pt idx="329">
                  <c:v>-128.62322855299038</c:v>
                </c:pt>
                <c:pt idx="330">
                  <c:v>-126.23947343319301</c:v>
                </c:pt>
                <c:pt idx="331">
                  <c:v>-123.81370687528526</c:v>
                </c:pt>
                <c:pt idx="332">
                  <c:v>-121.33867397691954</c:v>
                </c:pt>
                <c:pt idx="333">
                  <c:v>-118.80616049786902</c:v>
                </c:pt>
                <c:pt idx="334">
                  <c:v>-116.20685330867482</c:v>
                </c:pt>
                <c:pt idx="335">
                  <c:v>-113.53009870175212</c:v>
                </c:pt>
                <c:pt idx="336">
                  <c:v>-110.76359875091406</c:v>
                </c:pt>
                <c:pt idx="337">
                  <c:v>-107.89302598910457</c:v>
                </c:pt>
                <c:pt idx="338">
                  <c:v>-104.90152925357015</c:v>
                </c:pt>
                <c:pt idx="339">
                  <c:v>-101.76909284497175</c:v>
                </c:pt>
                <c:pt idx="340">
                  <c:v>-98.471695475787854</c:v>
                </c:pt>
                <c:pt idx="341">
                  <c:v>-94.980192157359838</c:v>
                </c:pt>
                <c:pt idx="342">
                  <c:v>-91.25880682640188</c:v>
                </c:pt>
                <c:pt idx="343">
                  <c:v>-87.263068879454337</c:v>
                </c:pt>
                <c:pt idx="344">
                  <c:v>-82.936940496629703</c:v>
                </c:pt>
                <c:pt idx="345">
                  <c:v>-78.216185175890246</c:v>
                </c:pt>
                <c:pt idx="346">
                  <c:v>-73.333763104619948</c:v>
                </c:pt>
                <c:pt idx="347">
                  <c:v>-68.429346653814989</c:v>
                </c:pt>
                <c:pt idx="348">
                  <c:v>-63.494727171439948</c:v>
                </c:pt>
                <c:pt idx="349">
                  <c:v>-61.094730312876649</c:v>
                </c:pt>
                <c:pt idx="350">
                  <c:v>-56.06601809216577</c:v>
                </c:pt>
                <c:pt idx="351">
                  <c:v>-50.97732032508182</c:v>
                </c:pt>
                <c:pt idx="352">
                  <c:v>-45.817024471731663</c:v>
                </c:pt>
                <c:pt idx="353">
                  <c:v>-40.572252744290765</c:v>
                </c:pt>
                <c:pt idx="354">
                  <c:v>-35.228613437804491</c:v>
                </c:pt>
                <c:pt idx="355">
                  <c:v>-29.769897186498902</c:v>
                </c:pt>
                <c:pt idx="356">
                  <c:v>-24.177703598256279</c:v>
                </c:pt>
                <c:pt idx="357">
                  <c:v>-18.430978447155642</c:v>
                </c:pt>
                <c:pt idx="358">
                  <c:v>-12.505434948229755</c:v>
                </c:pt>
                <c:pt idx="359">
                  <c:v>-6.3728233546230637</c:v>
                </c:pt>
                <c:pt idx="360">
                  <c:v>-1.1161610557441955E-13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Sheet1!$B$119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Sheet1!$B$120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195.66574330406701</c:v>
                </c:pt>
              </c:numCache>
            </c:numRef>
          </c:xVal>
          <c:yVal>
            <c:numRef>
              <c:f>Sheet1!$I$124:$I$125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254.36546629528706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490"/>
  <sheetViews>
    <sheetView tabSelected="1" topLeftCell="A112" workbookViewId="0">
      <selection activeCell="B119" sqref="B119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 x14ac:dyDescent="0.25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 x14ac:dyDescent="0.25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 x14ac:dyDescent="0.25">
      <c r="D7" s="8">
        <v>0</v>
      </c>
      <c r="E7" s="8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6">
        <v>60</v>
      </c>
      <c r="C10" t="s">
        <v>5</v>
      </c>
    </row>
    <row r="11" spans="1:8" x14ac:dyDescent="0.25">
      <c r="A11" t="s">
        <v>12</v>
      </c>
      <c r="B11" s="5">
        <v>29000</v>
      </c>
      <c r="C11" t="s">
        <v>5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</row>
    <row r="13" spans="1:8" x14ac:dyDescent="0.25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 x14ac:dyDescent="0.25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 x14ac:dyDescent="0.25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 x14ac:dyDescent="0.25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 x14ac:dyDescent="0.2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 x14ac:dyDescent="0.25">
      <c r="A18">
        <v>6</v>
      </c>
      <c r="B18" s="3">
        <v>10</v>
      </c>
      <c r="C18" s="7">
        <f ca="1">OFFSET(Reference!A$1,MATCH(Sheet1!B18,Reference!A$1:A$12,0)-1,2)</f>
        <v>1.27</v>
      </c>
      <c r="D18" s="4">
        <v>10</v>
      </c>
      <c r="E18" s="4">
        <v>4</v>
      </c>
    </row>
    <row r="19" spans="1:5" x14ac:dyDescent="0.2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 x14ac:dyDescent="0.2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 x14ac:dyDescent="0.2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 x14ac:dyDescent="0.2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 x14ac:dyDescent="0.2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 x14ac:dyDescent="0.2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 x14ac:dyDescent="0.25">
      <c r="A26" s="31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 x14ac:dyDescent="0.25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 x14ac:dyDescent="0.25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 x14ac:dyDescent="0.25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 x14ac:dyDescent="0.25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 x14ac:dyDescent="0.25">
      <c r="A39">
        <f t="shared" si="0"/>
        <v>6</v>
      </c>
      <c r="B39" s="10">
        <f t="shared" ca="1" si="1"/>
        <v>1.27</v>
      </c>
      <c r="C39" s="9">
        <f t="shared" si="2"/>
        <v>55</v>
      </c>
      <c r="D39" s="9">
        <f t="shared" ca="1" si="3"/>
        <v>69.849999999999994</v>
      </c>
      <c r="E39" s="9">
        <f t="shared" ca="1" si="4"/>
        <v>279.39999999999998</v>
      </c>
      <c r="F39" s="9">
        <f t="shared" ca="1" si="5"/>
        <v>698.5</v>
      </c>
    </row>
    <row r="40" spans="1:6" x14ac:dyDescent="0.25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 x14ac:dyDescent="0.25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 x14ac:dyDescent="0.25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 x14ac:dyDescent="0.25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 x14ac:dyDescent="0.25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5.75" thickBot="1" x14ac:dyDescent="0.3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5.75" thickTop="1" x14ac:dyDescent="0.25">
      <c r="C46" s="9"/>
      <c r="D46" s="9">
        <f ca="1">SUM(D34:D45)</f>
        <v>419.1</v>
      </c>
      <c r="E46" s="9">
        <f t="shared" ref="E46:F46" ca="1" si="6">SUM(E34:E45)</f>
        <v>6286.5</v>
      </c>
      <c r="F46" s="9">
        <f t="shared" ca="1" si="6"/>
        <v>4191</v>
      </c>
    </row>
    <row r="48" spans="1:6" x14ac:dyDescent="0.25">
      <c r="A48" s="2" t="s">
        <v>28</v>
      </c>
      <c r="B48" s="9">
        <f ca="1">B29+D46</f>
        <v>3419.1</v>
      </c>
      <c r="D48" t="s">
        <v>31</v>
      </c>
      <c r="E48" t="s">
        <v>32</v>
      </c>
    </row>
    <row r="49" spans="1:21" x14ac:dyDescent="0.25">
      <c r="A49" s="2" t="s">
        <v>29</v>
      </c>
      <c r="B49" s="9">
        <f ca="1">E46+B30</f>
        <v>51286.5</v>
      </c>
      <c r="D49" s="1">
        <f ca="1">B50/B48</f>
        <v>10</v>
      </c>
      <c r="E49" s="7">
        <f ca="1">B49/B48</f>
        <v>15</v>
      </c>
    </row>
    <row r="50" spans="1:21" x14ac:dyDescent="0.25">
      <c r="A50" s="2" t="s">
        <v>30</v>
      </c>
      <c r="B50" s="9">
        <f ca="1">F46+B31</f>
        <v>34191</v>
      </c>
    </row>
    <row r="52" spans="1:21" x14ac:dyDescent="0.25">
      <c r="A52" s="32" t="s">
        <v>34</v>
      </c>
    </row>
    <row r="53" spans="1:21" x14ac:dyDescent="0.25">
      <c r="A53" s="2" t="s">
        <v>36</v>
      </c>
      <c r="B53" s="4">
        <v>-79.083888608272559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9">
        <f ca="1">D3-$D$49</f>
        <v>-10</v>
      </c>
      <c r="B57" s="10">
        <f ca="1">E3-$E$49</f>
        <v>-15</v>
      </c>
      <c r="C57" s="7">
        <f ca="1">A57*COS(RADIANS($B$53))+B57*SIN(RADIANS($B$53))</f>
        <v>12.834866920623305</v>
      </c>
      <c r="D57" s="7">
        <f ca="1">-1*A57*SIN(RADIANS($B$53))+B57*COS(RADIANS($B$53))</f>
        <v>-12.659628396200642</v>
      </c>
      <c r="F57" t="s">
        <v>40</v>
      </c>
      <c r="G57">
        <f ca="1">MAX(D57:D61)-MIN(D57:D61)</f>
        <v>25.319256792401283</v>
      </c>
      <c r="H57" t="s">
        <v>6</v>
      </c>
      <c r="T57" t="s">
        <v>82</v>
      </c>
    </row>
    <row r="58" spans="1:21" x14ac:dyDescent="0.25">
      <c r="A58" s="9">
        <f ca="1">D4-$D$49</f>
        <v>10</v>
      </c>
      <c r="B58" s="10">
        <f t="shared" ref="B58:B61" ca="1" si="7">E4-$E$49</f>
        <v>-15</v>
      </c>
      <c r="C58" s="7">
        <f t="shared" ref="C58:C61" ca="1" si="8">A58*COS(RADIANS($B$53))+B58*SIN(RADIANS($B$53))</f>
        <v>16.622298104424942</v>
      </c>
      <c r="D58" s="7">
        <f t="shared" ref="D58:D61" ca="1" si="9">-1*A58*SIN(RADIANS($B$53))+B58*COS(RADIANS($B$53))</f>
        <v>6.9784816204981892</v>
      </c>
      <c r="F58" t="s">
        <v>62</v>
      </c>
      <c r="G58" s="10">
        <f ca="1">MAX(D57:D61)</f>
        <v>12.659628396200642</v>
      </c>
      <c r="T58" t="s">
        <v>0</v>
      </c>
      <c r="U58" t="s">
        <v>1</v>
      </c>
    </row>
    <row r="59" spans="1:21" x14ac:dyDescent="0.25">
      <c r="A59" s="9">
        <f ca="1">D5-$D$49</f>
        <v>10</v>
      </c>
      <c r="B59" s="10">
        <f t="shared" ca="1" si="7"/>
        <v>15</v>
      </c>
      <c r="C59" s="7">
        <f t="shared" ca="1" si="8"/>
        <v>-12.834866920623305</v>
      </c>
      <c r="D59" s="7">
        <f t="shared" ca="1" si="9"/>
        <v>12.659628396200642</v>
      </c>
      <c r="T59">
        <f ca="1">MAX(MAX(C57:C61),MAX(D57:D61))</f>
        <v>16.622298104424942</v>
      </c>
      <c r="U59">
        <f ca="1">T59</f>
        <v>16.622298104424942</v>
      </c>
    </row>
    <row r="60" spans="1:21" x14ac:dyDescent="0.25">
      <c r="A60" s="9">
        <f ca="1">D6-$D$49</f>
        <v>-10</v>
      </c>
      <c r="B60" s="10">
        <f t="shared" ca="1" si="7"/>
        <v>15</v>
      </c>
      <c r="C60" s="7">
        <f t="shared" ca="1" si="8"/>
        <v>-16.622298104424942</v>
      </c>
      <c r="D60" s="7">
        <f t="shared" ca="1" si="9"/>
        <v>-6.9784816204981892</v>
      </c>
      <c r="T60">
        <f ca="1">-1*T59</f>
        <v>-16.622298104424942</v>
      </c>
      <c r="U60">
        <f ca="1">-1*U59</f>
        <v>-16.622298104424942</v>
      </c>
    </row>
    <row r="61" spans="1:21" x14ac:dyDescent="0.25">
      <c r="A61" s="9">
        <f ca="1">D7-$D$49</f>
        <v>-10</v>
      </c>
      <c r="B61" s="10">
        <f t="shared" ca="1" si="7"/>
        <v>-15</v>
      </c>
      <c r="C61" s="7">
        <f t="shared" ca="1" si="8"/>
        <v>12.834866920623305</v>
      </c>
      <c r="D61" s="7">
        <f t="shared" ca="1" si="9"/>
        <v>-12.659628396200642</v>
      </c>
    </row>
    <row r="62" spans="1:21" x14ac:dyDescent="0.25">
      <c r="A62" s="9"/>
    </row>
    <row r="63" spans="1:21" x14ac:dyDescent="0.25">
      <c r="A63" s="33" t="s">
        <v>24</v>
      </c>
      <c r="F63" s="1" t="s">
        <v>37</v>
      </c>
      <c r="G63" s="1" t="s">
        <v>38</v>
      </c>
    </row>
    <row r="64" spans="1:21" x14ac:dyDescent="0.25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</v>
      </c>
      <c r="F64" s="7">
        <f ca="1">D64*COS(RADIANS($B$53))+E64*SIN(RADIANS($B$53))</f>
        <v>9.6647311540438654</v>
      </c>
      <c r="G64" s="7">
        <f ca="1">-1*D64*SIN(RADIANS($B$53))+E64*COS(RADIANS($B$53))</f>
        <v>-7.9745201561005485</v>
      </c>
    </row>
    <row r="65" spans="1:7" x14ac:dyDescent="0.25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</v>
      </c>
      <c r="F65" s="7">
        <f t="shared" ref="F65:F75" ca="1" si="13">D65*COS(RADIANS($B$53))+E65*SIN(RADIANS($B$53))</f>
        <v>11.937189864324848</v>
      </c>
      <c r="G65" s="7">
        <f t="shared" ref="G65:G75" ca="1" si="14">-1*D65*SIN(RADIANS($B$53))+E65*COS(RADIANS($B$53))</f>
        <v>3.8083458539187491</v>
      </c>
    </row>
    <row r="66" spans="1:7" x14ac:dyDescent="0.25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11</v>
      </c>
      <c r="F66" s="7">
        <f t="shared" ca="1" si="13"/>
        <v>-9.6647311540438654</v>
      </c>
      <c r="G66" s="7">
        <f t="shared" ca="1" si="14"/>
        <v>7.9745201561005485</v>
      </c>
    </row>
    <row r="67" spans="1:7" x14ac:dyDescent="0.25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11</v>
      </c>
      <c r="F67" s="7">
        <f t="shared" ca="1" si="13"/>
        <v>-10.800960509184357</v>
      </c>
      <c r="G67" s="7">
        <f t="shared" ca="1" si="14"/>
        <v>2.0830871510908997</v>
      </c>
    </row>
    <row r="68" spans="1:7" x14ac:dyDescent="0.25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11</v>
      </c>
      <c r="F68" s="7">
        <f t="shared" ca="1" si="13"/>
        <v>-11.937189864324848</v>
      </c>
      <c r="G68" s="7">
        <f t="shared" ca="1" si="14"/>
        <v>-3.8083458539187491</v>
      </c>
    </row>
    <row r="69" spans="1:7" x14ac:dyDescent="0.25">
      <c r="A69" s="11">
        <f t="shared" si="10"/>
        <v>6</v>
      </c>
      <c r="B69" s="9">
        <f t="shared" si="10"/>
        <v>10</v>
      </c>
      <c r="C69" s="9">
        <f t="shared" ca="1" si="10"/>
        <v>1.27</v>
      </c>
      <c r="D69" s="9">
        <f t="shared" ca="1" si="11"/>
        <v>0</v>
      </c>
      <c r="E69" s="9">
        <f t="shared" ca="1" si="12"/>
        <v>-11</v>
      </c>
      <c r="F69" s="7">
        <f t="shared" ca="1" si="13"/>
        <v>10.800960509184357</v>
      </c>
      <c r="G69" s="7">
        <f t="shared" ca="1" si="14"/>
        <v>-2.0830871510908997</v>
      </c>
    </row>
    <row r="70" spans="1:7" x14ac:dyDescent="0.25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</v>
      </c>
      <c r="F70" s="7">
        <f t="shared" ca="1" si="13"/>
        <v>12.834866920623305</v>
      </c>
      <c r="G70" s="7">
        <f t="shared" ca="1" si="14"/>
        <v>-12.659628396200642</v>
      </c>
    </row>
    <row r="71" spans="1:7" x14ac:dyDescent="0.25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</v>
      </c>
      <c r="F71" s="7">
        <f t="shared" ca="1" si="13"/>
        <v>12.834866920623305</v>
      </c>
      <c r="G71" s="7">
        <f t="shared" ca="1" si="14"/>
        <v>-12.659628396200642</v>
      </c>
    </row>
    <row r="72" spans="1:7" x14ac:dyDescent="0.25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</v>
      </c>
      <c r="F72" s="7">
        <f t="shared" ca="1" si="13"/>
        <v>12.834866920623305</v>
      </c>
      <c r="G72" s="7">
        <f t="shared" ca="1" si="14"/>
        <v>-12.659628396200642</v>
      </c>
    </row>
    <row r="73" spans="1:7" x14ac:dyDescent="0.25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</v>
      </c>
      <c r="F73" s="7">
        <f t="shared" ca="1" si="13"/>
        <v>12.834866920623305</v>
      </c>
      <c r="G73" s="7">
        <f t="shared" ca="1" si="14"/>
        <v>-12.659628396200642</v>
      </c>
    </row>
    <row r="74" spans="1:7" x14ac:dyDescent="0.25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</v>
      </c>
      <c r="F74" s="7">
        <f t="shared" ca="1" si="13"/>
        <v>12.834866920623305</v>
      </c>
      <c r="G74" s="7">
        <f t="shared" ca="1" si="14"/>
        <v>-12.659628396200642</v>
      </c>
    </row>
    <row r="75" spans="1:7" x14ac:dyDescent="0.25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</v>
      </c>
      <c r="F75" s="7">
        <f t="shared" ca="1" si="13"/>
        <v>12.834866920623305</v>
      </c>
      <c r="G75" s="7">
        <f t="shared" ca="1" si="14"/>
        <v>-12.659628396200642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4">
        <v>6.5214687638961566</v>
      </c>
      <c r="C78" t="s">
        <v>6</v>
      </c>
      <c r="D78" s="7">
        <f ca="1">MIN(C57:C61)</f>
        <v>-16.622298104424942</v>
      </c>
      <c r="E78" s="7">
        <f ca="1">MAX(D57:D61)-B78</f>
        <v>6.1381596323044851</v>
      </c>
    </row>
    <row r="79" spans="1:7" x14ac:dyDescent="0.25">
      <c r="A79" s="2"/>
      <c r="D79" s="7">
        <f ca="1">MAX(C57:C61)</f>
        <v>16.622298104424942</v>
      </c>
      <c r="E79" s="7">
        <f ca="1">E78</f>
        <v>6.1381596323044851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5.2171750111169253</v>
      </c>
      <c r="C81" t="s">
        <v>6</v>
      </c>
      <c r="D81" t="s">
        <v>0</v>
      </c>
      <c r="E81" t="s">
        <v>1</v>
      </c>
    </row>
    <row r="82" spans="1:12" x14ac:dyDescent="0.25">
      <c r="D82" s="7">
        <f ca="1">MIN(C57:C61)</f>
        <v>-16.622298104424942</v>
      </c>
      <c r="E82" s="7">
        <f ca="1">MAX(D57:D61)-B81</f>
        <v>7.4424533850837165</v>
      </c>
    </row>
    <row r="83" spans="1:12" x14ac:dyDescent="0.25">
      <c r="D83" s="7">
        <f ca="1">MAX(C57:C61)</f>
        <v>16.622298104424942</v>
      </c>
      <c r="E83" s="7">
        <f ca="1">E82</f>
        <v>7.4424533850837165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7">
        <f t="shared" ref="B88:C91" ca="1" si="15">C57</f>
        <v>12.834866920623305</v>
      </c>
      <c r="C88" s="7">
        <f t="shared" ca="1" si="15"/>
        <v>-12.659628396200642</v>
      </c>
      <c r="D88" s="7">
        <f t="shared" ref="D88:E91" ca="1" si="16">C58</f>
        <v>16.622298104424942</v>
      </c>
      <c r="E88" s="7">
        <f t="shared" ca="1" si="16"/>
        <v>6.9784816204981892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5.1850737514884866</v>
      </c>
      <c r="H88" s="7" t="e">
        <f ca="1">IF(OR(F88=1,F88=2),IF(G88="V",B88,(E$82-C88+(G88*B88))/G88),NA())</f>
        <v>#N/A</v>
      </c>
      <c r="I88" s="7" t="e">
        <f ca="1">IF(OR(F88=1,F88=2),E$82,NA())</f>
        <v>#N/A</v>
      </c>
      <c r="J88" s="8">
        <f ca="1">IF(F88=0,0,IF(F88=1,-0.5*B$85*(H88+D88)*(I88-E88),IF(F88=2,-0.5*B$85*(B88+H88)*(C88-I88),IF(F88=3,-0.5*B$85*(B88+D88)*(C88-E88),0))))</f>
        <v>0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8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7">
        <f t="shared" ca="1" si="15"/>
        <v>16.622298104424942</v>
      </c>
      <c r="C89" s="7">
        <f t="shared" ca="1" si="15"/>
        <v>6.9784816204981892</v>
      </c>
      <c r="D89" s="7">
        <f t="shared" ca="1" si="16"/>
        <v>-12.834866920623305</v>
      </c>
      <c r="E89" s="7">
        <f t="shared" ca="1" si="16"/>
        <v>12.659628396200642</v>
      </c>
      <c r="F89" s="1">
        <f t="shared" ref="F89:F91" ca="1" si="17">IF(AND(E89&gt;=E$82,C89&lt;=E$82),1,IF(AND(C89&gt;=E$82,E89&gt;=E$82),3,IF(AND(E89&lt;=E$82,C89&gt;=E$82),2,0)))</f>
        <v>1</v>
      </c>
      <c r="G89" s="1">
        <f t="shared" ref="G89:G91" ca="1" si="18">IF(E89=C89,"H",IF(B89=D89,"V",(E89-C89)/(D89-B89)))</f>
        <v>-0.19286128759748655</v>
      </c>
      <c r="H89" s="7">
        <f t="shared" ref="H89:H91" ca="1" si="19">IF(OR(F89=1,F89=2),IF(G89="V",B89,(E$82-C89+(G89*B89))/G89),NA())</f>
        <v>14.216570286440728</v>
      </c>
      <c r="I89" s="7">
        <f t="shared" ref="I89:I91" ca="1" si="20">IF(OR(F89=1,F89=2),E$82,NA())</f>
        <v>7.4424533850837165</v>
      </c>
      <c r="J89" s="8">
        <f t="shared" ref="J89:J91" ca="1" si="21">IF(F89=0,0,IF(F89=1,-0.5*B$85*(H89+D89)*(I89-E89),IF(F89=2,-0.5*B$85*(B89+H89)*(C89-I89),IF(F89=3,-0.5*B$85*(B89+D89)*(C89-E89),0))))</f>
        <v>15.31825007995246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-106.81237402898007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681.36461335461001</v>
      </c>
    </row>
    <row r="90" spans="1:12" x14ac:dyDescent="0.25">
      <c r="A90">
        <v>3</v>
      </c>
      <c r="B90" s="7">
        <f t="shared" ca="1" si="15"/>
        <v>-12.834866920623305</v>
      </c>
      <c r="C90" s="7">
        <f t="shared" ca="1" si="15"/>
        <v>12.659628396200642</v>
      </c>
      <c r="D90" s="7">
        <f t="shared" ca="1" si="16"/>
        <v>-16.622298104424942</v>
      </c>
      <c r="E90" s="7">
        <f t="shared" ca="1" si="16"/>
        <v>-6.9784816204981892</v>
      </c>
      <c r="F90" s="1">
        <f t="shared" ca="1" si="17"/>
        <v>2</v>
      </c>
      <c r="G90" s="1">
        <f t="shared" ca="1" si="18"/>
        <v>5.1850737514884866</v>
      </c>
      <c r="H90" s="7">
        <f t="shared" ca="1" si="19"/>
        <v>-13.841058010888748</v>
      </c>
      <c r="I90" s="7">
        <f t="shared" ca="1" si="20"/>
        <v>7.4424533850837165</v>
      </c>
      <c r="J90" s="8">
        <f t="shared" ca="1" si="21"/>
        <v>295.74255902112077</v>
      </c>
      <c r="K90" s="8">
        <f t="shared" ca="1" si="22"/>
        <v>2962.8208390834525</v>
      </c>
      <c r="L90" s="8">
        <f t="shared" ca="1" si="23"/>
        <v>-1973.2369256123104</v>
      </c>
    </row>
    <row r="91" spans="1:12" ht="15.75" thickBot="1" x14ac:dyDescent="0.3">
      <c r="A91">
        <v>4</v>
      </c>
      <c r="B91" s="7">
        <f t="shared" ca="1" si="15"/>
        <v>-16.622298104424942</v>
      </c>
      <c r="C91" s="7">
        <f t="shared" ca="1" si="15"/>
        <v>-6.9784816204981892</v>
      </c>
      <c r="D91" s="7">
        <f t="shared" ca="1" si="16"/>
        <v>12.834866920623305</v>
      </c>
      <c r="E91" s="7">
        <f t="shared" ca="1" si="16"/>
        <v>-12.659628396200642</v>
      </c>
      <c r="F91" s="1">
        <f t="shared" ca="1" si="17"/>
        <v>0</v>
      </c>
      <c r="G91" s="1">
        <f t="shared" ca="1" si="18"/>
        <v>-0.19286128759748655</v>
      </c>
      <c r="H91" s="7" t="e">
        <f t="shared" ca="1" si="19"/>
        <v>#N/A</v>
      </c>
      <c r="I91" s="7" t="e">
        <f t="shared" ca="1" si="20"/>
        <v>#N/A</v>
      </c>
      <c r="J91" s="29">
        <f t="shared" ca="1" si="21"/>
        <v>0</v>
      </c>
      <c r="K91" s="29">
        <f t="shared" ca="1" si="22"/>
        <v>0</v>
      </c>
      <c r="L91" s="29">
        <f t="shared" ca="1" si="23"/>
        <v>0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8">
        <f ca="1">SUM(J88:J91)</f>
        <v>311.06080910107323</v>
      </c>
      <c r="K92" s="8">
        <f ca="1">SUM(K88:K91)</f>
        <v>2856.0084650544723</v>
      </c>
      <c r="L92" s="8">
        <f t="shared" ref="L92" ca="1" si="24">SUM(L88:L91)</f>
        <v>-1291.8723122577003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5">F63</f>
        <v>x'</v>
      </c>
      <c r="D97" t="str">
        <f t="shared" ref="D97:D109" si="26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11">
        <f>A64</f>
        <v>1</v>
      </c>
      <c r="B98" s="10">
        <f ca="1">C13</f>
        <v>1.27</v>
      </c>
      <c r="C98">
        <f t="shared" ca="1" si="25"/>
        <v>9.6647311540438654</v>
      </c>
      <c r="D98">
        <f t="shared" ca="1" si="26"/>
        <v>-7.9745201561005485</v>
      </c>
      <c r="E98" s="10">
        <f ca="1">G$58-D98</f>
        <v>20.634148552301191</v>
      </c>
      <c r="F98" s="14">
        <f ca="1">IF(B98=0,0,((B$78-E98)/B$78)*B$96)</f>
        <v>-6.4921018405554492E-3</v>
      </c>
      <c r="G98" s="7">
        <f ca="1">IF(AND(F98&gt;0,E98&lt;=B$81),MIN((F98*B$11),B$10)-B$85,MAX(F98*B$11,-1*B$10))</f>
        <v>-60</v>
      </c>
      <c r="H98" s="7">
        <f ca="1">G98*B98</f>
        <v>-76.2</v>
      </c>
      <c r="I98" s="7">
        <f ca="1">H98*D98</f>
        <v>607.65843589486178</v>
      </c>
      <c r="J98" s="7">
        <f ca="1">H98*C98</f>
        <v>-736.4525139381426</v>
      </c>
    </row>
    <row r="99" spans="1:10" x14ac:dyDescent="0.25">
      <c r="A99" s="11">
        <f t="shared" ref="A99:A108" si="27">A65</f>
        <v>2</v>
      </c>
      <c r="B99" s="10">
        <f t="shared" ref="B99:B109" ca="1" si="28">C14</f>
        <v>1.27</v>
      </c>
      <c r="C99">
        <f t="shared" ca="1" si="25"/>
        <v>11.937189864324848</v>
      </c>
      <c r="D99">
        <f t="shared" ca="1" si="26"/>
        <v>3.8083458539187491</v>
      </c>
      <c r="E99" s="10">
        <f t="shared" ref="E99:E109" ca="1" si="29">G$58-D99</f>
        <v>8.8512825422818935</v>
      </c>
      <c r="F99" s="14">
        <f t="shared" ref="F99:F109" ca="1" si="30">IF(B99=0,0,((B$78-E99)/B$78)*B$96)</f>
        <v>-1.0717587691060979E-3</v>
      </c>
      <c r="G99" s="7">
        <f t="shared" ref="G99:G109" ca="1" si="31">IF(AND(F99&gt;0,E99&lt;=B$81),MIN((F99*B$11),B$10)-B$85,MAX(F99*B$11,-1*B$10))</f>
        <v>-31.081004304076842</v>
      </c>
      <c r="H99" s="7">
        <f t="shared" ref="H99:H109" ca="1" si="32">G99*B99</f>
        <v>-39.472875466177591</v>
      </c>
      <c r="I99" s="7">
        <f t="shared" ref="I99:I109" ca="1" si="33">H99*D99</f>
        <v>-150.32636162386854</v>
      </c>
      <c r="J99" s="7">
        <f t="shared" ref="J99:J109" ca="1" si="34">H99*C99</f>
        <v>-471.19520893061213</v>
      </c>
    </row>
    <row r="100" spans="1:10" x14ac:dyDescent="0.25">
      <c r="A100" s="11">
        <f t="shared" si="27"/>
        <v>3</v>
      </c>
      <c r="B100" s="10">
        <f t="shared" ca="1" si="28"/>
        <v>1.27</v>
      </c>
      <c r="C100">
        <f t="shared" ca="1" si="25"/>
        <v>-9.6647311540438654</v>
      </c>
      <c r="D100">
        <f t="shared" ca="1" si="26"/>
        <v>7.9745201561005485</v>
      </c>
      <c r="E100" s="10">
        <f t="shared" ca="1" si="29"/>
        <v>4.6851082401000932</v>
      </c>
      <c r="F100" s="14">
        <f t="shared" ca="1" si="30"/>
        <v>8.4476086152360415E-4</v>
      </c>
      <c r="G100" s="7">
        <f t="shared" ca="1" si="31"/>
        <v>20.24806498418452</v>
      </c>
      <c r="H100" s="7">
        <f t="shared" ca="1" si="32"/>
        <v>25.715042529914342</v>
      </c>
      <c r="I100" s="7">
        <f t="shared" ca="1" si="33"/>
        <v>205.06512496978476</v>
      </c>
      <c r="J100" s="7">
        <f t="shared" ca="1" si="34"/>
        <v>-248.52897266642611</v>
      </c>
    </row>
    <row r="101" spans="1:10" x14ac:dyDescent="0.25">
      <c r="A101" s="11">
        <f t="shared" si="27"/>
        <v>4</v>
      </c>
      <c r="B101" s="10">
        <f t="shared" ca="1" si="28"/>
        <v>1.27</v>
      </c>
      <c r="C101">
        <f t="shared" ca="1" si="25"/>
        <v>-10.800960509184357</v>
      </c>
      <c r="D101">
        <f t="shared" ca="1" si="26"/>
        <v>2.0830871510908997</v>
      </c>
      <c r="E101" s="10">
        <f t="shared" ca="1" si="29"/>
        <v>10.576541245109741</v>
      </c>
      <c r="F101" s="14">
        <f t="shared" ca="1" si="30"/>
        <v>-1.8654106742010707E-3</v>
      </c>
      <c r="G101" s="7">
        <f t="shared" ca="1" si="31"/>
        <v>-54.096909551831047</v>
      </c>
      <c r="H101" s="7">
        <f t="shared" ca="1" si="32"/>
        <v>-68.703075130825425</v>
      </c>
      <c r="I101" s="7">
        <f t="shared" ca="1" si="33"/>
        <v>-143.11449304545516</v>
      </c>
      <c r="J101" s="7">
        <f t="shared" ca="1" si="34"/>
        <v>742.05920134757127</v>
      </c>
    </row>
    <row r="102" spans="1:10" x14ac:dyDescent="0.25">
      <c r="A102" s="11">
        <f t="shared" si="27"/>
        <v>5</v>
      </c>
      <c r="B102" s="10">
        <f t="shared" ca="1" si="28"/>
        <v>1.27</v>
      </c>
      <c r="C102">
        <f t="shared" ca="1" si="25"/>
        <v>-11.937189864324848</v>
      </c>
      <c r="D102">
        <f t="shared" ca="1" si="26"/>
        <v>-3.8083458539187491</v>
      </c>
      <c r="E102" s="10">
        <f t="shared" ca="1" si="29"/>
        <v>16.46797425011939</v>
      </c>
      <c r="F102" s="14">
        <f t="shared" ca="1" si="30"/>
        <v>-4.5755822099257468E-3</v>
      </c>
      <c r="G102" s="7">
        <f t="shared" ca="1" si="31"/>
        <v>-60</v>
      </c>
      <c r="H102" s="7">
        <f t="shared" ca="1" si="32"/>
        <v>-76.2</v>
      </c>
      <c r="I102" s="7">
        <f t="shared" ca="1" si="33"/>
        <v>290.19595406860867</v>
      </c>
      <c r="J102" s="7">
        <f t="shared" ca="1" si="34"/>
        <v>909.61386766155351</v>
      </c>
    </row>
    <row r="103" spans="1:10" x14ac:dyDescent="0.25">
      <c r="A103" s="11">
        <f t="shared" si="27"/>
        <v>6</v>
      </c>
      <c r="B103" s="10">
        <f t="shared" ca="1" si="28"/>
        <v>1.27</v>
      </c>
      <c r="C103">
        <f t="shared" ca="1" si="25"/>
        <v>10.800960509184357</v>
      </c>
      <c r="D103">
        <f t="shared" ca="1" si="26"/>
        <v>-2.0830871510908997</v>
      </c>
      <c r="E103" s="10">
        <f t="shared" ca="1" si="29"/>
        <v>14.742715547291542</v>
      </c>
      <c r="F103" s="14">
        <f t="shared" ca="1" si="30"/>
        <v>-3.7819303048307732E-3</v>
      </c>
      <c r="G103" s="7">
        <f t="shared" ca="1" si="31"/>
        <v>-60</v>
      </c>
      <c r="H103" s="7">
        <f t="shared" ca="1" si="32"/>
        <v>-76.2</v>
      </c>
      <c r="I103" s="7">
        <f t="shared" ca="1" si="33"/>
        <v>158.73124091312656</v>
      </c>
      <c r="J103" s="7">
        <f t="shared" ca="1" si="34"/>
        <v>-823.03319079984806</v>
      </c>
    </row>
    <row r="104" spans="1:10" x14ac:dyDescent="0.25">
      <c r="A104" s="11">
        <f t="shared" si="27"/>
        <v>7</v>
      </c>
      <c r="B104" s="10">
        <f t="shared" ca="1" si="28"/>
        <v>0</v>
      </c>
      <c r="C104">
        <f t="shared" ca="1" si="25"/>
        <v>12.834866920623305</v>
      </c>
      <c r="D104">
        <f t="shared" ca="1" si="26"/>
        <v>-12.659628396200642</v>
      </c>
      <c r="E104" s="10">
        <f t="shared" ca="1" si="29"/>
        <v>25.319256792401283</v>
      </c>
      <c r="F104" s="14">
        <f t="shared" ca="1" si="30"/>
        <v>0</v>
      </c>
      <c r="G104" s="7">
        <f t="shared" ca="1" si="31"/>
        <v>0</v>
      </c>
      <c r="H104" s="7">
        <f t="shared" ca="1" si="32"/>
        <v>0</v>
      </c>
      <c r="I104" s="7">
        <f t="shared" ca="1" si="33"/>
        <v>0</v>
      </c>
      <c r="J104" s="7">
        <f t="shared" ca="1" si="34"/>
        <v>0</v>
      </c>
    </row>
    <row r="105" spans="1:10" x14ac:dyDescent="0.25">
      <c r="A105" s="11">
        <f t="shared" si="27"/>
        <v>8</v>
      </c>
      <c r="B105" s="10">
        <f t="shared" ca="1" si="28"/>
        <v>0</v>
      </c>
      <c r="C105">
        <f t="shared" ca="1" si="25"/>
        <v>12.834866920623305</v>
      </c>
      <c r="D105">
        <f t="shared" ca="1" si="26"/>
        <v>-12.659628396200642</v>
      </c>
      <c r="E105" s="10">
        <f t="shared" ca="1" si="29"/>
        <v>25.319256792401283</v>
      </c>
      <c r="F105" s="14">
        <f t="shared" ca="1" si="30"/>
        <v>0</v>
      </c>
      <c r="G105" s="7">
        <f t="shared" ca="1" si="31"/>
        <v>0</v>
      </c>
      <c r="H105" s="7">
        <f t="shared" ca="1" si="32"/>
        <v>0</v>
      </c>
      <c r="I105" s="7">
        <f t="shared" ca="1" si="33"/>
        <v>0</v>
      </c>
      <c r="J105" s="7">
        <f t="shared" ca="1" si="34"/>
        <v>0</v>
      </c>
    </row>
    <row r="106" spans="1:10" x14ac:dyDescent="0.25">
      <c r="A106" s="11">
        <f t="shared" si="27"/>
        <v>9</v>
      </c>
      <c r="B106" s="10">
        <f t="shared" ca="1" si="28"/>
        <v>0</v>
      </c>
      <c r="C106">
        <f t="shared" ca="1" si="25"/>
        <v>12.834866920623305</v>
      </c>
      <c r="D106">
        <f t="shared" ca="1" si="26"/>
        <v>-12.659628396200642</v>
      </c>
      <c r="E106" s="10">
        <f t="shared" ca="1" si="29"/>
        <v>25.319256792401283</v>
      </c>
      <c r="F106" s="14">
        <f t="shared" ca="1" si="30"/>
        <v>0</v>
      </c>
      <c r="G106" s="7">
        <f t="shared" ca="1" si="31"/>
        <v>0</v>
      </c>
      <c r="H106" s="7">
        <f t="shared" ca="1" si="32"/>
        <v>0</v>
      </c>
      <c r="I106" s="7">
        <f t="shared" ca="1" si="33"/>
        <v>0</v>
      </c>
      <c r="J106" s="7">
        <f t="shared" ca="1" si="34"/>
        <v>0</v>
      </c>
    </row>
    <row r="107" spans="1:10" x14ac:dyDescent="0.25">
      <c r="A107" s="11">
        <f t="shared" si="27"/>
        <v>10</v>
      </c>
      <c r="B107" s="10">
        <f t="shared" ca="1" si="28"/>
        <v>0</v>
      </c>
      <c r="C107">
        <f t="shared" ca="1" si="25"/>
        <v>12.834866920623305</v>
      </c>
      <c r="D107">
        <f t="shared" ca="1" si="26"/>
        <v>-12.659628396200642</v>
      </c>
      <c r="E107" s="10">
        <f t="shared" ca="1" si="29"/>
        <v>25.319256792401283</v>
      </c>
      <c r="F107" s="14">
        <f t="shared" ca="1" si="30"/>
        <v>0</v>
      </c>
      <c r="G107" s="7">
        <f t="shared" ca="1" si="31"/>
        <v>0</v>
      </c>
      <c r="H107" s="7">
        <f t="shared" ca="1" si="32"/>
        <v>0</v>
      </c>
      <c r="I107" s="7">
        <f t="shared" ca="1" si="33"/>
        <v>0</v>
      </c>
      <c r="J107" s="7">
        <f t="shared" ca="1" si="34"/>
        <v>0</v>
      </c>
    </row>
    <row r="108" spans="1:10" x14ac:dyDescent="0.25">
      <c r="A108" s="11">
        <f t="shared" si="27"/>
        <v>11</v>
      </c>
      <c r="B108" s="10">
        <f t="shared" ca="1" si="28"/>
        <v>0</v>
      </c>
      <c r="C108">
        <f t="shared" ca="1" si="25"/>
        <v>12.834866920623305</v>
      </c>
      <c r="D108">
        <f t="shared" ca="1" si="26"/>
        <v>-12.659628396200642</v>
      </c>
      <c r="E108" s="10">
        <f t="shared" ca="1" si="29"/>
        <v>25.319256792401283</v>
      </c>
      <c r="F108" s="14">
        <f t="shared" ca="1" si="30"/>
        <v>0</v>
      </c>
      <c r="G108" s="7">
        <f t="shared" ca="1" si="31"/>
        <v>0</v>
      </c>
      <c r="H108" s="7">
        <f t="shared" ca="1" si="32"/>
        <v>0</v>
      </c>
      <c r="I108" s="7">
        <f t="shared" ca="1" si="33"/>
        <v>0</v>
      </c>
      <c r="J108" s="7">
        <f t="shared" ca="1" si="34"/>
        <v>0</v>
      </c>
    </row>
    <row r="109" spans="1:10" ht="15.75" thickBot="1" x14ac:dyDescent="0.3">
      <c r="A109" s="11">
        <f>A75</f>
        <v>12</v>
      </c>
      <c r="B109" s="10">
        <f t="shared" ca="1" si="28"/>
        <v>0</v>
      </c>
      <c r="C109">
        <f t="shared" ca="1" si="25"/>
        <v>12.834866920623305</v>
      </c>
      <c r="D109">
        <f t="shared" ca="1" si="26"/>
        <v>-12.659628396200642</v>
      </c>
      <c r="E109" s="10">
        <f t="shared" ca="1" si="29"/>
        <v>25.319256792401283</v>
      </c>
      <c r="F109" s="28">
        <f t="shared" ca="1" si="30"/>
        <v>0</v>
      </c>
      <c r="G109" s="7">
        <f t="shared" ca="1" si="31"/>
        <v>0</v>
      </c>
      <c r="H109" s="27">
        <f t="shared" ca="1" si="32"/>
        <v>0</v>
      </c>
      <c r="I109" s="27">
        <f t="shared" ca="1" si="33"/>
        <v>0</v>
      </c>
      <c r="J109" s="27">
        <f t="shared" ca="1" si="34"/>
        <v>0</v>
      </c>
    </row>
    <row r="110" spans="1:10" ht="15.75" thickTop="1" x14ac:dyDescent="0.25">
      <c r="F110" s="14">
        <f ca="1">MIN(F98:F109)</f>
        <v>-6.4921018405554492E-3</v>
      </c>
      <c r="H110" s="7">
        <f ca="1">SUM(H98:H109)</f>
        <v>-311.06090806708869</v>
      </c>
      <c r="I110" s="7">
        <f ca="1">SUM(I98:I109)</f>
        <v>968.2099011770581</v>
      </c>
      <c r="J110" s="7">
        <f t="shared" ref="J110" ca="1" si="35">SUM(J98:J109)</f>
        <v>-627.53681732590417</v>
      </c>
    </row>
    <row r="113" spans="1:14" x14ac:dyDescent="0.25">
      <c r="A113" s="2" t="s">
        <v>67</v>
      </c>
      <c r="B113" s="37">
        <f ca="1">J92+H110</f>
        <v>-9.8966015457335743E-5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</row>
    <row r="114" spans="1:14" x14ac:dyDescent="0.25">
      <c r="A114" s="2" t="s">
        <v>69</v>
      </c>
      <c r="B114" s="7">
        <f ca="1">((K92+I110)*COS(RADIANS(B53)))+((L92+J110)*SIN(RADIANS(B53)))</f>
        <v>2608.8765773875602</v>
      </c>
      <c r="C114" t="s">
        <v>23</v>
      </c>
      <c r="D114" s="7">
        <f ca="1">(B113*(E49-H7))</f>
        <v>0</v>
      </c>
      <c r="E114" t="s">
        <v>23</v>
      </c>
      <c r="F114" s="7">
        <f ca="1">B114+D114</f>
        <v>2608.8765773875602</v>
      </c>
      <c r="G114" s="13" t="str">
        <f>"= Mnx,gc"</f>
        <v>= Mnx,gc</v>
      </c>
      <c r="H114" s="7">
        <f ca="1">F114/12</f>
        <v>217.40638144896334</v>
      </c>
      <c r="I114" t="s">
        <v>72</v>
      </c>
      <c r="J114" s="34">
        <f ca="1">H114*J113</f>
        <v>195.66574330406701</v>
      </c>
      <c r="K114" t="s">
        <v>72</v>
      </c>
    </row>
    <row r="115" spans="1:14" x14ac:dyDescent="0.25">
      <c r="A115" s="2" t="s">
        <v>70</v>
      </c>
      <c r="B115" s="7">
        <f ca="1">(-1*(K92+I110)*SIN(RADIANS(B53)))+((L92+J110)*COS(RADIANS(B53)))</f>
        <v>3391.5395506038276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3391.5395506038276</v>
      </c>
      <c r="G115" s="13" t="str">
        <f>"= Mny,gc"</f>
        <v>= Mny,gc</v>
      </c>
      <c r="H115" s="7">
        <f ca="1">F115/12</f>
        <v>282.6282958836523</v>
      </c>
      <c r="I115" t="s">
        <v>72</v>
      </c>
      <c r="J115" s="34">
        <f ca="1">H115*J113</f>
        <v>254.36546629528706</v>
      </c>
      <c r="K115" t="s">
        <v>72</v>
      </c>
      <c r="M115" t="s">
        <v>79</v>
      </c>
      <c r="N115" s="12">
        <f ca="1">IF(J115=0,90,DEGREES(ATAN2(J114,J115)))</f>
        <v>52.431407971172504</v>
      </c>
    </row>
    <row r="116" spans="1:14" x14ac:dyDescent="0.25">
      <c r="J116" s="36">
        <f ca="1">B113*J113</f>
        <v>-8.9069413911602174E-5</v>
      </c>
      <c r="K116" t="s">
        <v>20</v>
      </c>
    </row>
    <row r="117" spans="1:14" x14ac:dyDescent="0.25">
      <c r="A117" s="26" t="s">
        <v>74</v>
      </c>
      <c r="I117" t="s">
        <v>83</v>
      </c>
      <c r="J117" s="1">
        <f ca="1">0.65*((0.85*B2*B5*B6)+((B10-0.85*B2)*SUM(C13:C24)))</f>
        <v>1933.6297500000001</v>
      </c>
      <c r="K117" t="s">
        <v>20</v>
      </c>
    </row>
    <row r="118" spans="1:14" x14ac:dyDescent="0.25">
      <c r="A118" s="2" t="s">
        <v>75</v>
      </c>
      <c r="B118" s="4">
        <v>0</v>
      </c>
      <c r="C118" t="s">
        <v>20</v>
      </c>
      <c r="I118" t="s">
        <v>84</v>
      </c>
      <c r="J118" s="1">
        <f ca="1">-1*0.9*B10*SUM(C13:C24)</f>
        <v>-411.47999999999996</v>
      </c>
      <c r="K118" t="s">
        <v>20</v>
      </c>
    </row>
    <row r="119" spans="1:14" x14ac:dyDescent="0.25">
      <c r="A119" s="2" t="s">
        <v>76</v>
      </c>
      <c r="B119" s="4">
        <v>50</v>
      </c>
      <c r="C119" t="s">
        <v>72</v>
      </c>
      <c r="G119" s="2" t="s">
        <v>80</v>
      </c>
      <c r="H119" s="35">
        <v>50</v>
      </c>
    </row>
    <row r="120" spans="1:14" x14ac:dyDescent="0.25">
      <c r="A120" s="2" t="s">
        <v>77</v>
      </c>
      <c r="B120" s="4">
        <v>65</v>
      </c>
      <c r="C120" t="s">
        <v>72</v>
      </c>
      <c r="G120" s="2" t="s">
        <v>81</v>
      </c>
      <c r="H120" s="1">
        <v>18</v>
      </c>
    </row>
    <row r="121" spans="1:14" x14ac:dyDescent="0.25">
      <c r="A121" s="2" t="s">
        <v>78</v>
      </c>
      <c r="B121" s="15">
        <f>IF(B120=0,90,DEGREES(ATAN2(B119,B120)))</f>
        <v>52.431407971172511</v>
      </c>
    </row>
    <row r="123" spans="1:14" x14ac:dyDescent="0.25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 x14ac:dyDescent="0.25">
      <c r="A124" s="19"/>
      <c r="B124" s="18"/>
      <c r="C124" s="18"/>
      <c r="D124" s="18"/>
      <c r="E124" s="18"/>
      <c r="F124" s="18"/>
      <c r="G124" s="18"/>
      <c r="H124" s="20">
        <v>0</v>
      </c>
      <c r="I124" s="38">
        <v>0</v>
      </c>
      <c r="J124" s="18"/>
      <c r="K124" s="18"/>
      <c r="L124" s="16"/>
      <c r="M124" s="18"/>
      <c r="N124" s="18"/>
    </row>
    <row r="125" spans="1:14" x14ac:dyDescent="0.25">
      <c r="A125" s="19"/>
      <c r="B125" s="25"/>
      <c r="C125" s="18"/>
      <c r="D125" s="19"/>
      <c r="E125" s="20"/>
      <c r="F125" s="20"/>
      <c r="G125" s="19"/>
      <c r="H125" s="25">
        <f ca="1">J114</f>
        <v>195.66574330406701</v>
      </c>
      <c r="I125" s="5">
        <f ca="1">J115</f>
        <v>254.36546629528706</v>
      </c>
      <c r="J125" s="19"/>
      <c r="K125" s="20"/>
      <c r="L125" s="16"/>
      <c r="M125" s="19"/>
      <c r="N125" s="20"/>
    </row>
    <row r="126" spans="1:14" x14ac:dyDescent="0.25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 x14ac:dyDescent="0.25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 x14ac:dyDescent="0.25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 x14ac:dyDescent="0.25">
      <c r="A129" s="18">
        <v>0</v>
      </c>
      <c r="B129" s="20">
        <v>424.86643826493577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 x14ac:dyDescent="0.25">
      <c r="A130" s="19">
        <v>-1</v>
      </c>
      <c r="B130" s="20">
        <v>424.66591616018576</v>
      </c>
      <c r="C130" s="18">
        <v>6.372823422745916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 x14ac:dyDescent="0.25">
      <c r="A131" s="19">
        <v>-2</v>
      </c>
      <c r="B131" s="20">
        <v>424.40333803729737</v>
      </c>
      <c r="C131" s="18">
        <v>12.505435038836923</v>
      </c>
      <c r="D131" s="18"/>
      <c r="E131" s="18"/>
      <c r="F131" s="18"/>
      <c r="G131" s="18"/>
      <c r="H131" s="18"/>
      <c r="I131" s="18"/>
    </row>
    <row r="132" spans="1:14" x14ac:dyDescent="0.25">
      <c r="A132" s="18">
        <v>-3</v>
      </c>
      <c r="B132" s="18">
        <v>424.07848517197851</v>
      </c>
      <c r="C132" s="18">
        <v>18.430978538349827</v>
      </c>
      <c r="D132" s="18"/>
      <c r="E132" s="18"/>
      <c r="F132" s="18"/>
      <c r="G132" s="18"/>
      <c r="H132" s="18"/>
      <c r="I132" s="18"/>
    </row>
    <row r="133" spans="1:14" x14ac:dyDescent="0.25">
      <c r="A133" s="18">
        <v>-4</v>
      </c>
      <c r="B133" s="18">
        <v>423.6909679066884</v>
      </c>
      <c r="C133" s="18">
        <v>24.17770368050213</v>
      </c>
      <c r="D133" s="18"/>
      <c r="E133" s="18"/>
      <c r="F133" s="18"/>
      <c r="G133" s="18"/>
      <c r="H133" s="18"/>
      <c r="I133" s="18"/>
    </row>
    <row r="134" spans="1:14" x14ac:dyDescent="0.25">
      <c r="A134" s="19">
        <v>-5</v>
      </c>
      <c r="B134" s="20">
        <v>423.24021586875875</v>
      </c>
      <c r="C134" s="21">
        <v>29.769897256543825</v>
      </c>
      <c r="D134" s="21"/>
      <c r="E134" s="18"/>
      <c r="F134" s="18"/>
      <c r="G134" s="18"/>
      <c r="H134" s="18"/>
      <c r="I134" s="18"/>
    </row>
    <row r="135" spans="1:14" x14ac:dyDescent="0.25">
      <c r="A135" s="19">
        <v>-6</v>
      </c>
      <c r="B135" s="20">
        <v>422.7254786385904</v>
      </c>
      <c r="C135" s="21">
        <v>35.228613495446091</v>
      </c>
      <c r="D135" s="21"/>
      <c r="E135" s="18"/>
      <c r="F135" s="18"/>
      <c r="G135" s="18"/>
      <c r="H135" s="18"/>
      <c r="I135" s="18"/>
    </row>
    <row r="136" spans="1:14" x14ac:dyDescent="0.25">
      <c r="A136" s="18">
        <v>-7</v>
      </c>
      <c r="B136" s="18">
        <v>422.14582495773681</v>
      </c>
      <c r="C136" s="18">
        <v>40.572252790677233</v>
      </c>
      <c r="D136" s="18"/>
      <c r="E136" s="18"/>
      <c r="F136" s="18"/>
      <c r="G136" s="18"/>
      <c r="H136" s="18"/>
      <c r="I136" s="18"/>
    </row>
    <row r="137" spans="1:14" x14ac:dyDescent="0.25">
      <c r="A137" s="18">
        <v>-8</v>
      </c>
      <c r="B137" s="20">
        <v>421.50014053455754</v>
      </c>
      <c r="C137" s="18">
        <v>45.817024508488927</v>
      </c>
      <c r="D137" s="18"/>
      <c r="E137" s="18"/>
      <c r="F137" s="18"/>
      <c r="G137" s="18"/>
      <c r="H137" s="18"/>
      <c r="I137" s="18"/>
    </row>
    <row r="138" spans="1:14" x14ac:dyDescent="0.25">
      <c r="A138" s="19">
        <v>-9</v>
      </c>
      <c r="B138" s="20">
        <v>420.78712448178101</v>
      </c>
      <c r="C138" s="18">
        <v>50.977320353885879</v>
      </c>
      <c r="D138" s="18"/>
      <c r="E138" s="18"/>
      <c r="F138" s="18"/>
      <c r="G138" s="18"/>
      <c r="H138" s="18"/>
      <c r="I138" s="18"/>
    </row>
    <row r="139" spans="1:14" x14ac:dyDescent="0.25">
      <c r="A139" s="19">
        <v>-10</v>
      </c>
      <c r="B139" s="18">
        <v>420.0052843988334</v>
      </c>
      <c r="C139" s="18">
        <v>56.066018114548832</v>
      </c>
      <c r="D139" s="18"/>
      <c r="E139" s="18"/>
      <c r="F139" s="18"/>
      <c r="G139" s="18"/>
      <c r="H139" s="18"/>
      <c r="I139" s="18"/>
    </row>
    <row r="140" spans="1:14" x14ac:dyDescent="0.25">
      <c r="A140" s="18">
        <v>-11</v>
      </c>
      <c r="B140" s="18">
        <v>419.1529300916107</v>
      </c>
      <c r="C140" s="18">
        <v>61.094730774332547</v>
      </c>
      <c r="D140" s="18"/>
      <c r="E140" s="18"/>
      <c r="F140" s="18"/>
      <c r="G140" s="18"/>
      <c r="H140" s="18"/>
      <c r="I140" s="18"/>
    </row>
    <row r="141" spans="1:14" x14ac:dyDescent="0.25">
      <c r="A141" s="18">
        <v>-12</v>
      </c>
      <c r="B141" s="18">
        <v>418.50951013425203</v>
      </c>
      <c r="C141" s="18">
        <v>63.494727637106749</v>
      </c>
      <c r="D141" s="18"/>
      <c r="E141" s="18"/>
      <c r="F141" s="18"/>
      <c r="G141" s="18"/>
      <c r="H141" s="18"/>
      <c r="I141" s="18"/>
    </row>
    <row r="142" spans="1:14" x14ac:dyDescent="0.25">
      <c r="A142" s="19">
        <v>-13</v>
      </c>
      <c r="B142" s="18">
        <v>417.51872685518521</v>
      </c>
      <c r="C142" s="18">
        <v>68.429346626186671</v>
      </c>
      <c r="D142" s="18"/>
      <c r="E142" s="18"/>
      <c r="F142" s="18"/>
      <c r="G142" s="18"/>
      <c r="H142" s="18"/>
      <c r="I142" s="18"/>
    </row>
    <row r="143" spans="1:14" x14ac:dyDescent="0.25">
      <c r="A143" s="19">
        <v>-14</v>
      </c>
      <c r="B143" s="18">
        <v>416.45095686323884</v>
      </c>
      <c r="C143" s="18">
        <v>73.333763111846096</v>
      </c>
      <c r="D143" s="18"/>
      <c r="E143" s="18"/>
      <c r="F143" s="18"/>
      <c r="G143" s="18"/>
      <c r="H143" s="18"/>
      <c r="I143" s="18"/>
    </row>
    <row r="144" spans="1:14" x14ac:dyDescent="0.25">
      <c r="A144" s="18">
        <v>-15</v>
      </c>
      <c r="B144" s="18">
        <v>415.30334060482915</v>
      </c>
      <c r="C144" s="18">
        <v>78.216225060938214</v>
      </c>
      <c r="D144" s="22"/>
      <c r="E144" s="18"/>
      <c r="F144" s="18"/>
      <c r="G144" s="18"/>
      <c r="H144" s="19"/>
      <c r="I144" s="23"/>
    </row>
    <row r="145" spans="1:9" x14ac:dyDescent="0.25">
      <c r="A145" s="18">
        <v>-16</v>
      </c>
      <c r="B145" s="18">
        <v>414.12549311843776</v>
      </c>
      <c r="C145" s="18">
        <v>82.936943422760294</v>
      </c>
      <c r="D145" s="24"/>
      <c r="E145" s="18"/>
      <c r="F145" s="18"/>
      <c r="G145" s="18"/>
      <c r="H145" s="19"/>
      <c r="I145" s="23"/>
    </row>
    <row r="146" spans="1:9" x14ac:dyDescent="0.25">
      <c r="A146" s="19">
        <v>-17</v>
      </c>
      <c r="B146" s="18">
        <v>413.00711976257037</v>
      </c>
      <c r="C146" s="18">
        <v>87.263069537260947</v>
      </c>
      <c r="D146" s="18"/>
      <c r="E146" s="18"/>
      <c r="F146" s="18"/>
      <c r="G146" s="18"/>
      <c r="H146" s="18"/>
      <c r="I146" s="18"/>
    </row>
    <row r="147" spans="1:9" x14ac:dyDescent="0.25">
      <c r="A147" s="19">
        <v>-18</v>
      </c>
      <c r="B147">
        <v>411.93945191547124</v>
      </c>
      <c r="C147">
        <v>91.258806234766638</v>
      </c>
    </row>
    <row r="148" spans="1:9" x14ac:dyDescent="0.25">
      <c r="A148" s="18">
        <v>-19</v>
      </c>
      <c r="B148">
        <v>410.91309175458133</v>
      </c>
      <c r="C148">
        <v>94.980190947676476</v>
      </c>
    </row>
    <row r="149" spans="1:9" x14ac:dyDescent="0.25">
      <c r="A149" s="18">
        <v>-20</v>
      </c>
      <c r="B149">
        <v>409.92022766943342</v>
      </c>
      <c r="C149">
        <v>98.471694032535467</v>
      </c>
    </row>
    <row r="150" spans="1:9" x14ac:dyDescent="0.25">
      <c r="A150" s="19">
        <v>-21</v>
      </c>
      <c r="B150">
        <v>408.95427838221809</v>
      </c>
      <c r="C150">
        <v>101.7690913955368</v>
      </c>
    </row>
    <row r="151" spans="1:9" x14ac:dyDescent="0.25">
      <c r="A151" s="19">
        <v>-22</v>
      </c>
      <c r="B151">
        <v>408.00962630803724</v>
      </c>
      <c r="C151">
        <v>104.90152792501391</v>
      </c>
    </row>
    <row r="152" spans="1:9" x14ac:dyDescent="0.25">
      <c r="A152" s="18">
        <v>-23</v>
      </c>
      <c r="B152">
        <v>407.08141455480586</v>
      </c>
      <c r="C152">
        <v>107.89302484454672</v>
      </c>
    </row>
    <row r="153" spans="1:9" x14ac:dyDescent="0.25">
      <c r="A153" s="18">
        <v>-24</v>
      </c>
      <c r="B153">
        <v>406.16539011985367</v>
      </c>
      <c r="C153">
        <v>110.76359781310843</v>
      </c>
    </row>
    <row r="154" spans="1:9" x14ac:dyDescent="0.25">
      <c r="A154" s="19">
        <v>-25</v>
      </c>
      <c r="B154">
        <v>405.25778108640884</v>
      </c>
      <c r="C154">
        <v>113.53009796848784</v>
      </c>
    </row>
    <row r="155" spans="1:9" x14ac:dyDescent="0.25">
      <c r="A155" s="19">
        <v>-26</v>
      </c>
      <c r="B155">
        <v>404.35519914648501</v>
      </c>
      <c r="C155">
        <v>116.20685276288579</v>
      </c>
    </row>
    <row r="156" spans="1:9" x14ac:dyDescent="0.25">
      <c r="A156" s="18">
        <v>-27</v>
      </c>
      <c r="B156">
        <v>403.45456118510253</v>
      </c>
      <c r="C156">
        <v>118.80616011428235</v>
      </c>
    </row>
    <row r="157" spans="1:9" x14ac:dyDescent="0.25">
      <c r="A157" s="18">
        <v>-28</v>
      </c>
      <c r="B157">
        <v>402.55302533339727</v>
      </c>
      <c r="C157">
        <v>121.33867372641669</v>
      </c>
    </row>
    <row r="158" spans="1:9" x14ac:dyDescent="0.25">
      <c r="A158" s="19">
        <v>-29</v>
      </c>
      <c r="B158">
        <v>401.64793807645003</v>
      </c>
      <c r="C158">
        <v>123.81370672774354</v>
      </c>
    </row>
    <row r="159" spans="1:9" x14ac:dyDescent="0.25">
      <c r="A159" s="19">
        <v>-30</v>
      </c>
      <c r="B159">
        <v>400.7367898423289</v>
      </c>
      <c r="C159">
        <v>126.23947335933511</v>
      </c>
    </row>
    <row r="160" spans="1:9" x14ac:dyDescent="0.25">
      <c r="A160" s="18">
        <v>-31</v>
      </c>
      <c r="B160">
        <v>399.81717710518518</v>
      </c>
      <c r="C160">
        <v>128.62328322495176</v>
      </c>
    </row>
    <row r="161" spans="1:3" x14ac:dyDescent="0.25">
      <c r="A161" s="18">
        <v>-32</v>
      </c>
      <c r="B161">
        <v>398.88619917232353</v>
      </c>
      <c r="C161">
        <v>130.97162701950379</v>
      </c>
    </row>
    <row r="162" spans="1:3" x14ac:dyDescent="0.25">
      <c r="A162" s="19">
        <v>-33</v>
      </c>
      <c r="B162">
        <v>397.94326622634185</v>
      </c>
      <c r="C162">
        <v>133.29066313751798</v>
      </c>
    </row>
    <row r="163" spans="1:3" x14ac:dyDescent="0.25">
      <c r="A163" s="19">
        <v>-34</v>
      </c>
      <c r="B163">
        <v>396.98489707019286</v>
      </c>
      <c r="C163">
        <v>135.58567787883979</v>
      </c>
    </row>
    <row r="164" spans="1:3" x14ac:dyDescent="0.25">
      <c r="A164" s="18">
        <v>-35</v>
      </c>
      <c r="B164">
        <v>396.00882352575559</v>
      </c>
      <c r="C164">
        <v>137.86168195563673</v>
      </c>
    </row>
    <row r="165" spans="1:3" x14ac:dyDescent="0.25">
      <c r="A165" s="18">
        <v>-36</v>
      </c>
      <c r="B165">
        <v>395.01158406933416</v>
      </c>
      <c r="C165">
        <v>140.12316571939914</v>
      </c>
    </row>
    <row r="166" spans="1:3" x14ac:dyDescent="0.25">
      <c r="A166" s="19">
        <v>-37</v>
      </c>
      <c r="B166">
        <v>393.99290433125856</v>
      </c>
      <c r="C166">
        <v>142.37481276807694</v>
      </c>
    </row>
    <row r="167" spans="1:3" x14ac:dyDescent="0.25">
      <c r="A167" s="19">
        <v>-38</v>
      </c>
      <c r="B167">
        <v>392.94950906901153</v>
      </c>
      <c r="C167">
        <v>144.62065614452374</v>
      </c>
    </row>
    <row r="168" spans="1:3" x14ac:dyDescent="0.25">
      <c r="A168" s="18">
        <v>-39</v>
      </c>
      <c r="B168">
        <v>391.87887346106805</v>
      </c>
      <c r="C168">
        <v>146.8646714670428</v>
      </c>
    </row>
    <row r="169" spans="1:3" x14ac:dyDescent="0.25">
      <c r="A169" s="18">
        <v>-40</v>
      </c>
      <c r="B169">
        <v>390.77835482955879</v>
      </c>
      <c r="C169">
        <v>149.11069833289156</v>
      </c>
    </row>
    <row r="170" spans="1:3" x14ac:dyDescent="0.25">
      <c r="A170" s="19">
        <v>-41</v>
      </c>
      <c r="B170">
        <v>389.64516903212251</v>
      </c>
      <c r="C170">
        <v>151.3624789488895</v>
      </c>
    </row>
    <row r="171" spans="1:3" x14ac:dyDescent="0.25">
      <c r="A171" s="19">
        <v>-42</v>
      </c>
      <c r="B171">
        <v>388.47636536398352</v>
      </c>
      <c r="C171">
        <v>153.62369349230011</v>
      </c>
    </row>
    <row r="172" spans="1:3" x14ac:dyDescent="0.25">
      <c r="A172" s="18">
        <v>-43</v>
      </c>
      <c r="B172">
        <v>387.2687994994161</v>
      </c>
      <c r="C172">
        <v>155.89799306052029</v>
      </c>
    </row>
    <row r="173" spans="1:3" x14ac:dyDescent="0.25">
      <c r="A173" s="18">
        <v>-44</v>
      </c>
      <c r="B173">
        <v>386.01910396110452</v>
      </c>
      <c r="C173">
        <v>158.18903095587899</v>
      </c>
    </row>
    <row r="174" spans="1:3" x14ac:dyDescent="0.25">
      <c r="A174" s="19">
        <v>-45</v>
      </c>
      <c r="B174">
        <v>384.723655548995</v>
      </c>
      <c r="C174">
        <v>160.50049297130167</v>
      </c>
    </row>
    <row r="175" spans="1:3" x14ac:dyDescent="0.25">
      <c r="A175" s="19">
        <v>-46</v>
      </c>
      <c r="B175">
        <v>383.37853908469782</v>
      </c>
      <c r="C175">
        <v>162.83612728842488</v>
      </c>
    </row>
    <row r="176" spans="1:3" x14ac:dyDescent="0.25">
      <c r="A176" s="18">
        <v>-47</v>
      </c>
      <c r="B176">
        <v>381.97950673036007</v>
      </c>
      <c r="C176">
        <v>165.19977456835656</v>
      </c>
    </row>
    <row r="177" spans="1:3" x14ac:dyDescent="0.25">
      <c r="A177" s="18">
        <v>-48</v>
      </c>
      <c r="B177">
        <v>380.5219320181111</v>
      </c>
      <c r="C177">
        <v>167.59539880443515</v>
      </c>
    </row>
    <row r="178" spans="1:3" x14ac:dyDescent="0.25">
      <c r="A178" s="19">
        <v>-49</v>
      </c>
      <c r="B178">
        <v>379.00155016415403</v>
      </c>
      <c r="C178">
        <v>170.0272933641659</v>
      </c>
    </row>
    <row r="179" spans="1:3" x14ac:dyDescent="0.25">
      <c r="A179" s="19">
        <v>-50</v>
      </c>
      <c r="B179">
        <v>377.41093645450508</v>
      </c>
      <c r="C179">
        <v>172.49935862440347</v>
      </c>
    </row>
    <row r="180" spans="1:3" x14ac:dyDescent="0.25">
      <c r="A180" s="18">
        <v>-51</v>
      </c>
      <c r="B180">
        <v>375.74503641818916</v>
      </c>
      <c r="C180">
        <v>175.01635472244348</v>
      </c>
    </row>
    <row r="181" spans="1:3" x14ac:dyDescent="0.25">
      <c r="A181" s="18">
        <v>-52</v>
      </c>
      <c r="B181">
        <v>373.99745693577114</v>
      </c>
      <c r="C181">
        <v>177.58316666757793</v>
      </c>
    </row>
    <row r="182" spans="1:3" x14ac:dyDescent="0.25">
      <c r="A182" s="19">
        <v>-53</v>
      </c>
      <c r="B182">
        <v>372.16073469376369</v>
      </c>
      <c r="C182">
        <v>180.20491638073136</v>
      </c>
    </row>
    <row r="183" spans="1:3" x14ac:dyDescent="0.25">
      <c r="A183" s="19">
        <v>-54</v>
      </c>
      <c r="B183">
        <v>370.2253634231422</v>
      </c>
      <c r="C183">
        <v>182.8867869183826</v>
      </c>
    </row>
    <row r="184" spans="1:3" x14ac:dyDescent="0.25">
      <c r="A184" s="18">
        <v>-55</v>
      </c>
      <c r="B184">
        <v>368.1834290572977</v>
      </c>
      <c r="C184">
        <v>185.63499948385902</v>
      </c>
    </row>
    <row r="185" spans="1:3" x14ac:dyDescent="0.25">
      <c r="A185" s="18">
        <v>-56</v>
      </c>
      <c r="B185">
        <v>366.02401946227758</v>
      </c>
      <c r="C185">
        <v>188.45579579893862</v>
      </c>
    </row>
    <row r="186" spans="1:3" x14ac:dyDescent="0.25">
      <c r="A186" s="19">
        <v>-57</v>
      </c>
      <c r="B186">
        <v>363.73544726157962</v>
      </c>
      <c r="C186">
        <v>191.35609340929454</v>
      </c>
    </row>
    <row r="187" spans="1:3" x14ac:dyDescent="0.25">
      <c r="A187" s="19">
        <v>-58</v>
      </c>
      <c r="B187">
        <v>361.30452411857607</v>
      </c>
      <c r="C187">
        <v>194.34344383784747</v>
      </c>
    </row>
    <row r="188" spans="1:3" x14ac:dyDescent="0.25">
      <c r="A188" s="18">
        <v>-59</v>
      </c>
      <c r="B188">
        <v>358.71630917847801</v>
      </c>
      <c r="C188">
        <v>197.42612923873591</v>
      </c>
    </row>
    <row r="189" spans="1:3" x14ac:dyDescent="0.25">
      <c r="A189" s="18">
        <v>-60</v>
      </c>
      <c r="B189">
        <v>355.95380581925929</v>
      </c>
      <c r="C189">
        <v>200.61327528494405</v>
      </c>
    </row>
    <row r="190" spans="1:3" x14ac:dyDescent="0.25">
      <c r="A190" s="19">
        <v>-61</v>
      </c>
      <c r="B190">
        <v>353.28974935747789</v>
      </c>
      <c r="C190">
        <v>202.77866928908963</v>
      </c>
    </row>
    <row r="191" spans="1:3" x14ac:dyDescent="0.25">
      <c r="A191" s="19">
        <v>-62</v>
      </c>
      <c r="B191">
        <v>350.56577664689195</v>
      </c>
      <c r="C191">
        <v>204.59398081024162</v>
      </c>
    </row>
    <row r="192" spans="1:3" x14ac:dyDescent="0.25">
      <c r="A192" s="18">
        <v>-63</v>
      </c>
      <c r="B192">
        <v>345.76803797490697</v>
      </c>
      <c r="C192">
        <v>206.57251327205381</v>
      </c>
    </row>
    <row r="193" spans="1:3" x14ac:dyDescent="0.25">
      <c r="A193" s="18">
        <v>-64</v>
      </c>
      <c r="B193">
        <v>339.61371737477856</v>
      </c>
      <c r="C193">
        <v>208.6668039783911</v>
      </c>
    </row>
    <row r="194" spans="1:3" x14ac:dyDescent="0.25">
      <c r="A194" s="19">
        <v>-65</v>
      </c>
      <c r="B194">
        <v>333.28165783031932</v>
      </c>
      <c r="C194">
        <v>210.8098769275156</v>
      </c>
    </row>
    <row r="195" spans="1:3" x14ac:dyDescent="0.25">
      <c r="A195" s="19">
        <v>-66</v>
      </c>
      <c r="B195">
        <v>326.74727190236052</v>
      </c>
      <c r="C195">
        <v>213.01023131182197</v>
      </c>
    </row>
    <row r="196" spans="1:3" x14ac:dyDescent="0.25">
      <c r="A196" s="18">
        <v>-67</v>
      </c>
      <c r="B196">
        <v>319.9818035701814</v>
      </c>
      <c r="C196">
        <v>215.27695405572911</v>
      </c>
    </row>
    <row r="197" spans="1:3" x14ac:dyDescent="0.25">
      <c r="A197" s="18">
        <v>-68</v>
      </c>
      <c r="B197">
        <v>312.95175741098723</v>
      </c>
      <c r="C197">
        <v>217.62032175034716</v>
      </c>
    </row>
    <row r="198" spans="1:3" x14ac:dyDescent="0.25">
      <c r="A198" s="19">
        <v>-69</v>
      </c>
      <c r="B198">
        <v>305.61774347868487</v>
      </c>
      <c r="C198">
        <v>220.05206194805581</v>
      </c>
    </row>
    <row r="199" spans="1:3" x14ac:dyDescent="0.25">
      <c r="A199" s="19">
        <v>-70</v>
      </c>
      <c r="B199">
        <v>297.93297117977761</v>
      </c>
      <c r="C199">
        <v>222.58568224295161</v>
      </c>
    </row>
    <row r="200" spans="1:3" x14ac:dyDescent="0.25">
      <c r="A200" s="18">
        <v>-71</v>
      </c>
      <c r="B200">
        <v>289.8412599829694</v>
      </c>
      <c r="C200">
        <v>225.23688968895405</v>
      </c>
    </row>
    <row r="201" spans="1:3" x14ac:dyDescent="0.25">
      <c r="A201" s="18">
        <v>-72</v>
      </c>
      <c r="B201">
        <v>281.2743748856924</v>
      </c>
      <c r="C201">
        <v>228.02413217213029</v>
      </c>
    </row>
    <row r="202" spans="1:3" x14ac:dyDescent="0.25">
      <c r="A202" s="19">
        <v>-73</v>
      </c>
      <c r="B202">
        <v>272.14840233445415</v>
      </c>
      <c r="C202">
        <v>230.96930680680609</v>
      </c>
    </row>
    <row r="203" spans="1:3" x14ac:dyDescent="0.25">
      <c r="A203" s="19">
        <v>-74</v>
      </c>
      <c r="B203">
        <v>262.35873721944415</v>
      </c>
      <c r="C203">
        <v>234.09870078725871</v>
      </c>
    </row>
    <row r="204" spans="1:3" x14ac:dyDescent="0.25">
      <c r="A204" s="18">
        <v>-75</v>
      </c>
      <c r="B204">
        <v>251.77301781015242</v>
      </c>
      <c r="C204">
        <v>237.44426162799354</v>
      </c>
    </row>
    <row r="205" spans="1:3" x14ac:dyDescent="0.25">
      <c r="A205" s="18">
        <v>-76</v>
      </c>
      <c r="B205">
        <v>240.22095866313558</v>
      </c>
      <c r="C205">
        <v>241.04534366192331</v>
      </c>
    </row>
    <row r="206" spans="1:3" x14ac:dyDescent="0.25">
      <c r="A206" s="19">
        <v>-77</v>
      </c>
      <c r="B206">
        <v>227.47937189111695</v>
      </c>
      <c r="C206">
        <v>244.95115902085121</v>
      </c>
    </row>
    <row r="207" spans="1:3" x14ac:dyDescent="0.25">
      <c r="A207" s="19">
        <v>-78</v>
      </c>
      <c r="B207">
        <v>213.24950361275867</v>
      </c>
      <c r="C207">
        <v>249.22429802480718</v>
      </c>
    </row>
    <row r="208" spans="1:3" x14ac:dyDescent="0.25">
      <c r="A208" s="18">
        <v>-79</v>
      </c>
      <c r="B208">
        <v>197.1216792054453</v>
      </c>
      <c r="C208">
        <v>253.94592184304312</v>
      </c>
    </row>
    <row r="209" spans="1:3" x14ac:dyDescent="0.25">
      <c r="A209" s="18">
        <v>-80</v>
      </c>
      <c r="B209">
        <v>178.5181668138047</v>
      </c>
      <c r="C209">
        <v>259.22367777888928</v>
      </c>
    </row>
    <row r="210" spans="1:3" x14ac:dyDescent="0.25">
      <c r="A210" s="19">
        <v>-81</v>
      </c>
      <c r="B210">
        <v>161.1530300865538</v>
      </c>
      <c r="C210">
        <v>262.62054141613538</v>
      </c>
    </row>
    <row r="211" spans="1:3" x14ac:dyDescent="0.25">
      <c r="A211" s="19">
        <v>-82</v>
      </c>
      <c r="B211">
        <v>144.9861000510308</v>
      </c>
      <c r="C211">
        <v>264.78230421516514</v>
      </c>
    </row>
    <row r="212" spans="1:3" x14ac:dyDescent="0.25">
      <c r="A212" s="18">
        <v>-83</v>
      </c>
      <c r="B212">
        <v>133.26182813552796</v>
      </c>
      <c r="C212">
        <v>266.30555481380708</v>
      </c>
    </row>
    <row r="213" spans="1:3" x14ac:dyDescent="0.25">
      <c r="A213" s="18">
        <v>-84</v>
      </c>
      <c r="B213">
        <v>116.37018715365078</v>
      </c>
      <c r="C213">
        <v>268.04578118517412</v>
      </c>
    </row>
    <row r="214" spans="1:3" x14ac:dyDescent="0.25">
      <c r="A214" s="19">
        <v>-85</v>
      </c>
      <c r="B214">
        <v>98.995252894548429</v>
      </c>
      <c r="C214">
        <v>269.57681084579366</v>
      </c>
    </row>
    <row r="215" spans="1:3" x14ac:dyDescent="0.25">
      <c r="A215" s="19">
        <v>-86</v>
      </c>
      <c r="B215">
        <v>81.028653723132493</v>
      </c>
      <c r="C215">
        <v>270.90331127224482</v>
      </c>
    </row>
    <row r="216" spans="1:3" x14ac:dyDescent="0.25">
      <c r="A216" s="18">
        <v>-87</v>
      </c>
      <c r="B216">
        <v>62.336756583631434</v>
      </c>
      <c r="C216">
        <v>272.0294928743869</v>
      </c>
    </row>
    <row r="217" spans="1:3" x14ac:dyDescent="0.25">
      <c r="A217" s="18">
        <v>-88</v>
      </c>
      <c r="B217">
        <v>42.752556745881122</v>
      </c>
      <c r="C217">
        <v>272.95910326584624</v>
      </c>
    </row>
    <row r="218" spans="1:3" x14ac:dyDescent="0.25">
      <c r="A218" s="19">
        <v>-89</v>
      </c>
      <c r="B218">
        <v>22.064395695969367</v>
      </c>
      <c r="C218">
        <v>273.69540232424623</v>
      </c>
    </row>
    <row r="219" spans="1:3" x14ac:dyDescent="0.25">
      <c r="A219" s="19">
        <v>-90</v>
      </c>
      <c r="B219">
        <v>1.7880304743660785E-13</v>
      </c>
      <c r="C219">
        <v>274.24111120571098</v>
      </c>
    </row>
    <row r="220" spans="1:3" x14ac:dyDescent="0.25">
      <c r="A220" s="18">
        <v>-91</v>
      </c>
      <c r="B220">
        <v>-22.064396700951097</v>
      </c>
      <c r="C220">
        <v>273.69536851406701</v>
      </c>
    </row>
    <row r="221" spans="1:3" x14ac:dyDescent="0.25">
      <c r="A221" s="18">
        <v>-92</v>
      </c>
      <c r="B221">
        <v>-42.75255778517046</v>
      </c>
      <c r="C221">
        <v>272.95908352111172</v>
      </c>
    </row>
    <row r="222" spans="1:3" x14ac:dyDescent="0.25">
      <c r="A222" s="19">
        <v>-93</v>
      </c>
      <c r="B222">
        <v>-62.336757409811774</v>
      </c>
      <c r="C222">
        <v>272.02948112082868</v>
      </c>
    </row>
    <row r="223" spans="1:3" x14ac:dyDescent="0.25">
      <c r="A223" s="19">
        <v>-94</v>
      </c>
      <c r="B223">
        <v>-81.028654320348025</v>
      </c>
      <c r="C223">
        <v>270.90330415102488</v>
      </c>
    </row>
    <row r="224" spans="1:3" x14ac:dyDescent="0.25">
      <c r="A224" s="18">
        <v>-95</v>
      </c>
      <c r="B224">
        <v>-98.995253307850405</v>
      </c>
      <c r="C224">
        <v>269.57680646038369</v>
      </c>
    </row>
    <row r="225" spans="1:3" x14ac:dyDescent="0.25">
      <c r="A225" s="18">
        <v>-96</v>
      </c>
      <c r="B225">
        <v>-116.37018743360261</v>
      </c>
      <c r="C225">
        <v>268.04577844368799</v>
      </c>
    </row>
    <row r="226" spans="1:3" x14ac:dyDescent="0.25">
      <c r="A226" s="19">
        <v>-97</v>
      </c>
      <c r="B226">
        <v>-133.26182828675149</v>
      </c>
      <c r="C226">
        <v>266.30555341368375</v>
      </c>
    </row>
    <row r="227" spans="1:3" x14ac:dyDescent="0.25">
      <c r="A227" s="19">
        <v>-98</v>
      </c>
      <c r="B227">
        <v>-144.98610013967925</v>
      </c>
      <c r="C227">
        <v>264.78230342050387</v>
      </c>
    </row>
    <row r="228" spans="1:3" x14ac:dyDescent="0.25">
      <c r="A228" s="18">
        <v>-99</v>
      </c>
      <c r="B228">
        <v>-161.15308526731349</v>
      </c>
      <c r="C228">
        <v>262.62006005151386</v>
      </c>
    </row>
    <row r="229" spans="1:3" x14ac:dyDescent="0.25">
      <c r="A229" s="18">
        <v>-100</v>
      </c>
      <c r="B229">
        <v>-178.51815345166509</v>
      </c>
      <c r="C229">
        <v>259.22362673850654</v>
      </c>
    </row>
    <row r="230" spans="1:3" x14ac:dyDescent="0.25">
      <c r="A230" s="19">
        <v>-101</v>
      </c>
      <c r="B230">
        <v>-197.12161714965958</v>
      </c>
      <c r="C230">
        <v>253.94573651635216</v>
      </c>
    </row>
    <row r="231" spans="1:3" x14ac:dyDescent="0.25">
      <c r="A231" s="19">
        <v>-102</v>
      </c>
      <c r="B231">
        <v>-213.24945046062959</v>
      </c>
      <c r="C231">
        <v>249.22416410890301</v>
      </c>
    </row>
    <row r="232" spans="1:3" x14ac:dyDescent="0.25">
      <c r="A232" s="18">
        <v>-103</v>
      </c>
      <c r="B232">
        <v>-227.47932770491312</v>
      </c>
      <c r="C232">
        <v>244.95106091449566</v>
      </c>
    </row>
    <row r="233" spans="1:3" x14ac:dyDescent="0.25">
      <c r="A233" s="18">
        <v>-104</v>
      </c>
      <c r="B233">
        <v>-240.22092259788968</v>
      </c>
      <c r="C233">
        <v>241.04527110553568</v>
      </c>
    </row>
    <row r="234" spans="1:3" x14ac:dyDescent="0.25">
      <c r="A234" s="19">
        <v>-105</v>
      </c>
      <c r="B234">
        <v>-251.77298875567104</v>
      </c>
      <c r="C234">
        <v>237.44420764909194</v>
      </c>
    </row>
    <row r="235" spans="1:3" x14ac:dyDescent="0.25">
      <c r="A235" s="19">
        <v>-106</v>
      </c>
      <c r="B235">
        <v>-262.35871406398905</v>
      </c>
      <c r="C235">
        <v>234.0986605155523</v>
      </c>
    </row>
    <row r="236" spans="1:3" x14ac:dyDescent="0.25">
      <c r="A236" s="18">
        <v>-107</v>
      </c>
      <c r="B236">
        <v>-272.14838406633999</v>
      </c>
      <c r="C236">
        <v>230.96927676208929</v>
      </c>
    </row>
    <row r="237" spans="1:3" x14ac:dyDescent="0.25">
      <c r="A237" s="18">
        <v>-108</v>
      </c>
      <c r="B237">
        <v>-281.27436062415563</v>
      </c>
      <c r="C237">
        <v>228.02410981981458</v>
      </c>
    </row>
    <row r="238" spans="1:3" x14ac:dyDescent="0.25">
      <c r="A238" s="19">
        <v>-109</v>
      </c>
      <c r="B238">
        <v>-289.84124897874653</v>
      </c>
      <c r="C238">
        <v>225.23687315353212</v>
      </c>
    </row>
    <row r="239" spans="1:3" x14ac:dyDescent="0.25">
      <c r="A239" s="19">
        <v>-110</v>
      </c>
      <c r="B239">
        <v>-297.9329628036441</v>
      </c>
      <c r="C239">
        <v>222.58567011804368</v>
      </c>
    </row>
    <row r="240" spans="1:3" x14ac:dyDescent="0.25">
      <c r="A240" s="18">
        <v>-111</v>
      </c>
      <c r="B240">
        <v>-305.61773720620556</v>
      </c>
      <c r="C240">
        <v>220.05205316738036</v>
      </c>
    </row>
    <row r="241" spans="1:3" x14ac:dyDescent="0.25">
      <c r="A241" s="18">
        <v>-112</v>
      </c>
      <c r="B241">
        <v>-312.95175280711612</v>
      </c>
      <c r="C241">
        <v>217.6203154981836</v>
      </c>
    </row>
    <row r="242" spans="1:3" x14ac:dyDescent="0.25">
      <c r="A242" s="19">
        <v>-113</v>
      </c>
      <c r="B242">
        <v>-319.98180027518976</v>
      </c>
      <c r="C242">
        <v>215.27694970359744</v>
      </c>
    </row>
    <row r="243" spans="1:3" x14ac:dyDescent="0.25">
      <c r="A243" s="19">
        <v>-114</v>
      </c>
      <c r="B243">
        <v>-326.7472696195822</v>
      </c>
      <c r="C243">
        <v>213.01022837294616</v>
      </c>
    </row>
    <row r="244" spans="1:3" x14ac:dyDescent="0.25">
      <c r="A244" s="18">
        <v>-115</v>
      </c>
      <c r="B244">
        <v>-333.28165631574171</v>
      </c>
      <c r="C244">
        <v>210.8098750235792</v>
      </c>
    </row>
    <row r="245" spans="1:3" x14ac:dyDescent="0.25">
      <c r="A245" s="18">
        <v>-116</v>
      </c>
      <c r="B245">
        <v>-339.61371642858643</v>
      </c>
      <c r="C245">
        <v>208.66680281525612</v>
      </c>
    </row>
    <row r="246" spans="1:3" x14ac:dyDescent="0.25">
      <c r="A246" s="19">
        <v>-117</v>
      </c>
      <c r="B246">
        <v>-345.76839812072336</v>
      </c>
      <c r="C246">
        <v>206.57294674296804</v>
      </c>
    </row>
    <row r="247" spans="1:3" x14ac:dyDescent="0.25">
      <c r="A247" s="19">
        <v>-118</v>
      </c>
      <c r="B247">
        <v>-350.56639995886462</v>
      </c>
      <c r="C247">
        <v>204.59435323114587</v>
      </c>
    </row>
    <row r="248" spans="1:3" x14ac:dyDescent="0.25">
      <c r="A248" s="18">
        <v>-119</v>
      </c>
      <c r="B248">
        <v>-353.28910037989738</v>
      </c>
      <c r="C248">
        <v>202.7782920548141</v>
      </c>
    </row>
    <row r="249" spans="1:3" x14ac:dyDescent="0.25">
      <c r="A249" s="18">
        <v>-120</v>
      </c>
      <c r="B249">
        <v>-355.95385477201432</v>
      </c>
      <c r="C249">
        <v>200.61328953480017</v>
      </c>
    </row>
    <row r="250" spans="1:3" x14ac:dyDescent="0.25">
      <c r="A250" s="19">
        <v>-121</v>
      </c>
      <c r="B250">
        <v>-358.71630725926224</v>
      </c>
      <c r="C250">
        <v>197.42612869512928</v>
      </c>
    </row>
    <row r="251" spans="1:3" x14ac:dyDescent="0.25">
      <c r="A251" s="19">
        <v>-122</v>
      </c>
      <c r="B251">
        <v>-361.30452204902321</v>
      </c>
      <c r="C251">
        <v>194.34344326712861</v>
      </c>
    </row>
    <row r="252" spans="1:3" x14ac:dyDescent="0.25">
      <c r="A252" s="18">
        <v>-123</v>
      </c>
      <c r="B252">
        <v>-363.73544512564359</v>
      </c>
      <c r="C252">
        <v>191.35609283553299</v>
      </c>
    </row>
    <row r="253" spans="1:3" x14ac:dyDescent="0.25">
      <c r="A253" s="18">
        <v>-124</v>
      </c>
      <c r="B253">
        <v>-366.02401735907864</v>
      </c>
      <c r="C253">
        <v>188.45579524839391</v>
      </c>
    </row>
    <row r="254" spans="1:3" x14ac:dyDescent="0.25">
      <c r="A254" s="19">
        <v>-125</v>
      </c>
      <c r="B254">
        <v>-368.18342710067111</v>
      </c>
      <c r="C254">
        <v>185.63499898460358</v>
      </c>
    </row>
    <row r="255" spans="1:3" x14ac:dyDescent="0.25">
      <c r="A255" s="19">
        <v>-126</v>
      </c>
      <c r="B255">
        <v>-370.22536174117516</v>
      </c>
      <c r="C255">
        <v>182.88678649994307</v>
      </c>
    </row>
    <row r="256" spans="1:3" x14ac:dyDescent="0.25">
      <c r="A256" s="18">
        <v>-127</v>
      </c>
      <c r="B256">
        <v>-372.16099022084745</v>
      </c>
      <c r="C256">
        <v>180.20497837005655</v>
      </c>
    </row>
    <row r="257" spans="1:3" x14ac:dyDescent="0.25">
      <c r="A257" s="18">
        <v>-128</v>
      </c>
      <c r="B257">
        <v>-373.99776625242083</v>
      </c>
      <c r="C257">
        <v>177.5832398451185</v>
      </c>
    </row>
    <row r="258" spans="1:3" x14ac:dyDescent="0.25">
      <c r="A258" s="19">
        <v>-129</v>
      </c>
      <c r="B258">
        <v>-375.74502572499176</v>
      </c>
      <c r="C258">
        <v>175.01635225540784</v>
      </c>
    </row>
    <row r="259" spans="1:3" x14ac:dyDescent="0.25">
      <c r="A259" s="19">
        <v>-130</v>
      </c>
      <c r="B259">
        <v>-377.41062905514218</v>
      </c>
      <c r="C259">
        <v>172.49928946819543</v>
      </c>
    </row>
    <row r="260" spans="1:3" x14ac:dyDescent="0.25">
      <c r="A260" s="18">
        <v>-131</v>
      </c>
      <c r="B260">
        <v>-379.00129573225041</v>
      </c>
      <c r="C260">
        <v>170.02723755636922</v>
      </c>
    </row>
    <row r="261" spans="1:3" x14ac:dyDescent="0.25">
      <c r="A261" s="18">
        <v>-132</v>
      </c>
      <c r="B261">
        <v>-380.52193383920149</v>
      </c>
      <c r="C261">
        <v>167.59539919379486</v>
      </c>
    </row>
    <row r="262" spans="1:3" x14ac:dyDescent="0.25">
      <c r="A262" s="19">
        <v>-133</v>
      </c>
      <c r="B262">
        <v>-381.97950890593</v>
      </c>
      <c r="C262">
        <v>165.19977502162715</v>
      </c>
    </row>
    <row r="263" spans="1:3" x14ac:dyDescent="0.25">
      <c r="A263" s="19">
        <v>-134</v>
      </c>
      <c r="B263">
        <v>-383.37854149897345</v>
      </c>
      <c r="C263">
        <v>162.83612777839485</v>
      </c>
    </row>
    <row r="264" spans="1:3" x14ac:dyDescent="0.25">
      <c r="A264" s="18">
        <v>-135</v>
      </c>
      <c r="B264">
        <v>-384.72365809516401</v>
      </c>
      <c r="C264">
        <v>160.50049347441242</v>
      </c>
    </row>
    <row r="265" spans="1:3" x14ac:dyDescent="0.25">
      <c r="A265" s="18">
        <v>-136</v>
      </c>
      <c r="B265">
        <v>-386.01910654176908</v>
      </c>
      <c r="C265">
        <v>158.18903145208009</v>
      </c>
    </row>
    <row r="266" spans="1:3" x14ac:dyDescent="0.25">
      <c r="A266" s="19">
        <v>-137</v>
      </c>
      <c r="B266">
        <v>-387.26880202685589</v>
      </c>
      <c r="C266">
        <v>155.89799353309456</v>
      </c>
    </row>
    <row r="267" spans="1:3" x14ac:dyDescent="0.25">
      <c r="A267" s="19">
        <v>-138</v>
      </c>
      <c r="B267">
        <v>-388.47636776064121</v>
      </c>
      <c r="C267">
        <v>153.62369392773579</v>
      </c>
    </row>
    <row r="268" spans="1:3" x14ac:dyDescent="0.25">
      <c r="A268" s="18">
        <v>-139</v>
      </c>
      <c r="B268">
        <v>-389.64517123133498</v>
      </c>
      <c r="C268">
        <v>151.36247933679709</v>
      </c>
    </row>
    <row r="269" spans="1:3" x14ac:dyDescent="0.25">
      <c r="A269" s="18">
        <v>-140</v>
      </c>
      <c r="B269">
        <v>-390.77835677656725</v>
      </c>
      <c r="C269">
        <v>149.11069866595622</v>
      </c>
    </row>
    <row r="270" spans="1:3" x14ac:dyDescent="0.25">
      <c r="A270" s="19">
        <v>-141</v>
      </c>
      <c r="B270">
        <v>-391.87887511435542</v>
      </c>
      <c r="C270">
        <v>146.86467174101068</v>
      </c>
    </row>
    <row r="271" spans="1:3" x14ac:dyDescent="0.25">
      <c r="A271" s="19">
        <v>-142</v>
      </c>
      <c r="B271">
        <v>-392.94951040202318</v>
      </c>
      <c r="C271">
        <v>144.62065635821841</v>
      </c>
    </row>
    <row r="272" spans="1:3" x14ac:dyDescent="0.25">
      <c r="A272" s="18">
        <v>-143</v>
      </c>
      <c r="B272">
        <v>-393.99290533457793</v>
      </c>
      <c r="C272">
        <v>142.37481292343745</v>
      </c>
    </row>
    <row r="273" spans="1:3" x14ac:dyDescent="0.25">
      <c r="A273" s="18">
        <v>-144</v>
      </c>
      <c r="B273">
        <v>-395.01158475373467</v>
      </c>
      <c r="C273">
        <v>140.12316582158445</v>
      </c>
    </row>
    <row r="274" spans="1:3" x14ac:dyDescent="0.25">
      <c r="A274" s="19">
        <v>-145</v>
      </c>
      <c r="B274">
        <v>-396.00797821384396</v>
      </c>
      <c r="C274">
        <v>137.86156050670513</v>
      </c>
    </row>
    <row r="275" spans="1:3" x14ac:dyDescent="0.25">
      <c r="A275" s="19">
        <v>-146</v>
      </c>
      <c r="B275">
        <v>-396.98532424609084</v>
      </c>
      <c r="C275">
        <v>135.58573679958329</v>
      </c>
    </row>
    <row r="276" spans="1:3" x14ac:dyDescent="0.25">
      <c r="A276" s="18">
        <v>-147</v>
      </c>
      <c r="B276">
        <v>-397.94378817868932</v>
      </c>
      <c r="C276">
        <v>133.2907320666728</v>
      </c>
    </row>
    <row r="277" spans="1:3" x14ac:dyDescent="0.25">
      <c r="A277" s="18">
        <v>-148</v>
      </c>
      <c r="B277">
        <v>-398.8868333861555</v>
      </c>
      <c r="C277">
        <v>130.97170695703173</v>
      </c>
    </row>
    <row r="278" spans="1:3" x14ac:dyDescent="0.25">
      <c r="A278" s="19">
        <v>-149</v>
      </c>
      <c r="B278">
        <v>-399.81672095149321</v>
      </c>
      <c r="C278">
        <v>128.62322855299035</v>
      </c>
    </row>
    <row r="279" spans="1:3" x14ac:dyDescent="0.25">
      <c r="A279" s="19">
        <v>-150</v>
      </c>
      <c r="B279">
        <v>-400.73679049321134</v>
      </c>
      <c r="C279">
        <v>126.23947343319296</v>
      </c>
    </row>
    <row r="280" spans="1:3" x14ac:dyDescent="0.25">
      <c r="A280" s="18">
        <v>-151</v>
      </c>
      <c r="B280">
        <v>-401.64793945698477</v>
      </c>
      <c r="C280">
        <v>123.81370687528532</v>
      </c>
    </row>
    <row r="281" spans="1:3" x14ac:dyDescent="0.25">
      <c r="A281" s="18">
        <v>-152</v>
      </c>
      <c r="B281">
        <v>-402.55302783784651</v>
      </c>
      <c r="C281">
        <v>121.33867397691954</v>
      </c>
    </row>
    <row r="282" spans="1:3" x14ac:dyDescent="0.25">
      <c r="A282" s="19">
        <v>-153</v>
      </c>
      <c r="B282">
        <v>-403.45456531453607</v>
      </c>
      <c r="C282">
        <v>118.806160497869</v>
      </c>
    </row>
    <row r="283" spans="1:3" x14ac:dyDescent="0.25">
      <c r="A283" s="19">
        <v>-154</v>
      </c>
      <c r="B283">
        <v>-404.35520553460043</v>
      </c>
      <c r="C283">
        <v>116.20685330867471</v>
      </c>
    </row>
    <row r="284" spans="1:3" x14ac:dyDescent="0.25">
      <c r="A284" s="18">
        <v>-155</v>
      </c>
      <c r="B284">
        <v>-405.25779053302239</v>
      </c>
      <c r="C284">
        <v>113.53009870175221</v>
      </c>
    </row>
    <row r="285" spans="1:3" x14ac:dyDescent="0.25">
      <c r="A285" s="18">
        <v>-156</v>
      </c>
      <c r="B285">
        <v>-406.16540363437525</v>
      </c>
      <c r="C285">
        <v>110.76359875091407</v>
      </c>
    </row>
    <row r="286" spans="1:3" x14ac:dyDescent="0.25">
      <c r="A286" s="19">
        <v>-157</v>
      </c>
      <c r="B286">
        <v>-407.08143341322057</v>
      </c>
      <c r="C286">
        <v>107.89302598910461</v>
      </c>
    </row>
    <row r="287" spans="1:3" x14ac:dyDescent="0.25">
      <c r="A287" s="19">
        <v>-158</v>
      </c>
      <c r="B287">
        <v>-408.00965212836468</v>
      </c>
      <c r="C287">
        <v>104.90152925357015</v>
      </c>
    </row>
    <row r="288" spans="1:3" x14ac:dyDescent="0.25">
      <c r="A288" s="18">
        <v>-159</v>
      </c>
      <c r="B288">
        <v>-408.95431322561575</v>
      </c>
      <c r="C288">
        <v>101.76909284497169</v>
      </c>
    </row>
    <row r="289" spans="1:3" x14ac:dyDescent="0.25">
      <c r="A289" s="18">
        <v>-160</v>
      </c>
      <c r="B289">
        <v>-409.92027417741815</v>
      </c>
      <c r="C289">
        <v>98.471695475787897</v>
      </c>
    </row>
    <row r="290" spans="1:3" x14ac:dyDescent="0.25">
      <c r="A290" s="19">
        <v>-161</v>
      </c>
      <c r="B290">
        <v>-410.9131533379724</v>
      </c>
      <c r="C290">
        <v>94.980192157359795</v>
      </c>
    </row>
    <row r="291" spans="1:3" x14ac:dyDescent="0.25">
      <c r="A291" s="19">
        <v>-162</v>
      </c>
      <c r="B291">
        <v>-411.93953301878986</v>
      </c>
      <c r="C291">
        <v>91.258806826401894</v>
      </c>
    </row>
    <row r="292" spans="1:3" x14ac:dyDescent="0.25">
      <c r="A292" s="18">
        <v>-163</v>
      </c>
      <c r="B292">
        <v>-413.00722624079873</v>
      </c>
      <c r="C292">
        <v>87.26306887945421</v>
      </c>
    </row>
    <row r="293" spans="1:3" x14ac:dyDescent="0.25">
      <c r="A293" s="18">
        <v>-164</v>
      </c>
      <c r="B293">
        <v>-414.1256325932959</v>
      </c>
      <c r="C293">
        <v>82.936940496629788</v>
      </c>
    </row>
    <row r="294" spans="1:3" x14ac:dyDescent="0.25">
      <c r="A294" s="19">
        <v>-165</v>
      </c>
      <c r="B294">
        <v>-415.30450717738398</v>
      </c>
      <c r="C294">
        <v>78.216185175890359</v>
      </c>
    </row>
    <row r="295" spans="1:3" x14ac:dyDescent="0.25">
      <c r="A295" s="19">
        <v>-166</v>
      </c>
      <c r="B295">
        <v>-416.45095707910741</v>
      </c>
      <c r="C295">
        <v>73.333763104619933</v>
      </c>
    </row>
    <row r="296" spans="1:3" x14ac:dyDescent="0.25">
      <c r="A296" s="18">
        <v>-167</v>
      </c>
      <c r="B296">
        <v>-417.51872600866409</v>
      </c>
      <c r="C296">
        <v>68.429346653814918</v>
      </c>
    </row>
    <row r="297" spans="1:3" x14ac:dyDescent="0.25">
      <c r="A297" s="18">
        <v>-168</v>
      </c>
      <c r="B297">
        <v>-418.50952484088214</v>
      </c>
      <c r="C297">
        <v>63.49472717143982</v>
      </c>
    </row>
    <row r="298" spans="1:3" x14ac:dyDescent="0.25">
      <c r="A298" s="19">
        <v>-169</v>
      </c>
      <c r="B298">
        <v>-419.15294510070089</v>
      </c>
      <c r="C298">
        <v>61.094730312876727</v>
      </c>
    </row>
    <row r="299" spans="1:3" x14ac:dyDescent="0.25">
      <c r="A299" s="19">
        <v>-170</v>
      </c>
      <c r="B299">
        <v>-420.00528515911304</v>
      </c>
      <c r="C299">
        <v>56.066018092165734</v>
      </c>
    </row>
    <row r="300" spans="1:3" x14ac:dyDescent="0.25">
      <c r="A300" s="18">
        <v>-171</v>
      </c>
      <c r="B300">
        <v>-420.7871255126293</v>
      </c>
      <c r="C300">
        <v>50.97732032508177</v>
      </c>
    </row>
    <row r="301" spans="1:3" x14ac:dyDescent="0.25">
      <c r="A301" s="18">
        <v>-172</v>
      </c>
      <c r="B301">
        <v>-421.50014193616488</v>
      </c>
      <c r="C301">
        <v>45.817024471731514</v>
      </c>
    </row>
    <row r="302" spans="1:3" x14ac:dyDescent="0.25">
      <c r="A302" s="19">
        <v>-173</v>
      </c>
      <c r="B302">
        <v>-422.14582686969493</v>
      </c>
      <c r="C302">
        <v>40.572252744290843</v>
      </c>
    </row>
    <row r="303" spans="1:3" x14ac:dyDescent="0.25">
      <c r="A303" s="19">
        <v>-174</v>
      </c>
      <c r="B303">
        <v>-422.72548125660393</v>
      </c>
      <c r="C303">
        <v>35.228613437804597</v>
      </c>
    </row>
    <row r="304" spans="1:3" x14ac:dyDescent="0.25">
      <c r="A304" s="18">
        <v>-175</v>
      </c>
      <c r="B304">
        <v>-423.24021946907828</v>
      </c>
      <c r="C304">
        <v>29.76989718649881</v>
      </c>
    </row>
    <row r="305" spans="1:3" x14ac:dyDescent="0.25">
      <c r="A305" s="18">
        <v>-176</v>
      </c>
      <c r="B305">
        <v>-423.69097288217671</v>
      </c>
      <c r="C305">
        <v>24.177703598256279</v>
      </c>
    </row>
    <row r="306" spans="1:3" x14ac:dyDescent="0.25">
      <c r="A306" s="19">
        <v>-177</v>
      </c>
      <c r="B306">
        <v>-424.07849208590943</v>
      </c>
      <c r="C306">
        <v>18.4309784471554</v>
      </c>
    </row>
    <row r="307" spans="1:3" x14ac:dyDescent="0.25">
      <c r="A307" s="19">
        <v>-178</v>
      </c>
      <c r="B307">
        <v>-424.40334770451915</v>
      </c>
      <c r="C307">
        <v>12.505434948229844</v>
      </c>
    </row>
    <row r="308" spans="1:3" x14ac:dyDescent="0.25">
      <c r="A308" s="18">
        <v>-179</v>
      </c>
      <c r="B308">
        <v>-424.66592977105091</v>
      </c>
      <c r="C308">
        <v>6.3728233546229882</v>
      </c>
    </row>
    <row r="309" spans="1:3" x14ac:dyDescent="0.25">
      <c r="A309" s="18">
        <v>-180</v>
      </c>
      <c r="B309">
        <v>-424.86644558306722</v>
      </c>
      <c r="C309">
        <v>2.3038626016963264E-14</v>
      </c>
    </row>
    <row r="310" spans="1:3" x14ac:dyDescent="0.25">
      <c r="A310" s="19">
        <v>-181</v>
      </c>
      <c r="B310">
        <v>-424.66591616019844</v>
      </c>
      <c r="C310">
        <v>-6.3728234227458973</v>
      </c>
    </row>
    <row r="311" spans="1:3" x14ac:dyDescent="0.25">
      <c r="A311" s="19">
        <v>-182</v>
      </c>
      <c r="B311">
        <v>-424.40333803729737</v>
      </c>
      <c r="C311">
        <v>-12.505435038836874</v>
      </c>
    </row>
    <row r="312" spans="1:3" x14ac:dyDescent="0.25">
      <c r="A312" s="18">
        <v>-183</v>
      </c>
      <c r="B312">
        <v>-424.0784851719784</v>
      </c>
      <c r="C312">
        <v>-18.430978538349692</v>
      </c>
    </row>
    <row r="313" spans="1:3" x14ac:dyDescent="0.25">
      <c r="A313" s="18">
        <v>-184</v>
      </c>
      <c r="B313">
        <v>-423.69096790668851</v>
      </c>
      <c r="C313">
        <v>-24.177703680502155</v>
      </c>
    </row>
    <row r="314" spans="1:3" x14ac:dyDescent="0.25">
      <c r="A314" s="19">
        <v>-185</v>
      </c>
      <c r="B314">
        <v>-423.24021586875875</v>
      </c>
      <c r="C314">
        <v>-29.769897256543739</v>
      </c>
    </row>
    <row r="315" spans="1:3" x14ac:dyDescent="0.25">
      <c r="A315" s="19">
        <v>-186</v>
      </c>
      <c r="B315">
        <v>-422.72547863859052</v>
      </c>
      <c r="C315">
        <v>-35.228613495446126</v>
      </c>
    </row>
    <row r="316" spans="1:3" x14ac:dyDescent="0.25">
      <c r="A316" s="18">
        <v>-187</v>
      </c>
      <c r="B316">
        <v>-422.14582495773686</v>
      </c>
      <c r="C316">
        <v>-40.572252790677183</v>
      </c>
    </row>
    <row r="317" spans="1:3" x14ac:dyDescent="0.25">
      <c r="A317" s="18">
        <v>-188</v>
      </c>
      <c r="B317">
        <v>-421.5001405345576</v>
      </c>
      <c r="C317">
        <v>-45.817024508489006</v>
      </c>
    </row>
    <row r="318" spans="1:3" x14ac:dyDescent="0.25">
      <c r="A318" s="19">
        <v>-189</v>
      </c>
      <c r="B318">
        <v>-420.78712448178089</v>
      </c>
      <c r="C318">
        <v>-50.977320353885879</v>
      </c>
    </row>
    <row r="319" spans="1:3" x14ac:dyDescent="0.25">
      <c r="A319" s="19">
        <v>-190</v>
      </c>
      <c r="B319">
        <v>-420.00528439883311</v>
      </c>
      <c r="C319">
        <v>-56.066018114548882</v>
      </c>
    </row>
    <row r="320" spans="1:3" x14ac:dyDescent="0.25">
      <c r="A320" s="18">
        <v>-191</v>
      </c>
      <c r="B320">
        <v>-419.1529300916107</v>
      </c>
      <c r="C320">
        <v>-61.094730774332533</v>
      </c>
    </row>
    <row r="321" spans="1:3" x14ac:dyDescent="0.25">
      <c r="A321" s="18">
        <v>-192</v>
      </c>
      <c r="B321">
        <v>-418.50951013425197</v>
      </c>
      <c r="C321">
        <v>-63.494727637106799</v>
      </c>
    </row>
    <row r="322" spans="1:3" x14ac:dyDescent="0.25">
      <c r="A322" s="19">
        <v>-193</v>
      </c>
      <c r="B322">
        <v>-417.51872685518521</v>
      </c>
      <c r="C322">
        <v>-68.429346626186671</v>
      </c>
    </row>
    <row r="323" spans="1:3" x14ac:dyDescent="0.25">
      <c r="A323" s="19">
        <v>-194</v>
      </c>
      <c r="B323">
        <v>-416.45095686323867</v>
      </c>
      <c r="C323">
        <v>-73.333763111845968</v>
      </c>
    </row>
    <row r="324" spans="1:3" x14ac:dyDescent="0.25">
      <c r="A324" s="18">
        <v>-195</v>
      </c>
      <c r="B324">
        <v>-415.30334060482937</v>
      </c>
      <c r="C324">
        <v>-78.216225060938271</v>
      </c>
    </row>
    <row r="325" spans="1:3" x14ac:dyDescent="0.25">
      <c r="A325" s="18">
        <v>-196</v>
      </c>
      <c r="B325">
        <v>-414.12549311843793</v>
      </c>
      <c r="C325">
        <v>-82.936943422760251</v>
      </c>
    </row>
    <row r="326" spans="1:3" x14ac:dyDescent="0.25">
      <c r="A326" s="19">
        <v>-197</v>
      </c>
      <c r="B326">
        <v>-413.00711976257037</v>
      </c>
      <c r="C326">
        <v>-87.263069537260947</v>
      </c>
    </row>
    <row r="327" spans="1:3" x14ac:dyDescent="0.25">
      <c r="A327" s="19">
        <v>-198</v>
      </c>
      <c r="B327">
        <v>-411.93945191547135</v>
      </c>
      <c r="C327">
        <v>-91.258806234766681</v>
      </c>
    </row>
    <row r="328" spans="1:3" x14ac:dyDescent="0.25">
      <c r="A328" s="18">
        <v>-199</v>
      </c>
      <c r="B328">
        <v>-410.9130917545811</v>
      </c>
      <c r="C328">
        <v>-94.980190947676448</v>
      </c>
    </row>
    <row r="329" spans="1:3" x14ac:dyDescent="0.25">
      <c r="A329" s="18">
        <v>-200</v>
      </c>
      <c r="B329">
        <v>-409.92022766943325</v>
      </c>
      <c r="C329">
        <v>-98.471694032535467</v>
      </c>
    </row>
    <row r="330" spans="1:3" x14ac:dyDescent="0.25">
      <c r="A330" s="19">
        <v>-201</v>
      </c>
      <c r="B330">
        <v>-408.95427838221798</v>
      </c>
      <c r="C330">
        <v>-101.7690913955368</v>
      </c>
    </row>
    <row r="331" spans="1:3" x14ac:dyDescent="0.25">
      <c r="A331" s="19">
        <v>-202</v>
      </c>
      <c r="B331">
        <v>-408.00962630803724</v>
      </c>
      <c r="C331">
        <v>-104.90152792501391</v>
      </c>
    </row>
    <row r="332" spans="1:3" x14ac:dyDescent="0.25">
      <c r="A332" s="18">
        <v>-203</v>
      </c>
      <c r="B332">
        <v>-407.0814145548058</v>
      </c>
      <c r="C332">
        <v>-107.89302484454662</v>
      </c>
    </row>
    <row r="333" spans="1:3" x14ac:dyDescent="0.25">
      <c r="A333" s="18">
        <v>-204</v>
      </c>
      <c r="B333">
        <v>-406.16539011985373</v>
      </c>
      <c r="C333">
        <v>-110.76359781310846</v>
      </c>
    </row>
    <row r="334" spans="1:3" x14ac:dyDescent="0.25">
      <c r="A334" s="19">
        <v>-205</v>
      </c>
      <c r="B334">
        <v>-405.25778108640895</v>
      </c>
      <c r="C334">
        <v>-113.53009796848787</v>
      </c>
    </row>
    <row r="335" spans="1:3" x14ac:dyDescent="0.25">
      <c r="A335" s="19">
        <v>-206</v>
      </c>
      <c r="B335">
        <v>-404.35519914648467</v>
      </c>
      <c r="C335">
        <v>-116.20685276288582</v>
      </c>
    </row>
    <row r="336" spans="1:3" x14ac:dyDescent="0.25">
      <c r="A336" s="18">
        <v>-207</v>
      </c>
      <c r="B336">
        <v>-403.45456118510265</v>
      </c>
      <c r="C336">
        <v>-118.80616011428235</v>
      </c>
    </row>
    <row r="337" spans="1:3" x14ac:dyDescent="0.25">
      <c r="A337" s="18">
        <v>-208</v>
      </c>
      <c r="B337">
        <v>-402.55302533339727</v>
      </c>
      <c r="C337">
        <v>-121.33867372641663</v>
      </c>
    </row>
    <row r="338" spans="1:3" x14ac:dyDescent="0.25">
      <c r="A338" s="19">
        <v>-209</v>
      </c>
      <c r="B338">
        <v>-401.64793807645015</v>
      </c>
      <c r="C338">
        <v>-123.81370672774354</v>
      </c>
    </row>
    <row r="339" spans="1:3" x14ac:dyDescent="0.25">
      <c r="A339" s="19">
        <v>-210</v>
      </c>
      <c r="B339">
        <v>-400.73678984232913</v>
      </c>
      <c r="C339">
        <v>-126.23947335933519</v>
      </c>
    </row>
    <row r="340" spans="1:3" x14ac:dyDescent="0.25">
      <c r="A340" s="18">
        <v>-211</v>
      </c>
      <c r="B340">
        <v>-399.81717710518518</v>
      </c>
      <c r="C340">
        <v>-128.62328322495176</v>
      </c>
    </row>
    <row r="341" spans="1:3" x14ac:dyDescent="0.25">
      <c r="A341" s="18">
        <v>-212</v>
      </c>
      <c r="B341">
        <v>-398.88619917232353</v>
      </c>
      <c r="C341">
        <v>-130.9716270195037</v>
      </c>
    </row>
    <row r="342" spans="1:3" x14ac:dyDescent="0.25">
      <c r="A342" s="19">
        <v>-213</v>
      </c>
      <c r="B342">
        <v>-397.94326622634185</v>
      </c>
      <c r="C342">
        <v>-133.29066313751798</v>
      </c>
    </row>
    <row r="343" spans="1:3" x14ac:dyDescent="0.25">
      <c r="A343" s="19">
        <v>-214</v>
      </c>
      <c r="B343">
        <v>-396.98489707019263</v>
      </c>
      <c r="C343">
        <v>-135.5856778788397</v>
      </c>
    </row>
    <row r="344" spans="1:3" x14ac:dyDescent="0.25">
      <c r="A344" s="18">
        <v>-215</v>
      </c>
      <c r="B344">
        <v>-396.00882352575576</v>
      </c>
      <c r="C344">
        <v>-137.86168195563681</v>
      </c>
    </row>
    <row r="345" spans="1:3" x14ac:dyDescent="0.25">
      <c r="A345" s="18">
        <v>-216</v>
      </c>
      <c r="B345">
        <v>-395.01158406933405</v>
      </c>
      <c r="C345">
        <v>-140.12316571939914</v>
      </c>
    </row>
    <row r="346" spans="1:3" x14ac:dyDescent="0.25">
      <c r="A346" s="19">
        <v>-217</v>
      </c>
      <c r="B346">
        <v>-393.99290433125856</v>
      </c>
      <c r="C346">
        <v>-142.37481276807694</v>
      </c>
    </row>
    <row r="347" spans="1:3" x14ac:dyDescent="0.25">
      <c r="A347" s="19">
        <v>-218</v>
      </c>
      <c r="B347">
        <v>-392.94950906901164</v>
      </c>
      <c r="C347">
        <v>-144.62065614452362</v>
      </c>
    </row>
    <row r="348" spans="1:3" x14ac:dyDescent="0.25">
      <c r="A348" s="18">
        <v>-219</v>
      </c>
      <c r="B348">
        <v>-391.87887346106817</v>
      </c>
      <c r="C348">
        <v>-146.86467146704285</v>
      </c>
    </row>
    <row r="349" spans="1:3" x14ac:dyDescent="0.25">
      <c r="A349" s="18">
        <v>-220</v>
      </c>
      <c r="B349">
        <v>-390.77835482955879</v>
      </c>
      <c r="C349">
        <v>-149.11069833289156</v>
      </c>
    </row>
    <row r="350" spans="1:3" x14ac:dyDescent="0.25">
      <c r="A350" s="19">
        <v>-221</v>
      </c>
      <c r="B350">
        <v>-389.64516903212251</v>
      </c>
      <c r="C350">
        <v>-151.36247894888936</v>
      </c>
    </row>
    <row r="351" spans="1:3" x14ac:dyDescent="0.25">
      <c r="A351" s="19">
        <v>-222</v>
      </c>
      <c r="B351">
        <v>-388.47636536398352</v>
      </c>
      <c r="C351">
        <v>-153.62369349230011</v>
      </c>
    </row>
    <row r="352" spans="1:3" x14ac:dyDescent="0.25">
      <c r="A352" s="18">
        <v>-223</v>
      </c>
      <c r="B352">
        <v>-387.26879949941593</v>
      </c>
      <c r="C352">
        <v>-155.89799306052029</v>
      </c>
    </row>
    <row r="353" spans="1:3" x14ac:dyDescent="0.25">
      <c r="A353" s="18">
        <v>-224</v>
      </c>
      <c r="B353">
        <v>-386.01910396110469</v>
      </c>
      <c r="C353">
        <v>-158.18903095587905</v>
      </c>
    </row>
    <row r="354" spans="1:3" x14ac:dyDescent="0.25">
      <c r="A354" s="19">
        <v>-225</v>
      </c>
      <c r="B354">
        <v>-384.723655548995</v>
      </c>
      <c r="C354">
        <v>-160.50049297130164</v>
      </c>
    </row>
    <row r="355" spans="1:3" x14ac:dyDescent="0.25">
      <c r="A355" s="19">
        <v>-226</v>
      </c>
      <c r="B355">
        <v>-383.37853908469782</v>
      </c>
      <c r="C355">
        <v>-162.83612728842488</v>
      </c>
    </row>
    <row r="356" spans="1:3" x14ac:dyDescent="0.25">
      <c r="A356" s="18">
        <v>-227</v>
      </c>
      <c r="B356">
        <v>-381.9795067303603</v>
      </c>
      <c r="C356">
        <v>-165.19977456835659</v>
      </c>
    </row>
    <row r="357" spans="1:3" x14ac:dyDescent="0.25">
      <c r="A357" s="18">
        <v>-228</v>
      </c>
      <c r="B357">
        <v>-380.5219320181111</v>
      </c>
      <c r="C357">
        <v>-167.59539880443518</v>
      </c>
    </row>
    <row r="358" spans="1:3" x14ac:dyDescent="0.25">
      <c r="A358" s="19">
        <v>-229</v>
      </c>
      <c r="B358">
        <v>-379.00155016415391</v>
      </c>
      <c r="C358">
        <v>-170.02729336416587</v>
      </c>
    </row>
    <row r="359" spans="1:3" x14ac:dyDescent="0.25">
      <c r="A359" s="19">
        <v>-230</v>
      </c>
      <c r="B359">
        <v>-377.41093645450513</v>
      </c>
      <c r="C359">
        <v>-172.49935862440347</v>
      </c>
    </row>
    <row r="360" spans="1:3" x14ac:dyDescent="0.25">
      <c r="A360" s="18">
        <v>-231</v>
      </c>
      <c r="B360">
        <v>-375.74503641818916</v>
      </c>
      <c r="C360">
        <v>-175.01635472244348</v>
      </c>
    </row>
    <row r="361" spans="1:3" x14ac:dyDescent="0.25">
      <c r="A361" s="18">
        <v>-232</v>
      </c>
      <c r="B361">
        <v>-373.99745693577125</v>
      </c>
      <c r="C361">
        <v>-177.58316666757793</v>
      </c>
    </row>
    <row r="362" spans="1:3" x14ac:dyDescent="0.25">
      <c r="A362" s="19">
        <v>-233</v>
      </c>
      <c r="B362">
        <v>-372.16073469376369</v>
      </c>
      <c r="C362">
        <v>-180.20491638073156</v>
      </c>
    </row>
    <row r="363" spans="1:3" x14ac:dyDescent="0.25">
      <c r="A363" s="19">
        <v>-234</v>
      </c>
      <c r="B363">
        <v>-370.22536342314237</v>
      </c>
      <c r="C363">
        <v>-182.8867869183826</v>
      </c>
    </row>
    <row r="364" spans="1:3" x14ac:dyDescent="0.25">
      <c r="A364" s="18">
        <v>-235</v>
      </c>
      <c r="B364">
        <v>-368.18342905729781</v>
      </c>
      <c r="C364">
        <v>-185.63499948385902</v>
      </c>
    </row>
    <row r="365" spans="1:3" x14ac:dyDescent="0.25">
      <c r="A365" s="18">
        <v>-236</v>
      </c>
      <c r="B365">
        <v>-366.02401946227747</v>
      </c>
      <c r="C365">
        <v>-188.45579579893874</v>
      </c>
    </row>
    <row r="366" spans="1:3" x14ac:dyDescent="0.25">
      <c r="A366" s="19">
        <v>-237</v>
      </c>
      <c r="B366">
        <v>-363.73544726157945</v>
      </c>
      <c r="C366">
        <v>-191.35609340929457</v>
      </c>
    </row>
    <row r="367" spans="1:3" x14ac:dyDescent="0.25">
      <c r="A367" s="19">
        <v>-238</v>
      </c>
      <c r="B367">
        <v>-361.30452411857607</v>
      </c>
      <c r="C367">
        <v>-194.34344383784756</v>
      </c>
    </row>
    <row r="368" spans="1:3" x14ac:dyDescent="0.25">
      <c r="A368" s="18">
        <v>-239</v>
      </c>
      <c r="B368">
        <v>-358.71630917847801</v>
      </c>
      <c r="C368">
        <v>-197.4261292387358</v>
      </c>
    </row>
    <row r="369" spans="1:3" x14ac:dyDescent="0.25">
      <c r="A369" s="18">
        <v>-240</v>
      </c>
      <c r="B369">
        <v>-355.9538058192594</v>
      </c>
      <c r="C369">
        <v>-200.61327528494397</v>
      </c>
    </row>
    <row r="370" spans="1:3" x14ac:dyDescent="0.25">
      <c r="A370" s="19">
        <v>-241</v>
      </c>
      <c r="B370">
        <v>-353.28974935747777</v>
      </c>
      <c r="C370">
        <v>-202.77866928908963</v>
      </c>
    </row>
    <row r="371" spans="1:3" x14ac:dyDescent="0.25">
      <c r="A371" s="19">
        <v>-242</v>
      </c>
      <c r="B371">
        <v>-350.56577664689195</v>
      </c>
      <c r="C371">
        <v>-204.5939808102417</v>
      </c>
    </row>
    <row r="372" spans="1:3" x14ac:dyDescent="0.25">
      <c r="A372" s="18">
        <v>-243</v>
      </c>
      <c r="B372">
        <v>-345.76803797490697</v>
      </c>
      <c r="C372">
        <v>-206.57251327205381</v>
      </c>
    </row>
    <row r="373" spans="1:3" x14ac:dyDescent="0.25">
      <c r="A373" s="18">
        <v>-244</v>
      </c>
      <c r="B373">
        <v>-339.61371737477879</v>
      </c>
      <c r="C373">
        <v>-208.66680397839116</v>
      </c>
    </row>
    <row r="374" spans="1:3" x14ac:dyDescent="0.25">
      <c r="A374" s="19">
        <v>-245</v>
      </c>
      <c r="B374">
        <v>-333.28165783031926</v>
      </c>
      <c r="C374">
        <v>-210.80987692751583</v>
      </c>
    </row>
    <row r="375" spans="1:3" x14ac:dyDescent="0.25">
      <c r="A375" s="19">
        <v>-246</v>
      </c>
      <c r="B375">
        <v>-326.74727190236052</v>
      </c>
      <c r="C375">
        <v>-213.01023131182203</v>
      </c>
    </row>
    <row r="376" spans="1:3" x14ac:dyDescent="0.25">
      <c r="A376" s="18">
        <v>-247</v>
      </c>
      <c r="B376">
        <v>-319.98180357018157</v>
      </c>
      <c r="C376">
        <v>-215.27695405572925</v>
      </c>
    </row>
    <row r="377" spans="1:3" x14ac:dyDescent="0.25">
      <c r="A377" s="18">
        <v>-248</v>
      </c>
      <c r="B377">
        <v>-312.9517574109874</v>
      </c>
      <c r="C377">
        <v>-217.62032175034716</v>
      </c>
    </row>
    <row r="378" spans="1:3" x14ac:dyDescent="0.25">
      <c r="A378" s="19">
        <v>-249</v>
      </c>
      <c r="B378">
        <v>-305.6177434786851</v>
      </c>
      <c r="C378">
        <v>-220.05206194805575</v>
      </c>
    </row>
    <row r="379" spans="1:3" x14ac:dyDescent="0.25">
      <c r="A379" s="19">
        <v>-250</v>
      </c>
      <c r="B379">
        <v>-297.93297117977755</v>
      </c>
      <c r="C379">
        <v>-222.58568224295169</v>
      </c>
    </row>
    <row r="380" spans="1:3" x14ac:dyDescent="0.25">
      <c r="A380" s="18">
        <v>-251</v>
      </c>
      <c r="B380">
        <v>-289.8412599829694</v>
      </c>
      <c r="C380">
        <v>-225.23688968895411</v>
      </c>
    </row>
    <row r="381" spans="1:3" x14ac:dyDescent="0.25">
      <c r="A381" s="18">
        <v>-252</v>
      </c>
      <c r="B381">
        <v>-281.27437488569262</v>
      </c>
      <c r="C381">
        <v>-228.02413217213046</v>
      </c>
    </row>
    <row r="382" spans="1:3" x14ac:dyDescent="0.25">
      <c r="A382" s="19">
        <v>-253</v>
      </c>
      <c r="B382">
        <v>-272.14840233445443</v>
      </c>
      <c r="C382">
        <v>-230.9693068068062</v>
      </c>
    </row>
    <row r="383" spans="1:3" x14ac:dyDescent="0.25">
      <c r="A383" s="19">
        <v>-254</v>
      </c>
      <c r="B383">
        <v>-262.35873721944404</v>
      </c>
      <c r="C383">
        <v>-234.09870078725885</v>
      </c>
    </row>
    <row r="384" spans="1:3" x14ac:dyDescent="0.25">
      <c r="A384" s="18">
        <v>-255</v>
      </c>
      <c r="B384">
        <v>-251.77301781015234</v>
      </c>
      <c r="C384">
        <v>-237.44426162799354</v>
      </c>
    </row>
    <row r="385" spans="1:3" x14ac:dyDescent="0.25">
      <c r="A385" s="18">
        <v>-256</v>
      </c>
      <c r="B385">
        <v>-240.22095866313563</v>
      </c>
      <c r="C385">
        <v>-241.04534366192331</v>
      </c>
    </row>
    <row r="386" spans="1:3" x14ac:dyDescent="0.25">
      <c r="A386" s="19">
        <v>-257</v>
      </c>
      <c r="B386">
        <v>-227.47937189111724</v>
      </c>
      <c r="C386">
        <v>-244.95115902085115</v>
      </c>
    </row>
    <row r="387" spans="1:3" x14ac:dyDescent="0.25">
      <c r="A387" s="19">
        <v>-258</v>
      </c>
      <c r="B387">
        <v>-213.24950361275896</v>
      </c>
      <c r="C387">
        <v>-249.22429802480715</v>
      </c>
    </row>
    <row r="388" spans="1:3" x14ac:dyDescent="0.25">
      <c r="A388" s="18">
        <v>-259</v>
      </c>
      <c r="B388">
        <v>-197.12167920544508</v>
      </c>
      <c r="C388">
        <v>-253.94592184304324</v>
      </c>
    </row>
    <row r="389" spans="1:3" x14ac:dyDescent="0.25">
      <c r="A389" s="18">
        <v>-260</v>
      </c>
      <c r="B389">
        <v>-178.51816681380456</v>
      </c>
      <c r="C389">
        <v>-259.22367777888923</v>
      </c>
    </row>
    <row r="390" spans="1:3" x14ac:dyDescent="0.25">
      <c r="A390" s="19">
        <v>-261</v>
      </c>
      <c r="B390">
        <v>-161.15303008655388</v>
      </c>
      <c r="C390">
        <v>-262.62054141613527</v>
      </c>
    </row>
    <row r="391" spans="1:3" x14ac:dyDescent="0.25">
      <c r="A391" s="19">
        <v>-262</v>
      </c>
      <c r="B391">
        <v>-144.986100051031</v>
      </c>
      <c r="C391">
        <v>-264.7823042151652</v>
      </c>
    </row>
    <row r="392" spans="1:3" x14ac:dyDescent="0.25">
      <c r="A392" s="18">
        <v>-263</v>
      </c>
      <c r="B392">
        <v>-133.26182813552762</v>
      </c>
      <c r="C392">
        <v>-266.3055548138073</v>
      </c>
    </row>
    <row r="393" spans="1:3" x14ac:dyDescent="0.25">
      <c r="A393" s="18">
        <v>-264</v>
      </c>
      <c r="B393">
        <v>-116.37018715365078</v>
      </c>
      <c r="C393">
        <v>-268.04578118517412</v>
      </c>
    </row>
    <row r="394" spans="1:3" x14ac:dyDescent="0.25">
      <c r="A394" s="19">
        <v>-265</v>
      </c>
      <c r="B394">
        <v>-98.995252894548486</v>
      </c>
      <c r="C394">
        <v>-269.57681084579366</v>
      </c>
    </row>
    <row r="395" spans="1:3" x14ac:dyDescent="0.25">
      <c r="A395" s="19">
        <v>-266</v>
      </c>
      <c r="B395">
        <v>-81.028653723132848</v>
      </c>
      <c r="C395">
        <v>-270.90331127224459</v>
      </c>
    </row>
    <row r="396" spans="1:3" x14ac:dyDescent="0.25">
      <c r="A396" s="18">
        <v>-267</v>
      </c>
      <c r="B396">
        <v>-62.336756583631789</v>
      </c>
      <c r="C396">
        <v>-272.02949287438707</v>
      </c>
    </row>
    <row r="397" spans="1:3" x14ac:dyDescent="0.25">
      <c r="A397" s="18">
        <v>-268</v>
      </c>
      <c r="B397">
        <v>-42.75255674588071</v>
      </c>
      <c r="C397">
        <v>-272.95910326584635</v>
      </c>
    </row>
    <row r="398" spans="1:3" x14ac:dyDescent="0.25">
      <c r="A398" s="19">
        <v>-269</v>
      </c>
      <c r="B398">
        <v>-22.064395695969257</v>
      </c>
      <c r="C398">
        <v>-273.69540232424617</v>
      </c>
    </row>
    <row r="399" spans="1:3" x14ac:dyDescent="0.25">
      <c r="A399" s="19">
        <v>-270</v>
      </c>
      <c r="B399">
        <v>-2.5536728585621138E-13</v>
      </c>
      <c r="C399">
        <v>-274.24111120571098</v>
      </c>
    </row>
    <row r="400" spans="1:3" x14ac:dyDescent="0.25">
      <c r="A400" s="18">
        <v>-271</v>
      </c>
      <c r="B400">
        <v>22.064396700950649</v>
      </c>
      <c r="C400">
        <v>-273.69536851406713</v>
      </c>
    </row>
    <row r="401" spans="1:3" x14ac:dyDescent="0.25">
      <c r="A401" s="18">
        <v>-272</v>
      </c>
      <c r="B401">
        <v>42.752557785170843</v>
      </c>
      <c r="C401">
        <v>-272.95908352111184</v>
      </c>
    </row>
    <row r="402" spans="1:3" x14ac:dyDescent="0.25">
      <c r="A402" s="19">
        <v>-273</v>
      </c>
      <c r="B402">
        <v>62.336757409811938</v>
      </c>
      <c r="C402">
        <v>-272.02948112082868</v>
      </c>
    </row>
    <row r="403" spans="1:3" x14ac:dyDescent="0.25">
      <c r="A403" s="19">
        <v>-274</v>
      </c>
      <c r="B403">
        <v>81.028654320347897</v>
      </c>
      <c r="C403">
        <v>-270.90330415102488</v>
      </c>
    </row>
    <row r="404" spans="1:3" x14ac:dyDescent="0.25">
      <c r="A404" s="18">
        <v>-275</v>
      </c>
      <c r="B404">
        <v>98.995253307850092</v>
      </c>
      <c r="C404">
        <v>-269.57680646038386</v>
      </c>
    </row>
    <row r="405" spans="1:3" x14ac:dyDescent="0.25">
      <c r="A405" s="18">
        <v>-276</v>
      </c>
      <c r="B405">
        <v>116.37018743360204</v>
      </c>
      <c r="C405">
        <v>-268.04577844368811</v>
      </c>
    </row>
    <row r="406" spans="1:3" x14ac:dyDescent="0.25">
      <c r="A406" s="19">
        <v>-277</v>
      </c>
      <c r="B406">
        <v>133.26182828675175</v>
      </c>
      <c r="C406">
        <v>-266.3055534136837</v>
      </c>
    </row>
    <row r="407" spans="1:3" x14ac:dyDescent="0.25">
      <c r="A407" s="19">
        <v>-278</v>
      </c>
      <c r="B407">
        <v>144.98610013967937</v>
      </c>
      <c r="C407">
        <v>-264.78230342050381</v>
      </c>
    </row>
    <row r="408" spans="1:3" x14ac:dyDescent="0.25">
      <c r="A408" s="18">
        <v>-279</v>
      </c>
      <c r="B408">
        <v>161.15308526731343</v>
      </c>
      <c r="C408">
        <v>-262.62006005151386</v>
      </c>
    </row>
    <row r="409" spans="1:3" x14ac:dyDescent="0.25">
      <c r="A409" s="18">
        <v>-280</v>
      </c>
      <c r="B409">
        <v>178.5181534516646</v>
      </c>
      <c r="C409">
        <v>-259.22362673850671</v>
      </c>
    </row>
    <row r="410" spans="1:3" x14ac:dyDescent="0.25">
      <c r="A410" s="19">
        <v>-281</v>
      </c>
      <c r="B410">
        <v>197.12161714965987</v>
      </c>
      <c r="C410">
        <v>-253.94573651635201</v>
      </c>
    </row>
    <row r="411" spans="1:3" x14ac:dyDescent="0.25">
      <c r="A411" s="19">
        <v>-282</v>
      </c>
      <c r="B411">
        <v>213.24945046062959</v>
      </c>
      <c r="C411">
        <v>-249.2241641089029</v>
      </c>
    </row>
    <row r="412" spans="1:3" x14ac:dyDescent="0.25">
      <c r="A412" s="18">
        <v>-283</v>
      </c>
      <c r="B412">
        <v>227.47932770491309</v>
      </c>
      <c r="C412">
        <v>-244.95106091449577</v>
      </c>
    </row>
    <row r="413" spans="1:3" x14ac:dyDescent="0.25">
      <c r="A413" s="18">
        <v>-284</v>
      </c>
      <c r="B413">
        <v>240.22092259788954</v>
      </c>
      <c r="C413">
        <v>-241.04527110553579</v>
      </c>
    </row>
    <row r="414" spans="1:3" x14ac:dyDescent="0.25">
      <c r="A414" s="19">
        <v>-285</v>
      </c>
      <c r="B414">
        <v>251.77298875567064</v>
      </c>
      <c r="C414">
        <v>-237.44420764909208</v>
      </c>
    </row>
    <row r="415" spans="1:3" x14ac:dyDescent="0.25">
      <c r="A415" s="19">
        <v>-286</v>
      </c>
      <c r="B415">
        <v>262.35871406398917</v>
      </c>
      <c r="C415">
        <v>-234.09866051555235</v>
      </c>
    </row>
    <row r="416" spans="1:3" x14ac:dyDescent="0.25">
      <c r="A416" s="18">
        <v>-287</v>
      </c>
      <c r="B416">
        <v>272.14838406633999</v>
      </c>
      <c r="C416">
        <v>-230.96927676208935</v>
      </c>
    </row>
    <row r="417" spans="1:3" x14ac:dyDescent="0.25">
      <c r="A417" s="18">
        <v>-288</v>
      </c>
      <c r="B417">
        <v>281.27436062415558</v>
      </c>
      <c r="C417">
        <v>-228.02410981981458</v>
      </c>
    </row>
    <row r="418" spans="1:3" x14ac:dyDescent="0.25">
      <c r="A418" s="19">
        <v>-289</v>
      </c>
      <c r="B418">
        <v>289.84124897874631</v>
      </c>
      <c r="C418">
        <v>-225.23687315353212</v>
      </c>
    </row>
    <row r="419" spans="1:3" x14ac:dyDescent="0.25">
      <c r="A419" s="19">
        <v>-290</v>
      </c>
      <c r="B419">
        <v>297.9329628036441</v>
      </c>
      <c r="C419">
        <v>-222.58567011804342</v>
      </c>
    </row>
    <row r="420" spans="1:3" x14ac:dyDescent="0.25">
      <c r="A420" s="18">
        <v>-291</v>
      </c>
      <c r="B420">
        <v>305.61773720620573</v>
      </c>
      <c r="C420">
        <v>-220.05205316738042</v>
      </c>
    </row>
    <row r="421" spans="1:3" x14ac:dyDescent="0.25">
      <c r="A421" s="18">
        <v>-292</v>
      </c>
      <c r="B421">
        <v>312.95175280711607</v>
      </c>
      <c r="C421">
        <v>-217.6203154981836</v>
      </c>
    </row>
    <row r="422" spans="1:3" x14ac:dyDescent="0.25">
      <c r="A422" s="19">
        <v>-293</v>
      </c>
      <c r="B422">
        <v>319.98180027518976</v>
      </c>
      <c r="C422">
        <v>-215.27694970359764</v>
      </c>
    </row>
    <row r="423" spans="1:3" x14ac:dyDescent="0.25">
      <c r="A423" s="19">
        <v>-294</v>
      </c>
      <c r="B423">
        <v>326.74726961958208</v>
      </c>
      <c r="C423">
        <v>-213.01022837294624</v>
      </c>
    </row>
    <row r="424" spans="1:3" x14ac:dyDescent="0.25">
      <c r="A424" s="18">
        <v>-295</v>
      </c>
      <c r="B424">
        <v>333.28165631574188</v>
      </c>
      <c r="C424">
        <v>-210.80987502357937</v>
      </c>
    </row>
    <row r="425" spans="1:3" x14ac:dyDescent="0.25">
      <c r="A425" s="18">
        <v>-296</v>
      </c>
      <c r="B425">
        <v>339.61371642858649</v>
      </c>
      <c r="C425">
        <v>-208.66680281525623</v>
      </c>
    </row>
    <row r="426" spans="1:3" x14ac:dyDescent="0.25">
      <c r="A426" s="19">
        <v>-297</v>
      </c>
      <c r="B426">
        <v>345.76839812072336</v>
      </c>
      <c r="C426">
        <v>-206.57294674296804</v>
      </c>
    </row>
    <row r="427" spans="1:3" x14ac:dyDescent="0.25">
      <c r="A427" s="19">
        <v>-298</v>
      </c>
      <c r="B427">
        <v>350.56639995886462</v>
      </c>
      <c r="C427">
        <v>-204.59435323114607</v>
      </c>
    </row>
    <row r="428" spans="1:3" x14ac:dyDescent="0.25">
      <c r="A428" s="18">
        <v>-299</v>
      </c>
      <c r="B428">
        <v>353.28910037989755</v>
      </c>
      <c r="C428">
        <v>-202.77829205481399</v>
      </c>
    </row>
    <row r="429" spans="1:3" x14ac:dyDescent="0.25">
      <c r="A429" s="18">
        <v>-300</v>
      </c>
      <c r="B429">
        <v>355.95385477201461</v>
      </c>
      <c r="C429">
        <v>-200.61328953480032</v>
      </c>
    </row>
    <row r="430" spans="1:3" x14ac:dyDescent="0.25">
      <c r="A430" s="19">
        <v>-301</v>
      </c>
      <c r="B430">
        <v>358.71630725926224</v>
      </c>
      <c r="C430">
        <v>-197.42612869512936</v>
      </c>
    </row>
    <row r="431" spans="1:3" x14ac:dyDescent="0.25">
      <c r="A431" s="19">
        <v>-302</v>
      </c>
      <c r="B431">
        <v>361.30452204902332</v>
      </c>
      <c r="C431">
        <v>-194.34344326712872</v>
      </c>
    </row>
    <row r="432" spans="1:3" x14ac:dyDescent="0.25">
      <c r="A432" s="18">
        <v>-303</v>
      </c>
      <c r="B432">
        <v>363.73544512564371</v>
      </c>
      <c r="C432">
        <v>-191.35609283553302</v>
      </c>
    </row>
    <row r="433" spans="1:3" x14ac:dyDescent="0.25">
      <c r="A433" s="18">
        <v>-304</v>
      </c>
      <c r="B433">
        <v>366.02401735907881</v>
      </c>
      <c r="C433">
        <v>-188.45579524839388</v>
      </c>
    </row>
    <row r="434" spans="1:3" x14ac:dyDescent="0.25">
      <c r="A434" s="19">
        <v>-305</v>
      </c>
      <c r="B434">
        <v>368.18342710067117</v>
      </c>
      <c r="C434">
        <v>-185.63499898460364</v>
      </c>
    </row>
    <row r="435" spans="1:3" x14ac:dyDescent="0.25">
      <c r="A435" s="19">
        <v>-306</v>
      </c>
      <c r="B435">
        <v>370.22536174117516</v>
      </c>
      <c r="C435">
        <v>-182.88678649994318</v>
      </c>
    </row>
    <row r="436" spans="1:3" x14ac:dyDescent="0.25">
      <c r="A436" s="18">
        <v>-307</v>
      </c>
      <c r="B436">
        <v>372.16099022084734</v>
      </c>
      <c r="C436">
        <v>-180.20497837005661</v>
      </c>
    </row>
    <row r="437" spans="1:3" x14ac:dyDescent="0.25">
      <c r="A437" s="18">
        <v>-308</v>
      </c>
      <c r="B437">
        <v>373.99776625242089</v>
      </c>
      <c r="C437">
        <v>-177.58323984511844</v>
      </c>
    </row>
    <row r="438" spans="1:3" x14ac:dyDescent="0.25">
      <c r="A438" s="19">
        <v>-309</v>
      </c>
      <c r="B438">
        <v>375.74502572499165</v>
      </c>
      <c r="C438">
        <v>-175.01635225540775</v>
      </c>
    </row>
    <row r="439" spans="1:3" x14ac:dyDescent="0.25">
      <c r="A439" s="19">
        <v>-310</v>
      </c>
      <c r="B439">
        <v>377.41062905514207</v>
      </c>
      <c r="C439">
        <v>-172.49928946819543</v>
      </c>
    </row>
    <row r="440" spans="1:3" x14ac:dyDescent="0.25">
      <c r="A440" s="18">
        <v>-311</v>
      </c>
      <c r="B440">
        <v>379.00129573225041</v>
      </c>
      <c r="C440">
        <v>-170.02723755636922</v>
      </c>
    </row>
    <row r="441" spans="1:3" x14ac:dyDescent="0.25">
      <c r="A441" s="18">
        <v>-312</v>
      </c>
      <c r="B441">
        <v>380.52193383920138</v>
      </c>
      <c r="C441">
        <v>-167.59539919379489</v>
      </c>
    </row>
    <row r="442" spans="1:3" x14ac:dyDescent="0.25">
      <c r="A442" s="19">
        <v>-313</v>
      </c>
      <c r="B442">
        <v>381.97950890593012</v>
      </c>
      <c r="C442">
        <v>-165.19977502162715</v>
      </c>
    </row>
    <row r="443" spans="1:3" x14ac:dyDescent="0.25">
      <c r="A443" s="19">
        <v>-314</v>
      </c>
      <c r="B443">
        <v>383.37854149897339</v>
      </c>
      <c r="C443">
        <v>-162.8361277783948</v>
      </c>
    </row>
    <row r="444" spans="1:3" x14ac:dyDescent="0.25">
      <c r="A444" s="18">
        <v>-315</v>
      </c>
      <c r="B444">
        <v>384.72365809516384</v>
      </c>
      <c r="C444">
        <v>-160.50049347441242</v>
      </c>
    </row>
    <row r="445" spans="1:3" x14ac:dyDescent="0.25">
      <c r="A445" s="18">
        <v>-316</v>
      </c>
      <c r="B445">
        <v>386.01910654176885</v>
      </c>
      <c r="C445">
        <v>-158.18903145208017</v>
      </c>
    </row>
    <row r="446" spans="1:3" x14ac:dyDescent="0.25">
      <c r="A446" s="19">
        <v>-317</v>
      </c>
      <c r="B446">
        <v>387.26880202685601</v>
      </c>
      <c r="C446">
        <v>-155.89799353309448</v>
      </c>
    </row>
    <row r="447" spans="1:3" x14ac:dyDescent="0.25">
      <c r="A447" s="19">
        <v>-318</v>
      </c>
      <c r="B447">
        <v>388.47636776064132</v>
      </c>
      <c r="C447">
        <v>-153.62369392773576</v>
      </c>
    </row>
    <row r="448" spans="1:3" x14ac:dyDescent="0.25">
      <c r="A448" s="18">
        <v>-319</v>
      </c>
      <c r="B448">
        <v>389.64517123133504</v>
      </c>
      <c r="C448">
        <v>-151.36247933679709</v>
      </c>
    </row>
    <row r="449" spans="1:3" x14ac:dyDescent="0.25">
      <c r="A449" s="18">
        <v>-320</v>
      </c>
      <c r="B449">
        <v>390.77835677656714</v>
      </c>
      <c r="C449">
        <v>-149.11069866595619</v>
      </c>
    </row>
    <row r="450" spans="1:3" x14ac:dyDescent="0.25">
      <c r="A450" s="19">
        <v>-321</v>
      </c>
      <c r="B450">
        <v>391.87887511435548</v>
      </c>
      <c r="C450">
        <v>-146.86467174101082</v>
      </c>
    </row>
    <row r="451" spans="1:3" x14ac:dyDescent="0.25">
      <c r="A451" s="19">
        <v>-322</v>
      </c>
      <c r="B451">
        <v>392.94951040202324</v>
      </c>
      <c r="C451">
        <v>-144.6206563582183</v>
      </c>
    </row>
    <row r="452" spans="1:3" x14ac:dyDescent="0.25">
      <c r="A452" s="18">
        <v>-323</v>
      </c>
      <c r="B452">
        <v>393.99290533457781</v>
      </c>
      <c r="C452">
        <v>-142.37481292343745</v>
      </c>
    </row>
    <row r="453" spans="1:3" x14ac:dyDescent="0.25">
      <c r="A453" s="18">
        <v>-324</v>
      </c>
      <c r="B453">
        <v>395.01158475373467</v>
      </c>
      <c r="C453">
        <v>-140.12316582158454</v>
      </c>
    </row>
    <row r="454" spans="1:3" x14ac:dyDescent="0.25">
      <c r="A454" s="19">
        <v>-325</v>
      </c>
      <c r="B454">
        <v>396.00797821384413</v>
      </c>
      <c r="C454">
        <v>-137.86156050670527</v>
      </c>
    </row>
    <row r="455" spans="1:3" x14ac:dyDescent="0.25">
      <c r="A455" s="19">
        <v>-326</v>
      </c>
      <c r="B455">
        <v>396.98532424609084</v>
      </c>
      <c r="C455">
        <v>-135.58573679958329</v>
      </c>
    </row>
    <row r="456" spans="1:3" x14ac:dyDescent="0.25">
      <c r="A456" s="18">
        <v>-327</v>
      </c>
      <c r="B456">
        <v>397.94378817868954</v>
      </c>
      <c r="C456">
        <v>-133.29073206667283</v>
      </c>
    </row>
    <row r="457" spans="1:3" x14ac:dyDescent="0.25">
      <c r="A457" s="18">
        <v>-328</v>
      </c>
      <c r="B457">
        <v>398.88683338615556</v>
      </c>
      <c r="C457">
        <v>-130.97170695703178</v>
      </c>
    </row>
    <row r="458" spans="1:3" x14ac:dyDescent="0.25">
      <c r="A458" s="19">
        <v>-329</v>
      </c>
      <c r="B458">
        <v>399.81672095149321</v>
      </c>
      <c r="C458">
        <v>-128.62322855299038</v>
      </c>
    </row>
    <row r="459" spans="1:3" x14ac:dyDescent="0.25">
      <c r="A459" s="19">
        <v>-330</v>
      </c>
      <c r="B459">
        <v>400.73679049321123</v>
      </c>
      <c r="C459">
        <v>-126.23947343319301</v>
      </c>
    </row>
    <row r="460" spans="1:3" x14ac:dyDescent="0.25">
      <c r="A460" s="18">
        <v>-331</v>
      </c>
      <c r="B460">
        <v>401.6479394569846</v>
      </c>
      <c r="C460">
        <v>-123.81370687528526</v>
      </c>
    </row>
    <row r="461" spans="1:3" x14ac:dyDescent="0.25">
      <c r="A461" s="18">
        <v>-332</v>
      </c>
      <c r="B461">
        <v>402.55302783784657</v>
      </c>
      <c r="C461">
        <v>-121.33867397691954</v>
      </c>
    </row>
    <row r="462" spans="1:3" x14ac:dyDescent="0.25">
      <c r="A462" s="19">
        <v>-333</v>
      </c>
      <c r="B462">
        <v>403.45456531453607</v>
      </c>
      <c r="C462">
        <v>-118.80616049786902</v>
      </c>
    </row>
    <row r="463" spans="1:3" x14ac:dyDescent="0.25">
      <c r="A463" s="19">
        <v>-334</v>
      </c>
      <c r="B463">
        <v>404.35520553460049</v>
      </c>
      <c r="C463">
        <v>-116.20685330867482</v>
      </c>
    </row>
    <row r="464" spans="1:3" x14ac:dyDescent="0.25">
      <c r="A464" s="18">
        <v>-335</v>
      </c>
      <c r="B464">
        <v>405.25779053302227</v>
      </c>
      <c r="C464">
        <v>-113.53009870175212</v>
      </c>
    </row>
    <row r="465" spans="1:3" x14ac:dyDescent="0.25">
      <c r="A465" s="18">
        <v>-336</v>
      </c>
      <c r="B465">
        <v>406.16540363437525</v>
      </c>
      <c r="C465">
        <v>-110.76359875091406</v>
      </c>
    </row>
    <row r="466" spans="1:3" x14ac:dyDescent="0.25">
      <c r="A466" s="19">
        <v>-337</v>
      </c>
      <c r="B466">
        <v>407.08143341322034</v>
      </c>
      <c r="C466">
        <v>-107.89302598910457</v>
      </c>
    </row>
    <row r="467" spans="1:3" x14ac:dyDescent="0.25">
      <c r="A467" s="19">
        <v>-338</v>
      </c>
      <c r="B467">
        <v>408.00965212836479</v>
      </c>
      <c r="C467">
        <v>-104.90152925357015</v>
      </c>
    </row>
    <row r="468" spans="1:3" x14ac:dyDescent="0.25">
      <c r="A468" s="18">
        <v>-339</v>
      </c>
      <c r="B468">
        <v>408.95431322561564</v>
      </c>
      <c r="C468">
        <v>-101.76909284497175</v>
      </c>
    </row>
    <row r="469" spans="1:3" x14ac:dyDescent="0.25">
      <c r="A469" s="18">
        <v>-340</v>
      </c>
      <c r="B469">
        <v>409.92027417741821</v>
      </c>
      <c r="C469">
        <v>-98.471695475787854</v>
      </c>
    </row>
    <row r="470" spans="1:3" x14ac:dyDescent="0.25">
      <c r="A470" s="19">
        <v>-341</v>
      </c>
      <c r="B470">
        <v>410.91315333797252</v>
      </c>
      <c r="C470">
        <v>-94.980192157359838</v>
      </c>
    </row>
    <row r="471" spans="1:3" x14ac:dyDescent="0.25">
      <c r="A471" s="19">
        <v>-342</v>
      </c>
      <c r="B471">
        <v>411.93953301878969</v>
      </c>
      <c r="C471">
        <v>-91.25880682640188</v>
      </c>
    </row>
    <row r="472" spans="1:3" x14ac:dyDescent="0.25">
      <c r="A472" s="18">
        <v>-343</v>
      </c>
      <c r="B472">
        <v>413.00722624079884</v>
      </c>
      <c r="C472">
        <v>-87.263068879454337</v>
      </c>
    </row>
    <row r="473" spans="1:3" x14ac:dyDescent="0.25">
      <c r="A473" s="18">
        <v>-344</v>
      </c>
      <c r="B473">
        <v>414.12563259329585</v>
      </c>
      <c r="C473">
        <v>-82.936940496629703</v>
      </c>
    </row>
    <row r="474" spans="1:3" x14ac:dyDescent="0.25">
      <c r="A474" s="19">
        <v>-345</v>
      </c>
      <c r="B474">
        <v>415.30450717738393</v>
      </c>
      <c r="C474">
        <v>-78.216185175890246</v>
      </c>
    </row>
    <row r="475" spans="1:3" x14ac:dyDescent="0.25">
      <c r="A475" s="19">
        <v>-346</v>
      </c>
      <c r="B475">
        <v>416.45095707910741</v>
      </c>
      <c r="C475">
        <v>-73.333763104619948</v>
      </c>
    </row>
    <row r="476" spans="1:3" x14ac:dyDescent="0.25">
      <c r="A476" s="18">
        <v>-347</v>
      </c>
      <c r="B476">
        <v>417.51872600866398</v>
      </c>
      <c r="C476">
        <v>-68.429346653814989</v>
      </c>
    </row>
    <row r="477" spans="1:3" x14ac:dyDescent="0.25">
      <c r="A477" s="18">
        <v>-348</v>
      </c>
      <c r="B477">
        <v>418.50952484088191</v>
      </c>
      <c r="C477">
        <v>-63.494727171439948</v>
      </c>
    </row>
    <row r="478" spans="1:3" x14ac:dyDescent="0.25">
      <c r="A478" s="19">
        <v>-349</v>
      </c>
      <c r="B478">
        <v>419.15294510070089</v>
      </c>
      <c r="C478">
        <v>-61.094730312876649</v>
      </c>
    </row>
    <row r="479" spans="1:3" x14ac:dyDescent="0.25">
      <c r="A479" s="19">
        <v>-350</v>
      </c>
      <c r="B479">
        <v>420.00528515911327</v>
      </c>
      <c r="C479">
        <v>-56.06601809216577</v>
      </c>
    </row>
    <row r="480" spans="1:3" x14ac:dyDescent="0.25">
      <c r="A480" s="18">
        <v>-351</v>
      </c>
      <c r="B480">
        <v>420.7871255126293</v>
      </c>
      <c r="C480">
        <v>-50.97732032508182</v>
      </c>
    </row>
    <row r="481" spans="1:3" x14ac:dyDescent="0.25">
      <c r="A481" s="18">
        <v>-352</v>
      </c>
      <c r="B481">
        <v>421.50014193616482</v>
      </c>
      <c r="C481">
        <v>-45.817024471731663</v>
      </c>
    </row>
    <row r="482" spans="1:3" x14ac:dyDescent="0.25">
      <c r="A482" s="19">
        <v>-353</v>
      </c>
      <c r="B482">
        <v>422.14582686969476</v>
      </c>
      <c r="C482">
        <v>-40.572252744290765</v>
      </c>
    </row>
    <row r="483" spans="1:3" x14ac:dyDescent="0.25">
      <c r="A483" s="19">
        <v>-354</v>
      </c>
      <c r="B483">
        <v>422.72548125660393</v>
      </c>
      <c r="C483">
        <v>-35.228613437804491</v>
      </c>
    </row>
    <row r="484" spans="1:3" x14ac:dyDescent="0.25">
      <c r="A484" s="18">
        <v>-355</v>
      </c>
      <c r="B484">
        <v>423.24021946907823</v>
      </c>
      <c r="C484">
        <v>-29.769897186498902</v>
      </c>
    </row>
    <row r="485" spans="1:3" x14ac:dyDescent="0.25">
      <c r="A485" s="18">
        <v>-356</v>
      </c>
      <c r="B485">
        <v>423.69097288217671</v>
      </c>
      <c r="C485">
        <v>-24.177703598256279</v>
      </c>
    </row>
    <row r="486" spans="1:3" x14ac:dyDescent="0.25">
      <c r="A486" s="19">
        <v>-357</v>
      </c>
      <c r="B486">
        <v>424.07849208590966</v>
      </c>
      <c r="C486">
        <v>-18.430978447155642</v>
      </c>
    </row>
    <row r="487" spans="1:3" x14ac:dyDescent="0.25">
      <c r="A487" s="19">
        <v>-358</v>
      </c>
      <c r="B487">
        <v>424.40334770451915</v>
      </c>
      <c r="C487">
        <v>-12.505434948229755</v>
      </c>
    </row>
    <row r="488" spans="1:3" x14ac:dyDescent="0.25">
      <c r="A488" s="18">
        <v>-359</v>
      </c>
      <c r="B488">
        <v>424.66592977105091</v>
      </c>
      <c r="C488">
        <v>-6.3728233546230637</v>
      </c>
    </row>
    <row r="489" spans="1:3" x14ac:dyDescent="0.25">
      <c r="A489" s="18">
        <v>-360</v>
      </c>
      <c r="B489">
        <v>424.86644558306716</v>
      </c>
      <c r="C489">
        <v>-1.1161610557441955E-13</v>
      </c>
    </row>
    <row r="490" spans="1:3" x14ac:dyDescent="0.25">
      <c r="B490">
        <f>B129</f>
        <v>424.86643826493577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2020-01-16T14:37:25Z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