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8_{F1BDAB82-640A-4ABF-ACB8-5045126F5A8F}" xr6:coauthVersionLast="45" xr6:coauthVersionMax="45" xr10:uidLastSave="{00000000-0000-0000-0000-000000000000}"/>
  <bookViews>
    <workbookView xWindow="960" yWindow="315" windowWidth="25170" windowHeight="16815" xr2:uid="{95B8903A-7944-4A5B-B8CD-C02474F51CAC}"/>
  </bookViews>
  <sheets>
    <sheet name="circle_section" sheetId="1" r:id="rId1"/>
    <sheet name="P_M_Curve" sheetId="2" r:id="rId2"/>
    <sheet name="P_M_Curve (Whitney vs PCA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3" i="1" l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BC2" i="1"/>
  <c r="AY2" i="1"/>
  <c r="AY104" i="1"/>
  <c r="AV105" i="1"/>
  <c r="BI105" i="1" l="1"/>
  <c r="BF104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M2" i="1"/>
  <c r="BI2" i="1"/>
  <c r="B7" i="1"/>
  <c r="AY105" i="1" l="1"/>
  <c r="L11" i="1" l="1"/>
  <c r="B133" i="1" l="1"/>
  <c r="B131" i="1"/>
  <c r="B126" i="1"/>
  <c r="B136" i="1" l="1"/>
  <c r="J136" i="1" l="1"/>
  <c r="K136" i="1" s="1"/>
  <c r="F162" i="1"/>
  <c r="E162" i="1" s="1"/>
  <c r="N162" i="1" l="1"/>
  <c r="Y162" i="1" s="1"/>
  <c r="I162" i="1"/>
  <c r="M162" i="1"/>
  <c r="X162" i="1" s="1"/>
  <c r="B140" i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L47" i="1" s="1"/>
  <c r="C48" i="1"/>
  <c r="L48" i="1" s="1"/>
  <c r="C49" i="1"/>
  <c r="L49" i="1" s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37" i="1"/>
  <c r="E32" i="1"/>
  <c r="D37" i="1" s="1"/>
  <c r="AA37" i="1"/>
  <c r="Z37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l="1"/>
  <c r="F14" i="1"/>
  <c r="G15" i="1"/>
  <c r="G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L38" i="1" s="1"/>
  <c r="I39" i="1"/>
  <c r="J39" i="1"/>
  <c r="K39" i="1" s="1"/>
  <c r="L39" i="1" s="1"/>
  <c r="I40" i="1"/>
  <c r="J40" i="1"/>
  <c r="K40" i="1" s="1"/>
  <c r="L40" i="1" s="1"/>
  <c r="I41" i="1"/>
  <c r="J41" i="1"/>
  <c r="K41" i="1" s="1"/>
  <c r="L41" i="1" s="1"/>
  <c r="I42" i="1"/>
  <c r="J42" i="1"/>
  <c r="K42" i="1" s="1"/>
  <c r="L42" i="1" s="1"/>
  <c r="I43" i="1"/>
  <c r="J43" i="1"/>
  <c r="K43" i="1" s="1"/>
  <c r="L43" i="1" s="1"/>
  <c r="I44" i="1"/>
  <c r="J44" i="1"/>
  <c r="K44" i="1" s="1"/>
  <c r="L44" i="1" s="1"/>
  <c r="I45" i="1"/>
  <c r="J45" i="1"/>
  <c r="K45" i="1" s="1"/>
  <c r="L45" i="1" s="1"/>
  <c r="I46" i="1"/>
  <c r="J46" i="1"/>
  <c r="K46" i="1" s="1"/>
  <c r="L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L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H18" i="1" l="1"/>
  <c r="C19" i="1"/>
  <c r="G17" i="1"/>
  <c r="H17" i="1"/>
  <c r="G18" i="1"/>
  <c r="L13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J16" i="1" s="1"/>
  <c r="G37" i="1"/>
  <c r="L16" i="1" l="1"/>
  <c r="K16" i="1"/>
  <c r="A165" i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9" i="1"/>
  <c r="B127" i="1"/>
  <c r="B128" i="1" s="1"/>
  <c r="B8" i="1"/>
  <c r="B173" i="1" l="1"/>
  <c r="F142" i="1"/>
  <c r="F140" i="1"/>
  <c r="F141" i="1"/>
  <c r="J162" i="1"/>
  <c r="Q162" i="1" s="1"/>
  <c r="AA162" i="1" s="1"/>
  <c r="M62" i="1"/>
  <c r="N62" i="1" s="1"/>
  <c r="M98" i="1"/>
  <c r="N98" i="1" s="1"/>
  <c r="M73" i="1"/>
  <c r="N73" i="1" s="1"/>
  <c r="M61" i="1"/>
  <c r="N61" i="1" s="1"/>
  <c r="M75" i="1"/>
  <c r="N75" i="1" s="1"/>
  <c r="M88" i="1"/>
  <c r="N88" i="1" s="1"/>
  <c r="M103" i="1"/>
  <c r="N103" i="1" s="1"/>
  <c r="M47" i="1"/>
  <c r="N47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48" i="1"/>
  <c r="N48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49" i="1"/>
  <c r="N49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B206" i="1"/>
  <c r="B182" i="1"/>
  <c r="B221" i="1"/>
  <c r="B134" i="1"/>
  <c r="B135" i="1" s="1"/>
  <c r="B130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B209" i="1"/>
  <c r="B158" i="1"/>
  <c r="M44" i="1" s="1"/>
  <c r="B155" i="1"/>
  <c r="M41" i="1" s="1"/>
  <c r="N41" i="1" s="1"/>
  <c r="B177" i="1"/>
  <c r="B204" i="1"/>
  <c r="B216" i="1"/>
  <c r="B192" i="1"/>
  <c r="B160" i="1"/>
  <c r="M46" i="1" s="1"/>
  <c r="N46" i="1" s="1"/>
  <c r="B171" i="1"/>
  <c r="B217" i="1"/>
  <c r="B202" i="1"/>
  <c r="B219" i="1"/>
  <c r="B174" i="1"/>
  <c r="B159" i="1"/>
  <c r="M45" i="1" s="1"/>
  <c r="N45" i="1" s="1"/>
  <c r="B214" i="1"/>
  <c r="B184" i="1"/>
  <c r="B195" i="1"/>
  <c r="B178" i="1"/>
  <c r="B197" i="1"/>
  <c r="B161" i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F144" i="1" l="1"/>
  <c r="F143" i="1"/>
  <c r="J135" i="1"/>
  <c r="K135" i="1" s="1"/>
  <c r="E159" i="1"/>
  <c r="H162" i="1" s="1"/>
  <c r="G162" i="1" s="1"/>
  <c r="F12" i="1"/>
  <c r="F13" i="1"/>
  <c r="Q141" i="1"/>
  <c r="P140" i="1"/>
  <c r="N44" i="1"/>
  <c r="P44" i="1" s="1"/>
  <c r="J140" i="1"/>
  <c r="K141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B145" i="1" l="1"/>
  <c r="B146" i="1" s="1"/>
  <c r="D146" i="1" s="1"/>
  <c r="P141" i="1" s="1"/>
  <c r="P162" i="1"/>
  <c r="H163" i="1"/>
  <c r="G163" i="1" s="1"/>
  <c r="K162" i="1"/>
  <c r="L162" i="1" s="1"/>
  <c r="R162" i="1" s="1"/>
  <c r="Z162" i="1" s="1"/>
  <c r="O162" i="1"/>
  <c r="V162" i="1" s="1"/>
  <c r="F163" i="1"/>
  <c r="E163" i="1" s="1"/>
  <c r="B16" i="1"/>
  <c r="B17" i="1" s="1"/>
  <c r="Y44" i="1"/>
  <c r="V44" i="1"/>
  <c r="O44" i="1"/>
  <c r="O109" i="1" s="1"/>
  <c r="O149" i="1" s="1"/>
  <c r="Y149" i="1" s="1"/>
  <c r="X44" i="1"/>
  <c r="N109" i="1"/>
  <c r="L149" i="1" s="1"/>
  <c r="V149" i="1" s="1"/>
  <c r="U44" i="1"/>
  <c r="E18" i="1"/>
  <c r="E17" i="1"/>
  <c r="F18" i="1"/>
  <c r="F17" i="1"/>
  <c r="D26" i="1"/>
  <c r="B27" i="1" s="1"/>
  <c r="P109" i="1"/>
  <c r="R149" i="1" s="1"/>
  <c r="AB149" i="1" s="1"/>
  <c r="D27" i="1"/>
  <c r="B28" i="1" s="1"/>
  <c r="G28" i="1" s="1"/>
  <c r="D145" i="1" l="1"/>
  <c r="Q140" i="1" s="1"/>
  <c r="R140" i="1" s="1"/>
  <c r="P163" i="1"/>
  <c r="O163" i="1"/>
  <c r="V163" i="1" s="1"/>
  <c r="H164" i="1"/>
  <c r="G164" i="1" s="1"/>
  <c r="F164" i="1"/>
  <c r="E164" i="1" s="1"/>
  <c r="K163" i="1"/>
  <c r="L163" i="1" s="1"/>
  <c r="R163" i="1" s="1"/>
  <c r="Z163" i="1" s="1"/>
  <c r="N163" i="1"/>
  <c r="Y163" i="1" s="1"/>
  <c r="I163" i="1"/>
  <c r="J163" i="1" s="1"/>
  <c r="Q163" i="1" s="1"/>
  <c r="AA163" i="1" s="1"/>
  <c r="M163" i="1"/>
  <c r="X163" i="1" s="1"/>
  <c r="W162" i="1"/>
  <c r="S162" i="1"/>
  <c r="U162" i="1"/>
  <c r="T162" i="1"/>
  <c r="L19" i="1"/>
  <c r="M141" i="1"/>
  <c r="O141" i="1" s="1"/>
  <c r="N145" i="1"/>
  <c r="K145" i="1"/>
  <c r="Q145" i="1"/>
  <c r="R141" i="1"/>
  <c r="J141" i="1"/>
  <c r="L141" i="1" s="1"/>
  <c r="M19" i="1"/>
  <c r="N19" i="1"/>
  <c r="G26" i="1"/>
  <c r="F26" i="1"/>
  <c r="L24" i="1"/>
  <c r="L25" i="1" s="1"/>
  <c r="F27" i="1"/>
  <c r="F28" i="1"/>
  <c r="G27" i="1"/>
  <c r="J145" i="1" l="1"/>
  <c r="L145" i="1" s="1"/>
  <c r="AE263" i="1" s="1"/>
  <c r="N140" i="1"/>
  <c r="O140" i="1" s="1"/>
  <c r="O142" i="1" s="1"/>
  <c r="P145" i="1"/>
  <c r="R145" i="1" s="1"/>
  <c r="AG263" i="1" s="1"/>
  <c r="K140" i="1"/>
  <c r="L140" i="1" s="1"/>
  <c r="L142" i="1" s="1"/>
  <c r="M145" i="1"/>
  <c r="O145" i="1" s="1"/>
  <c r="AF263" i="1" s="1"/>
  <c r="AD162" i="1"/>
  <c r="AG162" i="1" s="1"/>
  <c r="AB162" i="1"/>
  <c r="AE162" i="1" s="1"/>
  <c r="AC162" i="1"/>
  <c r="AF162" i="1" s="1"/>
  <c r="N164" i="1"/>
  <c r="Y164" i="1" s="1"/>
  <c r="I164" i="1"/>
  <c r="J164" i="1" s="1"/>
  <c r="Q164" i="1" s="1"/>
  <c r="M164" i="1"/>
  <c r="X164" i="1" s="1"/>
  <c r="P164" i="1"/>
  <c r="K164" i="1"/>
  <c r="L164" i="1" s="1"/>
  <c r="R164" i="1" s="1"/>
  <c r="Z164" i="1" s="1"/>
  <c r="O164" i="1"/>
  <c r="V164" i="1" s="1"/>
  <c r="F165" i="1"/>
  <c r="E165" i="1" s="1"/>
  <c r="H165" i="1"/>
  <c r="G165" i="1" s="1"/>
  <c r="U163" i="1"/>
  <c r="S163" i="1"/>
  <c r="W163" i="1"/>
  <c r="AB163" i="1" s="1"/>
  <c r="T163" i="1"/>
  <c r="H28" i="1"/>
  <c r="R142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AE163" i="1" l="1"/>
  <c r="H166" i="1"/>
  <c r="G166" i="1" s="1"/>
  <c r="P165" i="1"/>
  <c r="K165" i="1"/>
  <c r="L165" i="1" s="1"/>
  <c r="R165" i="1" s="1"/>
  <c r="Z165" i="1" s="1"/>
  <c r="O165" i="1"/>
  <c r="V165" i="1" s="1"/>
  <c r="F166" i="1"/>
  <c r="E166" i="1" s="1"/>
  <c r="S164" i="1"/>
  <c r="W164" i="1"/>
  <c r="U164" i="1"/>
  <c r="AD163" i="1"/>
  <c r="AG163" i="1" s="1"/>
  <c r="N165" i="1"/>
  <c r="Y165" i="1" s="1"/>
  <c r="M165" i="1"/>
  <c r="X165" i="1" s="1"/>
  <c r="I165" i="1"/>
  <c r="J165" i="1" s="1"/>
  <c r="Q165" i="1" s="1"/>
  <c r="AA165" i="1" s="1"/>
  <c r="AC163" i="1"/>
  <c r="AF163" i="1" s="1"/>
  <c r="T164" i="1"/>
  <c r="AA164" i="1"/>
  <c r="L147" i="1"/>
  <c r="L151" i="1" s="1"/>
  <c r="L153" i="1" s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J3" i="1" l="1"/>
  <c r="AC164" i="1"/>
  <c r="AF164" i="1" s="1"/>
  <c r="AD164" i="1"/>
  <c r="AG164" i="1" s="1"/>
  <c r="AB164" i="1"/>
  <c r="AE164" i="1" s="1"/>
  <c r="T165" i="1"/>
  <c r="U165" i="1"/>
  <c r="S165" i="1"/>
  <c r="W165" i="1"/>
  <c r="AD165" i="1" s="1"/>
  <c r="N166" i="1"/>
  <c r="Y166" i="1" s="1"/>
  <c r="I166" i="1"/>
  <c r="J166" i="1" s="1"/>
  <c r="Q166" i="1" s="1"/>
  <c r="AA166" i="1" s="1"/>
  <c r="M166" i="1"/>
  <c r="X166" i="1" s="1"/>
  <c r="H167" i="1"/>
  <c r="G167" i="1" s="1"/>
  <c r="P166" i="1"/>
  <c r="K166" i="1"/>
  <c r="L166" i="1" s="1"/>
  <c r="R166" i="1" s="1"/>
  <c r="Z166" i="1" s="1"/>
  <c r="O166" i="1"/>
  <c r="V166" i="1" s="1"/>
  <c r="F167" i="1"/>
  <c r="E167" i="1" s="1"/>
  <c r="R153" i="1"/>
  <c r="O153" i="1"/>
  <c r="L31" i="1"/>
  <c r="B113" i="1"/>
  <c r="B117" i="1" s="1"/>
  <c r="L30" i="1"/>
  <c r="J5" i="1" l="1"/>
  <c r="AG165" i="1"/>
  <c r="AC165" i="1"/>
  <c r="AF165" i="1" s="1"/>
  <c r="AB165" i="1"/>
  <c r="AE165" i="1" s="1"/>
  <c r="N167" i="1"/>
  <c r="Y167" i="1" s="1"/>
  <c r="M167" i="1"/>
  <c r="X167" i="1" s="1"/>
  <c r="I167" i="1"/>
  <c r="J167" i="1" s="1"/>
  <c r="Q167" i="1" s="1"/>
  <c r="AA167" i="1" s="1"/>
  <c r="H168" i="1"/>
  <c r="G168" i="1" s="1"/>
  <c r="P167" i="1"/>
  <c r="K167" i="1"/>
  <c r="L167" i="1" s="1"/>
  <c r="R167" i="1" s="1"/>
  <c r="Z167" i="1" s="1"/>
  <c r="O167" i="1"/>
  <c r="V167" i="1" s="1"/>
  <c r="F168" i="1"/>
  <c r="E168" i="1" s="1"/>
  <c r="W166" i="1"/>
  <c r="AB166" i="1" s="1"/>
  <c r="S166" i="1"/>
  <c r="T166" i="1"/>
  <c r="U166" i="1"/>
  <c r="B116" i="1"/>
  <c r="J4" i="1" s="1"/>
  <c r="AD166" i="1" l="1"/>
  <c r="AG166" i="1" s="1"/>
  <c r="AE166" i="1"/>
  <c r="S167" i="1"/>
  <c r="W167" i="1"/>
  <c r="AB167" i="1" s="1"/>
  <c r="T167" i="1"/>
  <c r="U167" i="1"/>
  <c r="AC166" i="1"/>
  <c r="AF166" i="1" s="1"/>
  <c r="N168" i="1"/>
  <c r="Y168" i="1" s="1"/>
  <c r="I168" i="1"/>
  <c r="J168" i="1" s="1"/>
  <c r="Q168" i="1" s="1"/>
  <c r="M168" i="1"/>
  <c r="X168" i="1" s="1"/>
  <c r="H169" i="1"/>
  <c r="G169" i="1" s="1"/>
  <c r="P168" i="1"/>
  <c r="K168" i="1"/>
  <c r="L168" i="1" s="1"/>
  <c r="R168" i="1" s="1"/>
  <c r="Z168" i="1" s="1"/>
  <c r="O168" i="1"/>
  <c r="V168" i="1" s="1"/>
  <c r="F169" i="1"/>
  <c r="E169" i="1" s="1"/>
  <c r="L4" i="1"/>
  <c r="AD167" i="1" l="1"/>
  <c r="AG167" i="1" s="1"/>
  <c r="AC167" i="1"/>
  <c r="AF167" i="1" s="1"/>
  <c r="N169" i="1"/>
  <c r="Y169" i="1" s="1"/>
  <c r="M169" i="1"/>
  <c r="X169" i="1" s="1"/>
  <c r="I169" i="1"/>
  <c r="J169" i="1" s="1"/>
  <c r="Q169" i="1" s="1"/>
  <c r="AA169" i="1" s="1"/>
  <c r="T168" i="1"/>
  <c r="AA168" i="1"/>
  <c r="H170" i="1"/>
  <c r="G170" i="1" s="1"/>
  <c r="P169" i="1"/>
  <c r="K169" i="1"/>
  <c r="L169" i="1" s="1"/>
  <c r="R169" i="1" s="1"/>
  <c r="Z169" i="1" s="1"/>
  <c r="O169" i="1"/>
  <c r="V169" i="1" s="1"/>
  <c r="F170" i="1"/>
  <c r="E170" i="1" s="1"/>
  <c r="S168" i="1"/>
  <c r="W168" i="1"/>
  <c r="U168" i="1"/>
  <c r="AE167" i="1"/>
  <c r="AB168" i="1" l="1"/>
  <c r="AE168" i="1" s="1"/>
  <c r="AC168" i="1"/>
  <c r="AF168" i="1" s="1"/>
  <c r="AD168" i="1"/>
  <c r="AG168" i="1" s="1"/>
  <c r="H171" i="1"/>
  <c r="G171" i="1" s="1"/>
  <c r="P170" i="1"/>
  <c r="K170" i="1"/>
  <c r="L170" i="1" s="1"/>
  <c r="R170" i="1" s="1"/>
  <c r="O170" i="1"/>
  <c r="V170" i="1" s="1"/>
  <c r="F171" i="1"/>
  <c r="E171" i="1" s="1"/>
  <c r="N170" i="1"/>
  <c r="Y170" i="1" s="1"/>
  <c r="I170" i="1"/>
  <c r="J170" i="1" s="1"/>
  <c r="Q170" i="1" s="1"/>
  <c r="AA170" i="1" s="1"/>
  <c r="M170" i="1"/>
  <c r="X170" i="1" s="1"/>
  <c r="T169" i="1"/>
  <c r="S169" i="1"/>
  <c r="W169" i="1"/>
  <c r="AB169" i="1" s="1"/>
  <c r="U169" i="1"/>
  <c r="AC169" i="1" l="1"/>
  <c r="AF169" i="1" s="1"/>
  <c r="AD169" i="1"/>
  <c r="AG169" i="1" s="1"/>
  <c r="AE169" i="1"/>
  <c r="W170" i="1"/>
  <c r="T170" i="1"/>
  <c r="U170" i="1"/>
  <c r="N171" i="1"/>
  <c r="Y171" i="1" s="1"/>
  <c r="M171" i="1"/>
  <c r="X171" i="1" s="1"/>
  <c r="I171" i="1"/>
  <c r="J171" i="1" s="1"/>
  <c r="Q171" i="1" s="1"/>
  <c r="AA171" i="1" s="1"/>
  <c r="S170" i="1"/>
  <c r="Z170" i="1"/>
  <c r="H172" i="1"/>
  <c r="G172" i="1" s="1"/>
  <c r="P171" i="1"/>
  <c r="K171" i="1"/>
  <c r="L171" i="1" s="1"/>
  <c r="R171" i="1" s="1"/>
  <c r="Z171" i="1" s="1"/>
  <c r="O171" i="1"/>
  <c r="V171" i="1" s="1"/>
  <c r="F172" i="1"/>
  <c r="E172" i="1" s="1"/>
  <c r="AC170" i="1" l="1"/>
  <c r="AF170" i="1" s="1"/>
  <c r="AB170" i="1"/>
  <c r="AE170" i="1" s="1"/>
  <c r="AD170" i="1"/>
  <c r="AG170" i="1" s="1"/>
  <c r="N172" i="1"/>
  <c r="Y172" i="1" s="1"/>
  <c r="I172" i="1"/>
  <c r="J172" i="1" s="1"/>
  <c r="Q172" i="1" s="1"/>
  <c r="M172" i="1"/>
  <c r="X172" i="1" s="1"/>
  <c r="H173" i="1"/>
  <c r="G173" i="1" s="1"/>
  <c r="P172" i="1"/>
  <c r="K172" i="1"/>
  <c r="L172" i="1" s="1"/>
  <c r="R172" i="1" s="1"/>
  <c r="Z172" i="1" s="1"/>
  <c r="O172" i="1"/>
  <c r="V172" i="1" s="1"/>
  <c r="F173" i="1"/>
  <c r="E173" i="1" s="1"/>
  <c r="U171" i="1"/>
  <c r="S171" i="1"/>
  <c r="W171" i="1"/>
  <c r="AB171" i="1" s="1"/>
  <c r="T171" i="1"/>
  <c r="AD171" i="1" l="1"/>
  <c r="AG171" i="1" s="1"/>
  <c r="U172" i="1"/>
  <c r="W172" i="1"/>
  <c r="S172" i="1"/>
  <c r="AC171" i="1"/>
  <c r="AF171" i="1" s="1"/>
  <c r="AE171" i="1"/>
  <c r="N173" i="1"/>
  <c r="Y173" i="1" s="1"/>
  <c r="M173" i="1"/>
  <c r="X173" i="1" s="1"/>
  <c r="I173" i="1"/>
  <c r="J173" i="1" s="1"/>
  <c r="Q173" i="1" s="1"/>
  <c r="AA173" i="1" s="1"/>
  <c r="H174" i="1"/>
  <c r="G174" i="1" s="1"/>
  <c r="P173" i="1"/>
  <c r="K173" i="1"/>
  <c r="L173" i="1" s="1"/>
  <c r="R173" i="1" s="1"/>
  <c r="Z173" i="1" s="1"/>
  <c r="O173" i="1"/>
  <c r="V173" i="1" s="1"/>
  <c r="F174" i="1"/>
  <c r="E174" i="1" s="1"/>
  <c r="T172" i="1"/>
  <c r="AA172" i="1"/>
  <c r="AD172" i="1" l="1"/>
  <c r="AG172" i="1" s="1"/>
  <c r="AC172" i="1"/>
  <c r="AF172" i="1" s="1"/>
  <c r="N174" i="1"/>
  <c r="Y174" i="1" s="1"/>
  <c r="I174" i="1"/>
  <c r="J174" i="1" s="1"/>
  <c r="Q174" i="1" s="1"/>
  <c r="AA174" i="1" s="1"/>
  <c r="M174" i="1"/>
  <c r="X174" i="1" s="1"/>
  <c r="AB172" i="1"/>
  <c r="AE172" i="1" s="1"/>
  <c r="H175" i="1"/>
  <c r="G175" i="1" s="1"/>
  <c r="P174" i="1"/>
  <c r="K174" i="1"/>
  <c r="L174" i="1" s="1"/>
  <c r="R174" i="1" s="1"/>
  <c r="Z174" i="1" s="1"/>
  <c r="O174" i="1"/>
  <c r="V174" i="1" s="1"/>
  <c r="F175" i="1"/>
  <c r="E175" i="1" s="1"/>
  <c r="T173" i="1"/>
  <c r="U173" i="1"/>
  <c r="S173" i="1"/>
  <c r="W173" i="1"/>
  <c r="AB173" i="1" s="1"/>
  <c r="AD173" i="1" l="1"/>
  <c r="AG173" i="1" s="1"/>
  <c r="AC173" i="1"/>
  <c r="AF173" i="1" s="1"/>
  <c r="AE173" i="1"/>
  <c r="S174" i="1"/>
  <c r="W174" i="1"/>
  <c r="AC174" i="1" s="1"/>
  <c r="U174" i="1"/>
  <c r="T174" i="1"/>
  <c r="N175" i="1"/>
  <c r="Y175" i="1" s="1"/>
  <c r="M175" i="1"/>
  <c r="X175" i="1" s="1"/>
  <c r="I175" i="1"/>
  <c r="J175" i="1" s="1"/>
  <c r="Q175" i="1" s="1"/>
  <c r="AA175" i="1" s="1"/>
  <c r="H176" i="1"/>
  <c r="G176" i="1" s="1"/>
  <c r="P175" i="1"/>
  <c r="K175" i="1"/>
  <c r="L175" i="1" s="1"/>
  <c r="R175" i="1" s="1"/>
  <c r="Z175" i="1" s="1"/>
  <c r="O175" i="1"/>
  <c r="V175" i="1" s="1"/>
  <c r="F176" i="1"/>
  <c r="E176" i="1" s="1"/>
  <c r="AB174" i="1" l="1"/>
  <c r="AE174" i="1" s="1"/>
  <c r="AD174" i="1"/>
  <c r="AG174" i="1" s="1"/>
  <c r="AF174" i="1"/>
  <c r="N176" i="1"/>
  <c r="Y176" i="1" s="1"/>
  <c r="I176" i="1"/>
  <c r="J176" i="1" s="1"/>
  <c r="Q176" i="1" s="1"/>
  <c r="AA176" i="1" s="1"/>
  <c r="M176" i="1"/>
  <c r="X176" i="1" s="1"/>
  <c r="H177" i="1"/>
  <c r="G177" i="1" s="1"/>
  <c r="P176" i="1"/>
  <c r="K176" i="1"/>
  <c r="L176" i="1" s="1"/>
  <c r="R176" i="1" s="1"/>
  <c r="Z176" i="1" s="1"/>
  <c r="O176" i="1"/>
  <c r="V176" i="1" s="1"/>
  <c r="F177" i="1"/>
  <c r="E177" i="1" s="1"/>
  <c r="S175" i="1"/>
  <c r="W175" i="1"/>
  <c r="AB175" i="1" s="1"/>
  <c r="U175" i="1"/>
  <c r="T175" i="1"/>
  <c r="AC175" i="1" l="1"/>
  <c r="AF175" i="1" s="1"/>
  <c r="N177" i="1"/>
  <c r="Y177" i="1" s="1"/>
  <c r="M177" i="1"/>
  <c r="X177" i="1" s="1"/>
  <c r="I177" i="1"/>
  <c r="J177" i="1" s="1"/>
  <c r="Q177" i="1" s="1"/>
  <c r="H178" i="1"/>
  <c r="G178" i="1" s="1"/>
  <c r="P177" i="1"/>
  <c r="K177" i="1"/>
  <c r="L177" i="1" s="1"/>
  <c r="R177" i="1" s="1"/>
  <c r="Z177" i="1" s="1"/>
  <c r="O177" i="1"/>
  <c r="V177" i="1" s="1"/>
  <c r="F178" i="1"/>
  <c r="E178" i="1" s="1"/>
  <c r="AD175" i="1"/>
  <c r="AG175" i="1" s="1"/>
  <c r="AE175" i="1"/>
  <c r="T176" i="1"/>
  <c r="W176" i="1"/>
  <c r="AB176" i="1" s="1"/>
  <c r="S176" i="1"/>
  <c r="U176" i="1"/>
  <c r="AD176" i="1" l="1"/>
  <c r="AG176" i="1" s="1"/>
  <c r="AE176" i="1"/>
  <c r="H179" i="1"/>
  <c r="G179" i="1" s="1"/>
  <c r="P178" i="1"/>
  <c r="K178" i="1"/>
  <c r="L178" i="1" s="1"/>
  <c r="R178" i="1" s="1"/>
  <c r="Z178" i="1" s="1"/>
  <c r="O178" i="1"/>
  <c r="V178" i="1" s="1"/>
  <c r="F179" i="1"/>
  <c r="E179" i="1" s="1"/>
  <c r="N178" i="1"/>
  <c r="Y178" i="1" s="1"/>
  <c r="I178" i="1"/>
  <c r="J178" i="1" s="1"/>
  <c r="Q178" i="1" s="1"/>
  <c r="AA178" i="1" s="1"/>
  <c r="M178" i="1"/>
  <c r="X178" i="1" s="1"/>
  <c r="AC176" i="1"/>
  <c r="AF176" i="1" s="1"/>
  <c r="S177" i="1"/>
  <c r="W177" i="1"/>
  <c r="U177" i="1"/>
  <c r="T177" i="1"/>
  <c r="AA177" i="1"/>
  <c r="AC177" i="1" l="1"/>
  <c r="AF177" i="1" s="1"/>
  <c r="AD177" i="1"/>
  <c r="AG177" i="1" s="1"/>
  <c r="AB177" i="1"/>
  <c r="AE177" i="1" s="1"/>
  <c r="T178" i="1"/>
  <c r="S178" i="1"/>
  <c r="U178" i="1"/>
  <c r="W178" i="1"/>
  <c r="AB178" i="1" s="1"/>
  <c r="N179" i="1"/>
  <c r="Y179" i="1" s="1"/>
  <c r="M179" i="1"/>
  <c r="X179" i="1" s="1"/>
  <c r="I179" i="1"/>
  <c r="J179" i="1" s="1"/>
  <c r="Q179" i="1" s="1"/>
  <c r="H180" i="1"/>
  <c r="G180" i="1" s="1"/>
  <c r="P179" i="1"/>
  <c r="K179" i="1"/>
  <c r="L179" i="1" s="1"/>
  <c r="R179" i="1" s="1"/>
  <c r="Z179" i="1" s="1"/>
  <c r="O179" i="1"/>
  <c r="V179" i="1" s="1"/>
  <c r="F180" i="1"/>
  <c r="E180" i="1" s="1"/>
  <c r="AE178" i="1" l="1"/>
  <c r="AD178" i="1"/>
  <c r="AG178" i="1" s="1"/>
  <c r="N180" i="1"/>
  <c r="Y180" i="1" s="1"/>
  <c r="I180" i="1"/>
  <c r="J180" i="1" s="1"/>
  <c r="Q180" i="1" s="1"/>
  <c r="AA180" i="1" s="1"/>
  <c r="M180" i="1"/>
  <c r="X180" i="1" s="1"/>
  <c r="H181" i="1"/>
  <c r="G181" i="1" s="1"/>
  <c r="P180" i="1"/>
  <c r="K180" i="1"/>
  <c r="L180" i="1" s="1"/>
  <c r="R180" i="1" s="1"/>
  <c r="Z180" i="1" s="1"/>
  <c r="O180" i="1"/>
  <c r="V180" i="1" s="1"/>
  <c r="F181" i="1"/>
  <c r="E181" i="1" s="1"/>
  <c r="W179" i="1"/>
  <c r="S179" i="1"/>
  <c r="U179" i="1"/>
  <c r="T179" i="1"/>
  <c r="AA179" i="1"/>
  <c r="AC178" i="1"/>
  <c r="AF178" i="1" s="1"/>
  <c r="AC179" i="1" l="1"/>
  <c r="AF179" i="1" s="1"/>
  <c r="AD179" i="1"/>
  <c r="AG179" i="1" s="1"/>
  <c r="AB179" i="1"/>
  <c r="AE179" i="1" s="1"/>
  <c r="N181" i="1"/>
  <c r="Y181" i="1" s="1"/>
  <c r="M181" i="1"/>
  <c r="X181" i="1" s="1"/>
  <c r="I181" i="1"/>
  <c r="J181" i="1" s="1"/>
  <c r="Q181" i="1" s="1"/>
  <c r="AA181" i="1" s="1"/>
  <c r="H182" i="1"/>
  <c r="G182" i="1" s="1"/>
  <c r="P181" i="1"/>
  <c r="K181" i="1"/>
  <c r="L181" i="1" s="1"/>
  <c r="R181" i="1" s="1"/>
  <c r="O181" i="1"/>
  <c r="V181" i="1" s="1"/>
  <c r="F182" i="1"/>
  <c r="E182" i="1" s="1"/>
  <c r="T180" i="1"/>
  <c r="W180" i="1"/>
  <c r="AB180" i="1" s="1"/>
  <c r="S180" i="1"/>
  <c r="U180" i="1"/>
  <c r="AD180" i="1" l="1"/>
  <c r="AG180" i="1" s="1"/>
  <c r="AC180" i="1"/>
  <c r="AF180" i="1" s="1"/>
  <c r="S181" i="1"/>
  <c r="Z181" i="1"/>
  <c r="H183" i="1"/>
  <c r="G183" i="1" s="1"/>
  <c r="P182" i="1"/>
  <c r="K182" i="1"/>
  <c r="L182" i="1" s="1"/>
  <c r="R182" i="1" s="1"/>
  <c r="Z182" i="1" s="1"/>
  <c r="O182" i="1"/>
  <c r="V182" i="1" s="1"/>
  <c r="F183" i="1"/>
  <c r="E183" i="1" s="1"/>
  <c r="N182" i="1"/>
  <c r="Y182" i="1" s="1"/>
  <c r="I182" i="1"/>
  <c r="J182" i="1" s="1"/>
  <c r="Q182" i="1" s="1"/>
  <c r="AA182" i="1" s="1"/>
  <c r="M182" i="1"/>
  <c r="X182" i="1" s="1"/>
  <c r="AE180" i="1"/>
  <c r="W181" i="1"/>
  <c r="T181" i="1"/>
  <c r="U181" i="1"/>
  <c r="AC181" i="1" l="1"/>
  <c r="AF181" i="1" s="1"/>
  <c r="AD181" i="1"/>
  <c r="AG181" i="1" s="1"/>
  <c r="U182" i="1"/>
  <c r="S182" i="1"/>
  <c r="W182" i="1"/>
  <c r="AB182" i="1" s="1"/>
  <c r="T182" i="1"/>
  <c r="AB181" i="1"/>
  <c r="AE181" i="1" s="1"/>
  <c r="N183" i="1"/>
  <c r="Y183" i="1" s="1"/>
  <c r="M183" i="1"/>
  <c r="X183" i="1" s="1"/>
  <c r="I183" i="1"/>
  <c r="J183" i="1" s="1"/>
  <c r="Q183" i="1" s="1"/>
  <c r="H184" i="1"/>
  <c r="G184" i="1" s="1"/>
  <c r="P183" i="1"/>
  <c r="K183" i="1"/>
  <c r="L183" i="1" s="1"/>
  <c r="R183" i="1" s="1"/>
  <c r="Z183" i="1" s="1"/>
  <c r="O183" i="1"/>
  <c r="V183" i="1" s="1"/>
  <c r="F184" i="1"/>
  <c r="E184" i="1" s="1"/>
  <c r="AD182" i="1" l="1"/>
  <c r="AG182" i="1" s="1"/>
  <c r="AC182" i="1"/>
  <c r="AF182" i="1" s="1"/>
  <c r="AE182" i="1"/>
  <c r="T183" i="1"/>
  <c r="AA183" i="1"/>
  <c r="S183" i="1"/>
  <c r="W183" i="1"/>
  <c r="U183" i="1"/>
  <c r="N184" i="1"/>
  <c r="Y184" i="1" s="1"/>
  <c r="I184" i="1"/>
  <c r="J184" i="1" s="1"/>
  <c r="Q184" i="1" s="1"/>
  <c r="AA184" i="1" s="1"/>
  <c r="M184" i="1"/>
  <c r="X184" i="1" s="1"/>
  <c r="H185" i="1"/>
  <c r="G185" i="1" s="1"/>
  <c r="P184" i="1"/>
  <c r="K184" i="1"/>
  <c r="L184" i="1" s="1"/>
  <c r="R184" i="1" s="1"/>
  <c r="Z184" i="1" s="1"/>
  <c r="O184" i="1"/>
  <c r="V184" i="1" s="1"/>
  <c r="F185" i="1"/>
  <c r="E185" i="1" s="1"/>
  <c r="AD183" i="1" l="1"/>
  <c r="AG183" i="1" s="1"/>
  <c r="AB183" i="1"/>
  <c r="AE183" i="1" s="1"/>
  <c r="H186" i="1"/>
  <c r="G186" i="1" s="1"/>
  <c r="P185" i="1"/>
  <c r="K185" i="1"/>
  <c r="L185" i="1" s="1"/>
  <c r="R185" i="1" s="1"/>
  <c r="Z185" i="1" s="1"/>
  <c r="O185" i="1"/>
  <c r="V185" i="1" s="1"/>
  <c r="F186" i="1"/>
  <c r="E186" i="1" s="1"/>
  <c r="N185" i="1"/>
  <c r="Y185" i="1" s="1"/>
  <c r="M185" i="1"/>
  <c r="X185" i="1" s="1"/>
  <c r="I185" i="1"/>
  <c r="J185" i="1" s="1"/>
  <c r="Q185" i="1" s="1"/>
  <c r="AA185" i="1" s="1"/>
  <c r="T184" i="1"/>
  <c r="S184" i="1"/>
  <c r="W184" i="1"/>
  <c r="AC184" i="1" s="1"/>
  <c r="U184" i="1"/>
  <c r="AC183" i="1"/>
  <c r="AF183" i="1" s="1"/>
  <c r="AD184" i="1" l="1"/>
  <c r="AG184" i="1" s="1"/>
  <c r="AF184" i="1"/>
  <c r="AB184" i="1"/>
  <c r="AE184" i="1" s="1"/>
  <c r="S185" i="1"/>
  <c r="W185" i="1"/>
  <c r="AD185" i="1" s="1"/>
  <c r="T185" i="1"/>
  <c r="U185" i="1"/>
  <c r="N186" i="1"/>
  <c r="Y186" i="1" s="1"/>
  <c r="I186" i="1"/>
  <c r="J186" i="1" s="1"/>
  <c r="Q186" i="1" s="1"/>
  <c r="AA186" i="1" s="1"/>
  <c r="M186" i="1"/>
  <c r="X186" i="1" s="1"/>
  <c r="H187" i="1"/>
  <c r="G187" i="1" s="1"/>
  <c r="P186" i="1"/>
  <c r="K186" i="1"/>
  <c r="L186" i="1" s="1"/>
  <c r="R186" i="1" s="1"/>
  <c r="Z186" i="1" s="1"/>
  <c r="O186" i="1"/>
  <c r="V186" i="1" s="1"/>
  <c r="F187" i="1"/>
  <c r="E187" i="1" s="1"/>
  <c r="AC185" i="1" l="1"/>
  <c r="AF185" i="1" s="1"/>
  <c r="AB185" i="1"/>
  <c r="AE185" i="1" s="1"/>
  <c r="AG185" i="1"/>
  <c r="N187" i="1"/>
  <c r="Y187" i="1" s="1"/>
  <c r="M187" i="1"/>
  <c r="X187" i="1" s="1"/>
  <c r="I187" i="1"/>
  <c r="J187" i="1" s="1"/>
  <c r="Q187" i="1" s="1"/>
  <c r="H188" i="1"/>
  <c r="G188" i="1" s="1"/>
  <c r="P187" i="1"/>
  <c r="K187" i="1"/>
  <c r="L187" i="1" s="1"/>
  <c r="R187" i="1" s="1"/>
  <c r="Z187" i="1" s="1"/>
  <c r="O187" i="1"/>
  <c r="V187" i="1" s="1"/>
  <c r="F188" i="1"/>
  <c r="E188" i="1" s="1"/>
  <c r="S186" i="1"/>
  <c r="W186" i="1"/>
  <c r="AB186" i="1" s="1"/>
  <c r="U186" i="1"/>
  <c r="T186" i="1"/>
  <c r="AC186" i="1" l="1"/>
  <c r="AF186" i="1" s="1"/>
  <c r="N188" i="1"/>
  <c r="Y188" i="1" s="1"/>
  <c r="I188" i="1"/>
  <c r="J188" i="1" s="1"/>
  <c r="Q188" i="1" s="1"/>
  <c r="AA188" i="1" s="1"/>
  <c r="M188" i="1"/>
  <c r="X188" i="1" s="1"/>
  <c r="H189" i="1"/>
  <c r="G189" i="1" s="1"/>
  <c r="P188" i="1"/>
  <c r="K188" i="1"/>
  <c r="L188" i="1" s="1"/>
  <c r="R188" i="1" s="1"/>
  <c r="Z188" i="1" s="1"/>
  <c r="O188" i="1"/>
  <c r="V188" i="1" s="1"/>
  <c r="F189" i="1"/>
  <c r="E189" i="1" s="1"/>
  <c r="AD186" i="1"/>
  <c r="AG186" i="1" s="1"/>
  <c r="AE186" i="1"/>
  <c r="S187" i="1"/>
  <c r="W187" i="1"/>
  <c r="U187" i="1"/>
  <c r="T187" i="1"/>
  <c r="AA187" i="1"/>
  <c r="AB187" i="1" l="1"/>
  <c r="AE187" i="1" s="1"/>
  <c r="AC187" i="1"/>
  <c r="AF187" i="1" s="1"/>
  <c r="AD187" i="1"/>
  <c r="AG187" i="1" s="1"/>
  <c r="N189" i="1"/>
  <c r="Y189" i="1" s="1"/>
  <c r="M189" i="1"/>
  <c r="X189" i="1" s="1"/>
  <c r="I189" i="1"/>
  <c r="J189" i="1" s="1"/>
  <c r="Q189" i="1" s="1"/>
  <c r="AA189" i="1" s="1"/>
  <c r="H190" i="1"/>
  <c r="G190" i="1" s="1"/>
  <c r="P189" i="1"/>
  <c r="K189" i="1"/>
  <c r="L189" i="1" s="1"/>
  <c r="R189" i="1" s="1"/>
  <c r="O189" i="1"/>
  <c r="V189" i="1" s="1"/>
  <c r="F190" i="1"/>
  <c r="E190" i="1" s="1"/>
  <c r="T188" i="1"/>
  <c r="U188" i="1"/>
  <c r="S188" i="1"/>
  <c r="W188" i="1"/>
  <c r="AC188" i="1" s="1"/>
  <c r="AB188" i="1" l="1"/>
  <c r="AE188" i="1" s="1"/>
  <c r="AF188" i="1"/>
  <c r="S189" i="1"/>
  <c r="Z189" i="1"/>
  <c r="H191" i="1"/>
  <c r="G191" i="1" s="1"/>
  <c r="P190" i="1"/>
  <c r="K190" i="1"/>
  <c r="L190" i="1" s="1"/>
  <c r="R190" i="1" s="1"/>
  <c r="Z190" i="1" s="1"/>
  <c r="O190" i="1"/>
  <c r="V190" i="1" s="1"/>
  <c r="F191" i="1"/>
  <c r="E191" i="1" s="1"/>
  <c r="N190" i="1"/>
  <c r="Y190" i="1" s="1"/>
  <c r="I190" i="1"/>
  <c r="J190" i="1" s="1"/>
  <c r="Q190" i="1" s="1"/>
  <c r="AA190" i="1" s="1"/>
  <c r="M190" i="1"/>
  <c r="X190" i="1" s="1"/>
  <c r="AD188" i="1"/>
  <c r="AG188" i="1" s="1"/>
  <c r="W189" i="1"/>
  <c r="U189" i="1"/>
  <c r="T189" i="1"/>
  <c r="AC189" i="1" l="1"/>
  <c r="AF189" i="1" s="1"/>
  <c r="AD189" i="1"/>
  <c r="AG189" i="1" s="1"/>
  <c r="AB189" i="1"/>
  <c r="AE189" i="1" s="1"/>
  <c r="U190" i="1"/>
  <c r="T190" i="1"/>
  <c r="S190" i="1"/>
  <c r="W190" i="1"/>
  <c r="AB190" i="1" s="1"/>
  <c r="N191" i="1"/>
  <c r="Y191" i="1" s="1"/>
  <c r="M191" i="1"/>
  <c r="X191" i="1" s="1"/>
  <c r="I191" i="1"/>
  <c r="J191" i="1" s="1"/>
  <c r="Q191" i="1" s="1"/>
  <c r="H192" i="1"/>
  <c r="G192" i="1" s="1"/>
  <c r="P191" i="1"/>
  <c r="K191" i="1"/>
  <c r="L191" i="1" s="1"/>
  <c r="R191" i="1" s="1"/>
  <c r="Z191" i="1" s="1"/>
  <c r="O191" i="1"/>
  <c r="V191" i="1" s="1"/>
  <c r="F192" i="1"/>
  <c r="E192" i="1" s="1"/>
  <c r="N192" i="1" l="1"/>
  <c r="Y192" i="1" s="1"/>
  <c r="I192" i="1"/>
  <c r="J192" i="1" s="1"/>
  <c r="Q192" i="1" s="1"/>
  <c r="AA192" i="1" s="1"/>
  <c r="M192" i="1"/>
  <c r="X192" i="1" s="1"/>
  <c r="H193" i="1"/>
  <c r="G193" i="1" s="1"/>
  <c r="P192" i="1"/>
  <c r="K192" i="1"/>
  <c r="L192" i="1" s="1"/>
  <c r="R192" i="1" s="1"/>
  <c r="Z192" i="1" s="1"/>
  <c r="O192" i="1"/>
  <c r="V192" i="1" s="1"/>
  <c r="F193" i="1"/>
  <c r="E193" i="1" s="1"/>
  <c r="AC190" i="1"/>
  <c r="AF190" i="1" s="1"/>
  <c r="U191" i="1"/>
  <c r="S191" i="1"/>
  <c r="W191" i="1"/>
  <c r="T191" i="1"/>
  <c r="AA191" i="1"/>
  <c r="AE190" i="1"/>
  <c r="AD190" i="1"/>
  <c r="AG190" i="1" s="1"/>
  <c r="AD191" i="1" l="1"/>
  <c r="AG191" i="1" s="1"/>
  <c r="AC191" i="1"/>
  <c r="AF191" i="1" s="1"/>
  <c r="H194" i="1"/>
  <c r="G194" i="1" s="1"/>
  <c r="P193" i="1"/>
  <c r="K193" i="1"/>
  <c r="L193" i="1" s="1"/>
  <c r="R193" i="1" s="1"/>
  <c r="Z193" i="1" s="1"/>
  <c r="O193" i="1"/>
  <c r="V193" i="1" s="1"/>
  <c r="F194" i="1"/>
  <c r="E194" i="1" s="1"/>
  <c r="N193" i="1"/>
  <c r="Y193" i="1" s="1"/>
  <c r="I193" i="1"/>
  <c r="J193" i="1" s="1"/>
  <c r="Q193" i="1" s="1"/>
  <c r="AA193" i="1" s="1"/>
  <c r="M193" i="1"/>
  <c r="X193" i="1" s="1"/>
  <c r="AB191" i="1"/>
  <c r="AE191" i="1" s="1"/>
  <c r="T192" i="1"/>
  <c r="U192" i="1"/>
  <c r="S192" i="1"/>
  <c r="W192" i="1"/>
  <c r="AB192" i="1" s="1"/>
  <c r="AD192" i="1" l="1"/>
  <c r="AG192" i="1" s="1"/>
  <c r="AC192" i="1"/>
  <c r="AF192" i="1" s="1"/>
  <c r="AE192" i="1"/>
  <c r="S193" i="1"/>
  <c r="W193" i="1"/>
  <c r="AB193" i="1" s="1"/>
  <c r="T193" i="1"/>
  <c r="U193" i="1"/>
  <c r="N194" i="1"/>
  <c r="Y194" i="1" s="1"/>
  <c r="I194" i="1"/>
  <c r="J194" i="1" s="1"/>
  <c r="Q194" i="1" s="1"/>
  <c r="AA194" i="1" s="1"/>
  <c r="M194" i="1"/>
  <c r="X194" i="1" s="1"/>
  <c r="H195" i="1"/>
  <c r="G195" i="1" s="1"/>
  <c r="P194" i="1"/>
  <c r="K194" i="1"/>
  <c r="L194" i="1" s="1"/>
  <c r="R194" i="1" s="1"/>
  <c r="Z194" i="1" s="1"/>
  <c r="O194" i="1"/>
  <c r="V194" i="1" s="1"/>
  <c r="F195" i="1"/>
  <c r="E195" i="1" s="1"/>
  <c r="AC193" i="1" l="1"/>
  <c r="AF193" i="1" s="1"/>
  <c r="AE193" i="1"/>
  <c r="AD193" i="1"/>
  <c r="AG193" i="1" s="1"/>
  <c r="S194" i="1"/>
  <c r="W194" i="1"/>
  <c r="AB194" i="1" s="1"/>
  <c r="T194" i="1"/>
  <c r="U194" i="1"/>
  <c r="N195" i="1"/>
  <c r="Y195" i="1" s="1"/>
  <c r="I195" i="1"/>
  <c r="J195" i="1" s="1"/>
  <c r="Q195" i="1" s="1"/>
  <c r="M195" i="1"/>
  <c r="X195" i="1" s="1"/>
  <c r="H196" i="1"/>
  <c r="G196" i="1" s="1"/>
  <c r="P195" i="1"/>
  <c r="K195" i="1"/>
  <c r="L195" i="1" s="1"/>
  <c r="R195" i="1" s="1"/>
  <c r="Z195" i="1" s="1"/>
  <c r="O195" i="1"/>
  <c r="V195" i="1" s="1"/>
  <c r="F196" i="1"/>
  <c r="E196" i="1" s="1"/>
  <c r="H197" i="1" l="1"/>
  <c r="G197" i="1" s="1"/>
  <c r="P196" i="1"/>
  <c r="K196" i="1"/>
  <c r="L196" i="1" s="1"/>
  <c r="R196" i="1" s="1"/>
  <c r="Z196" i="1" s="1"/>
  <c r="O196" i="1"/>
  <c r="V196" i="1" s="1"/>
  <c r="F197" i="1"/>
  <c r="E197" i="1" s="1"/>
  <c r="AC194" i="1"/>
  <c r="AF194" i="1" s="1"/>
  <c r="N196" i="1"/>
  <c r="Y196" i="1" s="1"/>
  <c r="I196" i="1"/>
  <c r="J196" i="1" s="1"/>
  <c r="Q196" i="1" s="1"/>
  <c r="AA196" i="1" s="1"/>
  <c r="M196" i="1"/>
  <c r="X196" i="1" s="1"/>
  <c r="T195" i="1"/>
  <c r="AA195" i="1"/>
  <c r="S195" i="1"/>
  <c r="W195" i="1"/>
  <c r="U195" i="1"/>
  <c r="AE194" i="1"/>
  <c r="AD194" i="1"/>
  <c r="AG194" i="1" s="1"/>
  <c r="AC195" i="1" l="1"/>
  <c r="AF195" i="1" s="1"/>
  <c r="AB195" i="1"/>
  <c r="AE195" i="1" s="1"/>
  <c r="AD195" i="1"/>
  <c r="AG195" i="1" s="1"/>
  <c r="T196" i="1"/>
  <c r="S196" i="1"/>
  <c r="W196" i="1"/>
  <c r="AB196" i="1" s="1"/>
  <c r="U196" i="1"/>
  <c r="N197" i="1"/>
  <c r="Y197" i="1" s="1"/>
  <c r="I197" i="1"/>
  <c r="J197" i="1" s="1"/>
  <c r="Q197" i="1" s="1"/>
  <c r="AA197" i="1" s="1"/>
  <c r="M197" i="1"/>
  <c r="X197" i="1" s="1"/>
  <c r="H198" i="1"/>
  <c r="G198" i="1" s="1"/>
  <c r="P197" i="1"/>
  <c r="K197" i="1"/>
  <c r="L197" i="1" s="1"/>
  <c r="R197" i="1" s="1"/>
  <c r="O197" i="1"/>
  <c r="V197" i="1" s="1"/>
  <c r="F198" i="1"/>
  <c r="E198" i="1" s="1"/>
  <c r="AC196" i="1" l="1"/>
  <c r="AF196" i="1" s="1"/>
  <c r="AD196" i="1"/>
  <c r="AG196" i="1" s="1"/>
  <c r="W197" i="1"/>
  <c r="S197" i="1"/>
  <c r="U197" i="1"/>
  <c r="AE196" i="1"/>
  <c r="N198" i="1"/>
  <c r="Y198" i="1" s="1"/>
  <c r="I198" i="1"/>
  <c r="J198" i="1" s="1"/>
  <c r="Q198" i="1" s="1"/>
  <c r="M198" i="1"/>
  <c r="X198" i="1" s="1"/>
  <c r="T197" i="1"/>
  <c r="Z197" i="1"/>
  <c r="H199" i="1"/>
  <c r="G199" i="1" s="1"/>
  <c r="P198" i="1"/>
  <c r="K198" i="1"/>
  <c r="L198" i="1" s="1"/>
  <c r="R198" i="1" s="1"/>
  <c r="Z198" i="1" s="1"/>
  <c r="O198" i="1"/>
  <c r="V198" i="1" s="1"/>
  <c r="F199" i="1"/>
  <c r="E199" i="1" s="1"/>
  <c r="AD197" i="1" l="1"/>
  <c r="AG197" i="1" s="1"/>
  <c r="AB197" i="1"/>
  <c r="AE197" i="1" s="1"/>
  <c r="N199" i="1"/>
  <c r="Y199" i="1" s="1"/>
  <c r="I199" i="1"/>
  <c r="J199" i="1" s="1"/>
  <c r="Q199" i="1" s="1"/>
  <c r="AA199" i="1" s="1"/>
  <c r="M199" i="1"/>
  <c r="X199" i="1" s="1"/>
  <c r="H200" i="1"/>
  <c r="G200" i="1" s="1"/>
  <c r="P199" i="1"/>
  <c r="K199" i="1"/>
  <c r="L199" i="1" s="1"/>
  <c r="R199" i="1" s="1"/>
  <c r="Z199" i="1" s="1"/>
  <c r="O199" i="1"/>
  <c r="V199" i="1" s="1"/>
  <c r="F200" i="1"/>
  <c r="E200" i="1" s="1"/>
  <c r="T198" i="1"/>
  <c r="AA198" i="1"/>
  <c r="W198" i="1"/>
  <c r="S198" i="1"/>
  <c r="U198" i="1"/>
  <c r="AC197" i="1"/>
  <c r="AF197" i="1" s="1"/>
  <c r="AB198" i="1" l="1"/>
  <c r="AE198" i="1" s="1"/>
  <c r="AD198" i="1"/>
  <c r="AG198" i="1" s="1"/>
  <c r="H201" i="1"/>
  <c r="G201" i="1" s="1"/>
  <c r="P200" i="1"/>
  <c r="K200" i="1"/>
  <c r="L200" i="1" s="1"/>
  <c r="R200" i="1" s="1"/>
  <c r="O200" i="1"/>
  <c r="V200" i="1" s="1"/>
  <c r="F201" i="1"/>
  <c r="E201" i="1" s="1"/>
  <c r="AC198" i="1"/>
  <c r="AF198" i="1" s="1"/>
  <c r="N200" i="1"/>
  <c r="Y200" i="1" s="1"/>
  <c r="I200" i="1"/>
  <c r="J200" i="1" s="1"/>
  <c r="Q200" i="1" s="1"/>
  <c r="AA200" i="1" s="1"/>
  <c r="M200" i="1"/>
  <c r="X200" i="1" s="1"/>
  <c r="T199" i="1"/>
  <c r="S199" i="1"/>
  <c r="U199" i="1"/>
  <c r="W199" i="1"/>
  <c r="AB199" i="1" s="1"/>
  <c r="AE199" i="1" l="1"/>
  <c r="AD199" i="1"/>
  <c r="AG199" i="1" s="1"/>
  <c r="AC199" i="1"/>
  <c r="AF199" i="1" s="1"/>
  <c r="U200" i="1"/>
  <c r="W200" i="1"/>
  <c r="T200" i="1"/>
  <c r="N201" i="1"/>
  <c r="Y201" i="1" s="1"/>
  <c r="I201" i="1"/>
  <c r="J201" i="1" s="1"/>
  <c r="Q201" i="1" s="1"/>
  <c r="AA201" i="1" s="1"/>
  <c r="M201" i="1"/>
  <c r="X201" i="1" s="1"/>
  <c r="S200" i="1"/>
  <c r="Z200" i="1"/>
  <c r="H202" i="1"/>
  <c r="G202" i="1" s="1"/>
  <c r="P201" i="1"/>
  <c r="K201" i="1"/>
  <c r="L201" i="1" s="1"/>
  <c r="R201" i="1" s="1"/>
  <c r="O201" i="1"/>
  <c r="V201" i="1" s="1"/>
  <c r="F202" i="1"/>
  <c r="E202" i="1" s="1"/>
  <c r="AB200" i="1" l="1"/>
  <c r="AE200" i="1" s="1"/>
  <c r="AC200" i="1"/>
  <c r="AF200" i="1" s="1"/>
  <c r="AD200" i="1"/>
  <c r="AG200" i="1" s="1"/>
  <c r="S201" i="1"/>
  <c r="W201" i="1"/>
  <c r="U201" i="1"/>
  <c r="N202" i="1"/>
  <c r="Y202" i="1" s="1"/>
  <c r="I202" i="1"/>
  <c r="J202" i="1" s="1"/>
  <c r="Q202" i="1" s="1"/>
  <c r="M202" i="1"/>
  <c r="X202" i="1" s="1"/>
  <c r="T201" i="1"/>
  <c r="Z201" i="1"/>
  <c r="H203" i="1"/>
  <c r="G203" i="1" s="1"/>
  <c r="P202" i="1"/>
  <c r="K202" i="1"/>
  <c r="L202" i="1" s="1"/>
  <c r="R202" i="1" s="1"/>
  <c r="Z202" i="1" s="1"/>
  <c r="O202" i="1"/>
  <c r="V202" i="1" s="1"/>
  <c r="F203" i="1"/>
  <c r="E203" i="1" s="1"/>
  <c r="AC201" i="1" l="1"/>
  <c r="AF201" i="1" s="1"/>
  <c r="N203" i="1"/>
  <c r="Y203" i="1" s="1"/>
  <c r="I203" i="1"/>
  <c r="J203" i="1" s="1"/>
  <c r="Q203" i="1" s="1"/>
  <c r="AA203" i="1" s="1"/>
  <c r="M203" i="1"/>
  <c r="X203" i="1" s="1"/>
  <c r="H204" i="1"/>
  <c r="G204" i="1" s="1"/>
  <c r="P203" i="1"/>
  <c r="K203" i="1"/>
  <c r="L203" i="1" s="1"/>
  <c r="R203" i="1" s="1"/>
  <c r="Z203" i="1" s="1"/>
  <c r="O203" i="1"/>
  <c r="V203" i="1" s="1"/>
  <c r="F204" i="1"/>
  <c r="E204" i="1" s="1"/>
  <c r="T202" i="1"/>
  <c r="AA202" i="1"/>
  <c r="S202" i="1"/>
  <c r="W202" i="1"/>
  <c r="U202" i="1"/>
  <c r="AB201" i="1"/>
  <c r="AE201" i="1" s="1"/>
  <c r="AD201" i="1"/>
  <c r="AG201" i="1" s="1"/>
  <c r="AD202" i="1" l="1"/>
  <c r="AG202" i="1" s="1"/>
  <c r="AB202" i="1"/>
  <c r="AE202" i="1" s="1"/>
  <c r="AC202" i="1"/>
  <c r="AF202" i="1" s="1"/>
  <c r="N204" i="1"/>
  <c r="Y204" i="1" s="1"/>
  <c r="I204" i="1"/>
  <c r="J204" i="1" s="1"/>
  <c r="Q204" i="1" s="1"/>
  <c r="AA204" i="1" s="1"/>
  <c r="M204" i="1"/>
  <c r="X204" i="1" s="1"/>
  <c r="H205" i="1"/>
  <c r="G205" i="1" s="1"/>
  <c r="P204" i="1"/>
  <c r="K204" i="1"/>
  <c r="L204" i="1" s="1"/>
  <c r="R204" i="1" s="1"/>
  <c r="O204" i="1"/>
  <c r="V204" i="1" s="1"/>
  <c r="F205" i="1"/>
  <c r="E205" i="1" s="1"/>
  <c r="T203" i="1"/>
  <c r="S203" i="1"/>
  <c r="U203" i="1"/>
  <c r="W203" i="1"/>
  <c r="AB203" i="1" s="1"/>
  <c r="AE203" i="1" l="1"/>
  <c r="AD203" i="1"/>
  <c r="AG203" i="1" s="1"/>
  <c r="S204" i="1"/>
  <c r="Z204" i="1"/>
  <c r="H206" i="1"/>
  <c r="G206" i="1" s="1"/>
  <c r="P205" i="1"/>
  <c r="K205" i="1"/>
  <c r="L205" i="1" s="1"/>
  <c r="R205" i="1" s="1"/>
  <c r="O205" i="1"/>
  <c r="V205" i="1" s="1"/>
  <c r="F206" i="1"/>
  <c r="E206" i="1" s="1"/>
  <c r="N205" i="1"/>
  <c r="Y205" i="1" s="1"/>
  <c r="I205" i="1"/>
  <c r="J205" i="1" s="1"/>
  <c r="Q205" i="1" s="1"/>
  <c r="AA205" i="1" s="1"/>
  <c r="M205" i="1"/>
  <c r="X205" i="1" s="1"/>
  <c r="AC203" i="1"/>
  <c r="AF203" i="1" s="1"/>
  <c r="W204" i="1"/>
  <c r="U204" i="1"/>
  <c r="T204" i="1"/>
  <c r="AB204" i="1" l="1"/>
  <c r="AE204" i="1" s="1"/>
  <c r="AD204" i="1"/>
  <c r="AG204" i="1" s="1"/>
  <c r="W205" i="1"/>
  <c r="S205" i="1"/>
  <c r="U205" i="1"/>
  <c r="AC204" i="1"/>
  <c r="AF204" i="1" s="1"/>
  <c r="N206" i="1"/>
  <c r="Y206" i="1" s="1"/>
  <c r="I206" i="1"/>
  <c r="J206" i="1" s="1"/>
  <c r="Q206" i="1" s="1"/>
  <c r="M206" i="1"/>
  <c r="X206" i="1" s="1"/>
  <c r="T205" i="1"/>
  <c r="Z205" i="1"/>
  <c r="H207" i="1"/>
  <c r="G207" i="1" s="1"/>
  <c r="P206" i="1"/>
  <c r="K206" i="1"/>
  <c r="L206" i="1" s="1"/>
  <c r="R206" i="1" s="1"/>
  <c r="Z206" i="1" s="1"/>
  <c r="O206" i="1"/>
  <c r="V206" i="1" s="1"/>
  <c r="F207" i="1"/>
  <c r="E207" i="1" s="1"/>
  <c r="AD205" i="1" l="1"/>
  <c r="AG205" i="1" s="1"/>
  <c r="N207" i="1"/>
  <c r="Y207" i="1" s="1"/>
  <c r="I207" i="1"/>
  <c r="J207" i="1" s="1"/>
  <c r="Q207" i="1" s="1"/>
  <c r="AA207" i="1" s="1"/>
  <c r="M207" i="1"/>
  <c r="X207" i="1" s="1"/>
  <c r="H208" i="1"/>
  <c r="G208" i="1" s="1"/>
  <c r="P207" i="1"/>
  <c r="K207" i="1"/>
  <c r="L207" i="1" s="1"/>
  <c r="R207" i="1" s="1"/>
  <c r="Z207" i="1" s="1"/>
  <c r="O207" i="1"/>
  <c r="V207" i="1" s="1"/>
  <c r="F208" i="1"/>
  <c r="E208" i="1" s="1"/>
  <c r="T206" i="1"/>
  <c r="AA206" i="1"/>
  <c r="W206" i="1"/>
  <c r="S206" i="1"/>
  <c r="U206" i="1"/>
  <c r="AC205" i="1"/>
  <c r="AF205" i="1" s="1"/>
  <c r="AB205" i="1"/>
  <c r="AE205" i="1" s="1"/>
  <c r="AB206" i="1" l="1"/>
  <c r="AE206" i="1" s="1"/>
  <c r="AC206" i="1"/>
  <c r="AF206" i="1" s="1"/>
  <c r="H209" i="1"/>
  <c r="G209" i="1" s="1"/>
  <c r="P208" i="1"/>
  <c r="K208" i="1"/>
  <c r="L208" i="1" s="1"/>
  <c r="R208" i="1" s="1"/>
  <c r="O208" i="1"/>
  <c r="V208" i="1" s="1"/>
  <c r="F209" i="1"/>
  <c r="E209" i="1" s="1"/>
  <c r="N208" i="1"/>
  <c r="Y208" i="1" s="1"/>
  <c r="I208" i="1"/>
  <c r="J208" i="1" s="1"/>
  <c r="Q208" i="1" s="1"/>
  <c r="AA208" i="1" s="1"/>
  <c r="M208" i="1"/>
  <c r="X208" i="1" s="1"/>
  <c r="AD206" i="1"/>
  <c r="AG206" i="1" s="1"/>
  <c r="T207" i="1"/>
  <c r="S207" i="1"/>
  <c r="U207" i="1"/>
  <c r="W207" i="1"/>
  <c r="AB207" i="1" s="1"/>
  <c r="AE207" i="1" l="1"/>
  <c r="AD207" i="1"/>
  <c r="AG207" i="1" s="1"/>
  <c r="AC207" i="1"/>
  <c r="AF207" i="1" s="1"/>
  <c r="U208" i="1"/>
  <c r="W208" i="1"/>
  <c r="T208" i="1"/>
  <c r="N209" i="1"/>
  <c r="Y209" i="1" s="1"/>
  <c r="I209" i="1"/>
  <c r="J209" i="1" s="1"/>
  <c r="Q209" i="1" s="1"/>
  <c r="AA209" i="1" s="1"/>
  <c r="M209" i="1"/>
  <c r="X209" i="1" s="1"/>
  <c r="S208" i="1"/>
  <c r="Z208" i="1"/>
  <c r="H210" i="1"/>
  <c r="G210" i="1" s="1"/>
  <c r="P209" i="1"/>
  <c r="K209" i="1"/>
  <c r="L209" i="1" s="1"/>
  <c r="R209" i="1" s="1"/>
  <c r="O209" i="1"/>
  <c r="V209" i="1" s="1"/>
  <c r="F210" i="1"/>
  <c r="E210" i="1" s="1"/>
  <c r="AD208" i="1" l="1"/>
  <c r="AG208" i="1" s="1"/>
  <c r="N210" i="1"/>
  <c r="Y210" i="1" s="1"/>
  <c r="I210" i="1"/>
  <c r="J210" i="1" s="1"/>
  <c r="Q210" i="1" s="1"/>
  <c r="M210" i="1"/>
  <c r="X210" i="1" s="1"/>
  <c r="AC208" i="1"/>
  <c r="AF208" i="1" s="1"/>
  <c r="T209" i="1"/>
  <c r="Z209" i="1"/>
  <c r="H211" i="1"/>
  <c r="G211" i="1" s="1"/>
  <c r="P210" i="1"/>
  <c r="K210" i="1"/>
  <c r="L210" i="1" s="1"/>
  <c r="R210" i="1" s="1"/>
  <c r="Z210" i="1" s="1"/>
  <c r="O210" i="1"/>
  <c r="V210" i="1" s="1"/>
  <c r="F211" i="1"/>
  <c r="E211" i="1" s="1"/>
  <c r="S209" i="1"/>
  <c r="W209" i="1"/>
  <c r="U209" i="1"/>
  <c r="AB208" i="1"/>
  <c r="AE208" i="1" s="1"/>
  <c r="AC209" i="1" l="1"/>
  <c r="AF209" i="1" s="1"/>
  <c r="AD209" i="1"/>
  <c r="AG209" i="1" s="1"/>
  <c r="T210" i="1"/>
  <c r="AA210" i="1"/>
  <c r="S210" i="1"/>
  <c r="W210" i="1"/>
  <c r="U210" i="1"/>
  <c r="AB209" i="1"/>
  <c r="AE209" i="1" s="1"/>
  <c r="N211" i="1"/>
  <c r="Y211" i="1" s="1"/>
  <c r="I211" i="1"/>
  <c r="J211" i="1" s="1"/>
  <c r="Q211" i="1" s="1"/>
  <c r="AA211" i="1" s="1"/>
  <c r="M211" i="1"/>
  <c r="X211" i="1" s="1"/>
  <c r="H212" i="1"/>
  <c r="G212" i="1" s="1"/>
  <c r="P211" i="1"/>
  <c r="K211" i="1"/>
  <c r="L211" i="1" s="1"/>
  <c r="R211" i="1" s="1"/>
  <c r="Z211" i="1" s="1"/>
  <c r="O211" i="1"/>
  <c r="V211" i="1" s="1"/>
  <c r="F212" i="1"/>
  <c r="E212" i="1" s="1"/>
  <c r="AB210" i="1" l="1"/>
  <c r="AE210" i="1" s="1"/>
  <c r="AD210" i="1"/>
  <c r="AG210" i="1" s="1"/>
  <c r="N212" i="1"/>
  <c r="Y212" i="1" s="1"/>
  <c r="I212" i="1"/>
  <c r="J212" i="1" s="1"/>
  <c r="Q212" i="1" s="1"/>
  <c r="AA212" i="1" s="1"/>
  <c r="M212" i="1"/>
  <c r="X212" i="1" s="1"/>
  <c r="AC210" i="1"/>
  <c r="AF210" i="1" s="1"/>
  <c r="H213" i="1"/>
  <c r="G213" i="1" s="1"/>
  <c r="P212" i="1"/>
  <c r="K212" i="1"/>
  <c r="L212" i="1" s="1"/>
  <c r="R212" i="1" s="1"/>
  <c r="O212" i="1"/>
  <c r="V212" i="1" s="1"/>
  <c r="F213" i="1"/>
  <c r="E213" i="1" s="1"/>
  <c r="T211" i="1"/>
  <c r="S211" i="1"/>
  <c r="U211" i="1"/>
  <c r="W211" i="1"/>
  <c r="AB211" i="1" s="1"/>
  <c r="AE211" i="1" l="1"/>
  <c r="AD211" i="1"/>
  <c r="AG211" i="1" s="1"/>
  <c r="AC211" i="1"/>
  <c r="AF211" i="1" s="1"/>
  <c r="W212" i="1"/>
  <c r="U212" i="1"/>
  <c r="T212" i="1"/>
  <c r="N213" i="1"/>
  <c r="Y213" i="1" s="1"/>
  <c r="I213" i="1"/>
  <c r="J213" i="1" s="1"/>
  <c r="Q213" i="1" s="1"/>
  <c r="AA213" i="1" s="1"/>
  <c r="M213" i="1"/>
  <c r="X213" i="1" s="1"/>
  <c r="S212" i="1"/>
  <c r="Z212" i="1"/>
  <c r="H214" i="1"/>
  <c r="G214" i="1" s="1"/>
  <c r="P213" i="1"/>
  <c r="K213" i="1"/>
  <c r="L213" i="1" s="1"/>
  <c r="R213" i="1" s="1"/>
  <c r="O213" i="1"/>
  <c r="V213" i="1" s="1"/>
  <c r="F214" i="1"/>
  <c r="E214" i="1" s="1"/>
  <c r="AD212" i="1" l="1"/>
  <c r="AG212" i="1" s="1"/>
  <c r="AC212" i="1"/>
  <c r="AF212" i="1" s="1"/>
  <c r="AB212" i="1"/>
  <c r="AE212" i="1" s="1"/>
  <c r="N214" i="1"/>
  <c r="Y214" i="1" s="1"/>
  <c r="I214" i="1"/>
  <c r="J214" i="1" s="1"/>
  <c r="Q214" i="1" s="1"/>
  <c r="M214" i="1"/>
  <c r="X214" i="1" s="1"/>
  <c r="T213" i="1"/>
  <c r="Z213" i="1"/>
  <c r="H215" i="1"/>
  <c r="G215" i="1" s="1"/>
  <c r="P214" i="1"/>
  <c r="K214" i="1"/>
  <c r="L214" i="1" s="1"/>
  <c r="R214" i="1" s="1"/>
  <c r="Z214" i="1" s="1"/>
  <c r="O214" i="1"/>
  <c r="V214" i="1" s="1"/>
  <c r="F215" i="1"/>
  <c r="E215" i="1" s="1"/>
  <c r="W213" i="1"/>
  <c r="S213" i="1"/>
  <c r="U213" i="1"/>
  <c r="AD213" i="1" l="1"/>
  <c r="AG213" i="1" s="1"/>
  <c r="AB213" i="1"/>
  <c r="AE213" i="1" s="1"/>
  <c r="H216" i="1"/>
  <c r="G216" i="1" s="1"/>
  <c r="P215" i="1"/>
  <c r="K215" i="1"/>
  <c r="L215" i="1" s="1"/>
  <c r="R215" i="1" s="1"/>
  <c r="Z215" i="1" s="1"/>
  <c r="O215" i="1"/>
  <c r="V215" i="1" s="1"/>
  <c r="F216" i="1"/>
  <c r="E216" i="1" s="1"/>
  <c r="T214" i="1"/>
  <c r="AA214" i="1"/>
  <c r="N215" i="1"/>
  <c r="Y215" i="1" s="1"/>
  <c r="I215" i="1"/>
  <c r="J215" i="1" s="1"/>
  <c r="Q215" i="1" s="1"/>
  <c r="AA215" i="1" s="1"/>
  <c r="M215" i="1"/>
  <c r="X215" i="1" s="1"/>
  <c r="AC213" i="1"/>
  <c r="AF213" i="1" s="1"/>
  <c r="W214" i="1"/>
  <c r="S214" i="1"/>
  <c r="U214" i="1"/>
  <c r="AD214" i="1" l="1"/>
  <c r="AG214" i="1" s="1"/>
  <c r="AB214" i="1"/>
  <c r="AE214" i="1" s="1"/>
  <c r="U215" i="1"/>
  <c r="T215" i="1"/>
  <c r="S215" i="1"/>
  <c r="W215" i="1"/>
  <c r="AB215" i="1" s="1"/>
  <c r="AC214" i="1"/>
  <c r="AF214" i="1" s="1"/>
  <c r="N216" i="1"/>
  <c r="Y216" i="1" s="1"/>
  <c r="I216" i="1"/>
  <c r="J216" i="1" s="1"/>
  <c r="Q216" i="1" s="1"/>
  <c r="AA216" i="1" s="1"/>
  <c r="M216" i="1"/>
  <c r="X216" i="1" s="1"/>
  <c r="H217" i="1"/>
  <c r="G217" i="1" s="1"/>
  <c r="P216" i="1"/>
  <c r="K216" i="1"/>
  <c r="L216" i="1" s="1"/>
  <c r="R216" i="1" s="1"/>
  <c r="O216" i="1"/>
  <c r="V216" i="1" s="1"/>
  <c r="F217" i="1"/>
  <c r="E217" i="1" s="1"/>
  <c r="AC215" i="1" l="1"/>
  <c r="AF215" i="1" s="1"/>
  <c r="S216" i="1"/>
  <c r="Z216" i="1"/>
  <c r="H218" i="1"/>
  <c r="G218" i="1" s="1"/>
  <c r="P217" i="1"/>
  <c r="K217" i="1"/>
  <c r="L217" i="1" s="1"/>
  <c r="R217" i="1" s="1"/>
  <c r="O217" i="1"/>
  <c r="V217" i="1" s="1"/>
  <c r="F218" i="1"/>
  <c r="E218" i="1" s="1"/>
  <c r="N217" i="1"/>
  <c r="Y217" i="1" s="1"/>
  <c r="I217" i="1"/>
  <c r="J217" i="1" s="1"/>
  <c r="Q217" i="1" s="1"/>
  <c r="AA217" i="1" s="1"/>
  <c r="M217" i="1"/>
  <c r="X217" i="1" s="1"/>
  <c r="W216" i="1"/>
  <c r="T216" i="1"/>
  <c r="U216" i="1"/>
  <c r="AD215" i="1"/>
  <c r="AG215" i="1" s="1"/>
  <c r="AE215" i="1"/>
  <c r="AB216" i="1" l="1"/>
  <c r="AE216" i="1" s="1"/>
  <c r="AD216" i="1"/>
  <c r="AG216" i="1" s="1"/>
  <c r="AC216" i="1"/>
  <c r="AF216" i="1" s="1"/>
  <c r="S217" i="1"/>
  <c r="W217" i="1"/>
  <c r="U217" i="1"/>
  <c r="N218" i="1"/>
  <c r="Y218" i="1" s="1"/>
  <c r="I218" i="1"/>
  <c r="J218" i="1" s="1"/>
  <c r="Q218" i="1" s="1"/>
  <c r="M218" i="1"/>
  <c r="X218" i="1" s="1"/>
  <c r="T217" i="1"/>
  <c r="Z217" i="1"/>
  <c r="H219" i="1"/>
  <c r="G219" i="1" s="1"/>
  <c r="P218" i="1"/>
  <c r="K218" i="1"/>
  <c r="L218" i="1" s="1"/>
  <c r="R218" i="1" s="1"/>
  <c r="Z218" i="1" s="1"/>
  <c r="O218" i="1"/>
  <c r="V218" i="1" s="1"/>
  <c r="F219" i="1"/>
  <c r="E219" i="1" s="1"/>
  <c r="AC217" i="1" l="1"/>
  <c r="AF217" i="1" s="1"/>
  <c r="AD217" i="1"/>
  <c r="AG217" i="1" s="1"/>
  <c r="W218" i="1"/>
  <c r="S218" i="1"/>
  <c r="U218" i="1"/>
  <c r="N219" i="1"/>
  <c r="Y219" i="1" s="1"/>
  <c r="I219" i="1"/>
  <c r="J219" i="1" s="1"/>
  <c r="Q219" i="1" s="1"/>
  <c r="AA219" i="1" s="1"/>
  <c r="M219" i="1"/>
  <c r="X219" i="1" s="1"/>
  <c r="H220" i="1"/>
  <c r="G220" i="1" s="1"/>
  <c r="P219" i="1"/>
  <c r="K219" i="1"/>
  <c r="L219" i="1" s="1"/>
  <c r="R219" i="1" s="1"/>
  <c r="Z219" i="1" s="1"/>
  <c r="O219" i="1"/>
  <c r="V219" i="1" s="1"/>
  <c r="F220" i="1"/>
  <c r="E220" i="1" s="1"/>
  <c r="T218" i="1"/>
  <c r="AA218" i="1"/>
  <c r="AB217" i="1"/>
  <c r="AE217" i="1" s="1"/>
  <c r="AC218" i="1" l="1"/>
  <c r="AF218" i="1" s="1"/>
  <c r="N220" i="1"/>
  <c r="Y220" i="1" s="1"/>
  <c r="I220" i="1"/>
  <c r="J220" i="1" s="1"/>
  <c r="Q220" i="1" s="1"/>
  <c r="M220" i="1"/>
  <c r="X220" i="1" s="1"/>
  <c r="AD218" i="1"/>
  <c r="AG218" i="1" s="1"/>
  <c r="H221" i="1"/>
  <c r="G221" i="1" s="1"/>
  <c r="P220" i="1"/>
  <c r="K220" i="1"/>
  <c r="L220" i="1" s="1"/>
  <c r="R220" i="1" s="1"/>
  <c r="Z220" i="1" s="1"/>
  <c r="O220" i="1"/>
  <c r="V220" i="1" s="1"/>
  <c r="F221" i="1"/>
  <c r="E221" i="1" s="1"/>
  <c r="U219" i="1"/>
  <c r="T219" i="1"/>
  <c r="S219" i="1"/>
  <c r="W219" i="1"/>
  <c r="AB219" i="1" s="1"/>
  <c r="AB218" i="1"/>
  <c r="AE218" i="1" s="1"/>
  <c r="AD219" i="1" l="1"/>
  <c r="AG219" i="1" s="1"/>
  <c r="AC219" i="1"/>
  <c r="AF219" i="1" s="1"/>
  <c r="AE219" i="1"/>
  <c r="T220" i="1"/>
  <c r="AA220" i="1"/>
  <c r="U220" i="1"/>
  <c r="S220" i="1"/>
  <c r="W220" i="1"/>
  <c r="N221" i="1"/>
  <c r="Y221" i="1" s="1"/>
  <c r="I221" i="1"/>
  <c r="J221" i="1" s="1"/>
  <c r="Q221" i="1" s="1"/>
  <c r="AA221" i="1" s="1"/>
  <c r="M221" i="1"/>
  <c r="X221" i="1" s="1"/>
  <c r="H222" i="1"/>
  <c r="G222" i="1" s="1"/>
  <c r="P221" i="1"/>
  <c r="K221" i="1"/>
  <c r="L221" i="1" s="1"/>
  <c r="R221" i="1" s="1"/>
  <c r="Z221" i="1" s="1"/>
  <c r="O221" i="1"/>
  <c r="V221" i="1" s="1"/>
  <c r="F222" i="1"/>
  <c r="E222" i="1" s="1"/>
  <c r="AC220" i="1" l="1"/>
  <c r="AF220" i="1" s="1"/>
  <c r="AD220" i="1"/>
  <c r="AG220" i="1" s="1"/>
  <c r="AB220" i="1"/>
  <c r="AE220" i="1" s="1"/>
  <c r="N222" i="1"/>
  <c r="Y222" i="1" s="1"/>
  <c r="I222" i="1"/>
  <c r="J222" i="1" s="1"/>
  <c r="Q222" i="1" s="1"/>
  <c r="AA222" i="1" s="1"/>
  <c r="M222" i="1"/>
  <c r="X222" i="1" s="1"/>
  <c r="H223" i="1"/>
  <c r="G223" i="1" s="1"/>
  <c r="P222" i="1"/>
  <c r="K222" i="1"/>
  <c r="L222" i="1" s="1"/>
  <c r="R222" i="1" s="1"/>
  <c r="O222" i="1"/>
  <c r="V222" i="1" s="1"/>
  <c r="F223" i="1"/>
  <c r="E223" i="1" s="1"/>
  <c r="T221" i="1"/>
  <c r="U221" i="1"/>
  <c r="S221" i="1"/>
  <c r="W221" i="1"/>
  <c r="AD221" i="1" s="1"/>
  <c r="AG221" i="1" l="1"/>
  <c r="AB221" i="1"/>
  <c r="AE221" i="1" s="1"/>
  <c r="N223" i="1"/>
  <c r="Y223" i="1" s="1"/>
  <c r="I223" i="1"/>
  <c r="J223" i="1" s="1"/>
  <c r="Q223" i="1" s="1"/>
  <c r="AA223" i="1" s="1"/>
  <c r="M223" i="1"/>
  <c r="X223" i="1" s="1"/>
  <c r="H224" i="1"/>
  <c r="G224" i="1" s="1"/>
  <c r="P223" i="1"/>
  <c r="K223" i="1"/>
  <c r="L223" i="1" s="1"/>
  <c r="R223" i="1" s="1"/>
  <c r="Z223" i="1" s="1"/>
  <c r="O223" i="1"/>
  <c r="V223" i="1" s="1"/>
  <c r="F224" i="1"/>
  <c r="E224" i="1" s="1"/>
  <c r="S222" i="1"/>
  <c r="Z222" i="1"/>
  <c r="AC221" i="1"/>
  <c r="AF221" i="1" s="1"/>
  <c r="W222" i="1"/>
  <c r="U222" i="1"/>
  <c r="T222" i="1"/>
  <c r="AC222" i="1" l="1"/>
  <c r="AF222" i="1" s="1"/>
  <c r="AB222" i="1"/>
  <c r="AE222" i="1" s="1"/>
  <c r="N224" i="1"/>
  <c r="Y224" i="1" s="1"/>
  <c r="I224" i="1"/>
  <c r="J224" i="1" s="1"/>
  <c r="Q224" i="1" s="1"/>
  <c r="M224" i="1"/>
  <c r="X224" i="1" s="1"/>
  <c r="H225" i="1"/>
  <c r="G225" i="1" s="1"/>
  <c r="P224" i="1"/>
  <c r="K224" i="1"/>
  <c r="L224" i="1" s="1"/>
  <c r="R224" i="1" s="1"/>
  <c r="Z224" i="1" s="1"/>
  <c r="O224" i="1"/>
  <c r="V224" i="1" s="1"/>
  <c r="F225" i="1"/>
  <c r="E225" i="1" s="1"/>
  <c r="AD222" i="1"/>
  <c r="AG222" i="1" s="1"/>
  <c r="U223" i="1"/>
  <c r="S223" i="1"/>
  <c r="W223" i="1"/>
  <c r="AB223" i="1" s="1"/>
  <c r="T223" i="1"/>
  <c r="AC223" i="1" l="1"/>
  <c r="AF223" i="1" s="1"/>
  <c r="H226" i="1"/>
  <c r="G226" i="1" s="1"/>
  <c r="P225" i="1"/>
  <c r="K225" i="1"/>
  <c r="L225" i="1" s="1"/>
  <c r="R225" i="1" s="1"/>
  <c r="Z225" i="1" s="1"/>
  <c r="O225" i="1"/>
  <c r="V225" i="1" s="1"/>
  <c r="F226" i="1"/>
  <c r="E226" i="1" s="1"/>
  <c r="T224" i="1"/>
  <c r="AA224" i="1"/>
  <c r="N225" i="1"/>
  <c r="Y225" i="1" s="1"/>
  <c r="I225" i="1"/>
  <c r="J225" i="1" s="1"/>
  <c r="Q225" i="1" s="1"/>
  <c r="AA225" i="1" s="1"/>
  <c r="M225" i="1"/>
  <c r="X225" i="1" s="1"/>
  <c r="AD223" i="1"/>
  <c r="AG223" i="1" s="1"/>
  <c r="AE223" i="1"/>
  <c r="W224" i="1"/>
  <c r="S224" i="1"/>
  <c r="U224" i="1"/>
  <c r="AD224" i="1" l="1"/>
  <c r="AG224" i="1" s="1"/>
  <c r="AB224" i="1"/>
  <c r="AE224" i="1" s="1"/>
  <c r="AC224" i="1"/>
  <c r="AF224" i="1" s="1"/>
  <c r="T225" i="1"/>
  <c r="U225" i="1"/>
  <c r="S225" i="1"/>
  <c r="W225" i="1"/>
  <c r="AD225" i="1" s="1"/>
  <c r="N226" i="1"/>
  <c r="Y226" i="1" s="1"/>
  <c r="I226" i="1"/>
  <c r="J226" i="1" s="1"/>
  <c r="Q226" i="1" s="1"/>
  <c r="AA226" i="1" s="1"/>
  <c r="M226" i="1"/>
  <c r="X226" i="1" s="1"/>
  <c r="H227" i="1"/>
  <c r="G227" i="1" s="1"/>
  <c r="P226" i="1"/>
  <c r="K226" i="1"/>
  <c r="L226" i="1" s="1"/>
  <c r="R226" i="1" s="1"/>
  <c r="O226" i="1"/>
  <c r="V226" i="1" s="1"/>
  <c r="F227" i="1"/>
  <c r="E227" i="1" s="1"/>
  <c r="AG225" i="1" l="1"/>
  <c r="AB225" i="1"/>
  <c r="AE225" i="1" s="1"/>
  <c r="AC225" i="1"/>
  <c r="AF225" i="1" s="1"/>
  <c r="N227" i="1"/>
  <c r="Y227" i="1" s="1"/>
  <c r="I227" i="1"/>
  <c r="J227" i="1" s="1"/>
  <c r="Q227" i="1" s="1"/>
  <c r="AA227" i="1" s="1"/>
  <c r="M227" i="1"/>
  <c r="X227" i="1" s="1"/>
  <c r="S226" i="1"/>
  <c r="Z226" i="1"/>
  <c r="H228" i="1"/>
  <c r="G228" i="1" s="1"/>
  <c r="P227" i="1"/>
  <c r="K227" i="1"/>
  <c r="L227" i="1" s="1"/>
  <c r="R227" i="1" s="1"/>
  <c r="Z227" i="1" s="1"/>
  <c r="O227" i="1"/>
  <c r="V227" i="1" s="1"/>
  <c r="F228" i="1"/>
  <c r="E228" i="1" s="1"/>
  <c r="W226" i="1"/>
  <c r="T226" i="1"/>
  <c r="U226" i="1"/>
  <c r="AC226" i="1" l="1"/>
  <c r="AF226" i="1" s="1"/>
  <c r="AB226" i="1"/>
  <c r="AE226" i="1" s="1"/>
  <c r="U227" i="1"/>
  <c r="S227" i="1"/>
  <c r="W227" i="1"/>
  <c r="AB227" i="1" s="1"/>
  <c r="T227" i="1"/>
  <c r="AD226" i="1"/>
  <c r="AG226" i="1" s="1"/>
  <c r="N228" i="1"/>
  <c r="Y228" i="1" s="1"/>
  <c r="I228" i="1"/>
  <c r="J228" i="1" s="1"/>
  <c r="Q228" i="1" s="1"/>
  <c r="AA228" i="1" s="1"/>
  <c r="M228" i="1"/>
  <c r="X228" i="1" s="1"/>
  <c r="H229" i="1"/>
  <c r="G229" i="1" s="1"/>
  <c r="K228" i="1"/>
  <c r="L228" i="1" s="1"/>
  <c r="R228" i="1" s="1"/>
  <c r="P228" i="1"/>
  <c r="O228" i="1"/>
  <c r="V228" i="1" s="1"/>
  <c r="F229" i="1"/>
  <c r="E229" i="1" s="1"/>
  <c r="AC227" i="1" l="1"/>
  <c r="AF227" i="1" s="1"/>
  <c r="AD227" i="1"/>
  <c r="AG227" i="1" s="1"/>
  <c r="AE227" i="1"/>
  <c r="S228" i="1"/>
  <c r="Z228" i="1"/>
  <c r="N229" i="1"/>
  <c r="Y229" i="1" s="1"/>
  <c r="I229" i="1"/>
  <c r="J229" i="1" s="1"/>
  <c r="Q229" i="1" s="1"/>
  <c r="AA229" i="1" s="1"/>
  <c r="M229" i="1"/>
  <c r="X229" i="1" s="1"/>
  <c r="U228" i="1"/>
  <c r="W228" i="1"/>
  <c r="T228" i="1"/>
  <c r="H230" i="1"/>
  <c r="G230" i="1" s="1"/>
  <c r="P229" i="1"/>
  <c r="K229" i="1"/>
  <c r="L229" i="1" s="1"/>
  <c r="R229" i="1" s="1"/>
  <c r="O229" i="1"/>
  <c r="V229" i="1" s="1"/>
  <c r="F230" i="1"/>
  <c r="E230" i="1" s="1"/>
  <c r="AD228" i="1" l="1"/>
  <c r="AG228" i="1" s="1"/>
  <c r="N230" i="1"/>
  <c r="Y230" i="1" s="1"/>
  <c r="I230" i="1"/>
  <c r="J230" i="1" s="1"/>
  <c r="Q230" i="1" s="1"/>
  <c r="M230" i="1"/>
  <c r="X230" i="1" s="1"/>
  <c r="AB228" i="1"/>
  <c r="AE228" i="1" s="1"/>
  <c r="T229" i="1"/>
  <c r="Z229" i="1"/>
  <c r="H231" i="1"/>
  <c r="G231" i="1" s="1"/>
  <c r="P230" i="1"/>
  <c r="K230" i="1"/>
  <c r="L230" i="1" s="1"/>
  <c r="R230" i="1" s="1"/>
  <c r="Z230" i="1" s="1"/>
  <c r="O230" i="1"/>
  <c r="V230" i="1" s="1"/>
  <c r="F231" i="1"/>
  <c r="E231" i="1" s="1"/>
  <c r="S229" i="1"/>
  <c r="W229" i="1"/>
  <c r="U229" i="1"/>
  <c r="AC228" i="1"/>
  <c r="AF228" i="1" s="1"/>
  <c r="AD229" i="1" l="1"/>
  <c r="AG229" i="1" s="1"/>
  <c r="H232" i="1"/>
  <c r="G232" i="1" s="1"/>
  <c r="P231" i="1"/>
  <c r="K231" i="1"/>
  <c r="L231" i="1" s="1"/>
  <c r="R231" i="1" s="1"/>
  <c r="Z231" i="1" s="1"/>
  <c r="O231" i="1"/>
  <c r="V231" i="1" s="1"/>
  <c r="F232" i="1"/>
  <c r="E232" i="1" s="1"/>
  <c r="AB229" i="1"/>
  <c r="AE229" i="1" s="1"/>
  <c r="T230" i="1"/>
  <c r="AA230" i="1"/>
  <c r="N231" i="1"/>
  <c r="Y231" i="1" s="1"/>
  <c r="I231" i="1"/>
  <c r="J231" i="1" s="1"/>
  <c r="Q231" i="1" s="1"/>
  <c r="AA231" i="1" s="1"/>
  <c r="M231" i="1"/>
  <c r="X231" i="1" s="1"/>
  <c r="AC229" i="1"/>
  <c r="AF229" i="1" s="1"/>
  <c r="W230" i="1"/>
  <c r="S230" i="1"/>
  <c r="U230" i="1"/>
  <c r="AD230" i="1" l="1"/>
  <c r="AG230" i="1" s="1"/>
  <c r="AB230" i="1"/>
  <c r="AE230" i="1" s="1"/>
  <c r="AC230" i="1"/>
  <c r="AF230" i="1" s="1"/>
  <c r="U231" i="1"/>
  <c r="T231" i="1"/>
  <c r="S231" i="1"/>
  <c r="W231" i="1"/>
  <c r="AB231" i="1" s="1"/>
  <c r="N232" i="1"/>
  <c r="Y232" i="1" s="1"/>
  <c r="I232" i="1"/>
  <c r="J232" i="1" s="1"/>
  <c r="Q232" i="1" s="1"/>
  <c r="AA232" i="1" s="1"/>
  <c r="M232" i="1"/>
  <c r="X232" i="1" s="1"/>
  <c r="H233" i="1"/>
  <c r="G233" i="1" s="1"/>
  <c r="K232" i="1"/>
  <c r="L232" i="1" s="1"/>
  <c r="R232" i="1" s="1"/>
  <c r="P232" i="1"/>
  <c r="O232" i="1"/>
  <c r="V232" i="1" s="1"/>
  <c r="F233" i="1"/>
  <c r="E233" i="1" s="1"/>
  <c r="AD231" i="1" l="1"/>
  <c r="AG231" i="1" s="1"/>
  <c r="AC231" i="1"/>
  <c r="AF231" i="1" s="1"/>
  <c r="AE231" i="1"/>
  <c r="S232" i="1"/>
  <c r="Z232" i="1"/>
  <c r="N233" i="1"/>
  <c r="Y233" i="1" s="1"/>
  <c r="I233" i="1"/>
  <c r="J233" i="1" s="1"/>
  <c r="Q233" i="1" s="1"/>
  <c r="AA233" i="1" s="1"/>
  <c r="M233" i="1"/>
  <c r="X233" i="1" s="1"/>
  <c r="W232" i="1"/>
  <c r="U232" i="1"/>
  <c r="T232" i="1"/>
  <c r="H234" i="1"/>
  <c r="G234" i="1" s="1"/>
  <c r="P233" i="1"/>
  <c r="K233" i="1"/>
  <c r="L233" i="1" s="1"/>
  <c r="R233" i="1" s="1"/>
  <c r="O233" i="1"/>
  <c r="V233" i="1" s="1"/>
  <c r="F234" i="1"/>
  <c r="E234" i="1" s="1"/>
  <c r="AC232" i="1" l="1"/>
  <c r="AF232" i="1" s="1"/>
  <c r="W233" i="1"/>
  <c r="U233" i="1"/>
  <c r="S233" i="1"/>
  <c r="AB232" i="1"/>
  <c r="AE232" i="1" s="1"/>
  <c r="AD232" i="1"/>
  <c r="AG232" i="1" s="1"/>
  <c r="N234" i="1"/>
  <c r="Y234" i="1" s="1"/>
  <c r="I234" i="1"/>
  <c r="J234" i="1" s="1"/>
  <c r="Q234" i="1" s="1"/>
  <c r="AA234" i="1" s="1"/>
  <c r="M234" i="1"/>
  <c r="X234" i="1" s="1"/>
  <c r="T233" i="1"/>
  <c r="Z233" i="1"/>
  <c r="H235" i="1"/>
  <c r="G235" i="1" s="1"/>
  <c r="K234" i="1"/>
  <c r="L234" i="1" s="1"/>
  <c r="R234" i="1" s="1"/>
  <c r="P234" i="1"/>
  <c r="O234" i="1"/>
  <c r="V234" i="1" s="1"/>
  <c r="F235" i="1"/>
  <c r="E235" i="1" s="1"/>
  <c r="AD233" i="1" l="1"/>
  <c r="AG233" i="1" s="1"/>
  <c r="AB233" i="1"/>
  <c r="AE233" i="1" s="1"/>
  <c r="N235" i="1"/>
  <c r="Y235" i="1" s="1"/>
  <c r="I235" i="1"/>
  <c r="J235" i="1" s="1"/>
  <c r="Q235" i="1" s="1"/>
  <c r="AA235" i="1" s="1"/>
  <c r="M235" i="1"/>
  <c r="X235" i="1" s="1"/>
  <c r="W234" i="1"/>
  <c r="T234" i="1"/>
  <c r="U234" i="1"/>
  <c r="H236" i="1"/>
  <c r="G236" i="1" s="1"/>
  <c r="P235" i="1"/>
  <c r="K235" i="1"/>
  <c r="L235" i="1" s="1"/>
  <c r="R235" i="1" s="1"/>
  <c r="O235" i="1"/>
  <c r="V235" i="1" s="1"/>
  <c r="F236" i="1"/>
  <c r="E236" i="1" s="1"/>
  <c r="AC233" i="1"/>
  <c r="AF233" i="1" s="1"/>
  <c r="S234" i="1"/>
  <c r="Z234" i="1"/>
  <c r="AC234" i="1" l="1"/>
  <c r="AF234" i="1" s="1"/>
  <c r="AB234" i="1"/>
  <c r="AE234" i="1" s="1"/>
  <c r="AD234" i="1"/>
  <c r="AG234" i="1" s="1"/>
  <c r="W235" i="1"/>
  <c r="S235" i="1"/>
  <c r="U235" i="1"/>
  <c r="N236" i="1"/>
  <c r="Y236" i="1" s="1"/>
  <c r="I236" i="1"/>
  <c r="J236" i="1" s="1"/>
  <c r="Q236" i="1" s="1"/>
  <c r="M236" i="1"/>
  <c r="X236" i="1" s="1"/>
  <c r="T235" i="1"/>
  <c r="Z235" i="1"/>
  <c r="H237" i="1"/>
  <c r="G237" i="1" s="1"/>
  <c r="P236" i="1"/>
  <c r="K236" i="1"/>
  <c r="L236" i="1" s="1"/>
  <c r="R236" i="1" s="1"/>
  <c r="Z236" i="1" s="1"/>
  <c r="O236" i="1"/>
  <c r="V236" i="1" s="1"/>
  <c r="F237" i="1"/>
  <c r="E237" i="1" s="1"/>
  <c r="AB235" i="1" l="1"/>
  <c r="AE235" i="1" s="1"/>
  <c r="AD235" i="1"/>
  <c r="AG235" i="1" s="1"/>
  <c r="U236" i="1"/>
  <c r="S236" i="1"/>
  <c r="W236" i="1"/>
  <c r="N237" i="1"/>
  <c r="Y237" i="1" s="1"/>
  <c r="I237" i="1"/>
  <c r="J237" i="1" s="1"/>
  <c r="Q237" i="1" s="1"/>
  <c r="AA237" i="1" s="1"/>
  <c r="M237" i="1"/>
  <c r="X237" i="1" s="1"/>
  <c r="H238" i="1"/>
  <c r="G238" i="1" s="1"/>
  <c r="P237" i="1"/>
  <c r="K237" i="1"/>
  <c r="L237" i="1" s="1"/>
  <c r="R237" i="1" s="1"/>
  <c r="Z237" i="1" s="1"/>
  <c r="O237" i="1"/>
  <c r="V237" i="1" s="1"/>
  <c r="F238" i="1"/>
  <c r="E238" i="1" s="1"/>
  <c r="T236" i="1"/>
  <c r="AA236" i="1"/>
  <c r="AC235" i="1"/>
  <c r="AF235" i="1" s="1"/>
  <c r="AB236" i="1" l="1"/>
  <c r="AE236" i="1" s="1"/>
  <c r="N238" i="1"/>
  <c r="Y238" i="1" s="1"/>
  <c r="I238" i="1"/>
  <c r="J238" i="1" s="1"/>
  <c r="Q238" i="1" s="1"/>
  <c r="AA238" i="1" s="1"/>
  <c r="M238" i="1"/>
  <c r="X238" i="1" s="1"/>
  <c r="AC236" i="1"/>
  <c r="AF236" i="1" s="1"/>
  <c r="H239" i="1"/>
  <c r="G239" i="1" s="1"/>
  <c r="K238" i="1"/>
  <c r="L238" i="1" s="1"/>
  <c r="R238" i="1" s="1"/>
  <c r="Z238" i="1" s="1"/>
  <c r="P238" i="1"/>
  <c r="O238" i="1"/>
  <c r="V238" i="1" s="1"/>
  <c r="F239" i="1"/>
  <c r="E239" i="1" s="1"/>
  <c r="T237" i="1"/>
  <c r="S237" i="1"/>
  <c r="U237" i="1"/>
  <c r="W237" i="1"/>
  <c r="AB237" i="1" s="1"/>
  <c r="AD236" i="1"/>
  <c r="AG236" i="1" s="1"/>
  <c r="AE237" i="1" l="1"/>
  <c r="AC237" i="1"/>
  <c r="AF237" i="1" s="1"/>
  <c r="AD237" i="1"/>
  <c r="AG237" i="1" s="1"/>
  <c r="N239" i="1"/>
  <c r="Y239" i="1" s="1"/>
  <c r="I239" i="1"/>
  <c r="J239" i="1" s="1"/>
  <c r="Q239" i="1" s="1"/>
  <c r="AA239" i="1" s="1"/>
  <c r="M239" i="1"/>
  <c r="X239" i="1" s="1"/>
  <c r="S238" i="1"/>
  <c r="W238" i="1"/>
  <c r="AC238" i="1" s="1"/>
  <c r="T238" i="1"/>
  <c r="U238" i="1"/>
  <c r="H240" i="1"/>
  <c r="G240" i="1" s="1"/>
  <c r="K239" i="1"/>
  <c r="L239" i="1" s="1"/>
  <c r="R239" i="1" s="1"/>
  <c r="Z239" i="1" s="1"/>
  <c r="O239" i="1"/>
  <c r="V239" i="1" s="1"/>
  <c r="P239" i="1"/>
  <c r="F240" i="1"/>
  <c r="E240" i="1" s="1"/>
  <c r="AB238" i="1" l="1"/>
  <c r="AE238" i="1" s="1"/>
  <c r="AD238" i="1"/>
  <c r="AG238" i="1" s="1"/>
  <c r="AF238" i="1"/>
  <c r="H241" i="1"/>
  <c r="G241" i="1" s="1"/>
  <c r="P240" i="1"/>
  <c r="K240" i="1"/>
  <c r="L240" i="1" s="1"/>
  <c r="R240" i="1" s="1"/>
  <c r="Z240" i="1" s="1"/>
  <c r="O240" i="1"/>
  <c r="V240" i="1" s="1"/>
  <c r="F241" i="1"/>
  <c r="E241" i="1" s="1"/>
  <c r="N240" i="1"/>
  <c r="Y240" i="1" s="1"/>
  <c r="I240" i="1"/>
  <c r="J240" i="1" s="1"/>
  <c r="Q240" i="1" s="1"/>
  <c r="AA240" i="1" s="1"/>
  <c r="M240" i="1"/>
  <c r="X240" i="1" s="1"/>
  <c r="T239" i="1"/>
  <c r="W239" i="1"/>
  <c r="AC239" i="1" s="1"/>
  <c r="S239" i="1"/>
  <c r="U239" i="1"/>
  <c r="AD239" i="1" l="1"/>
  <c r="AG239" i="1" s="1"/>
  <c r="AB239" i="1"/>
  <c r="AE239" i="1" s="1"/>
  <c r="U240" i="1"/>
  <c r="S240" i="1"/>
  <c r="W240" i="1"/>
  <c r="AC240" i="1" s="1"/>
  <c r="T240" i="1"/>
  <c r="AF239" i="1"/>
  <c r="N241" i="1"/>
  <c r="Y241" i="1" s="1"/>
  <c r="I241" i="1"/>
  <c r="J241" i="1" s="1"/>
  <c r="Q241" i="1" s="1"/>
  <c r="AA241" i="1" s="1"/>
  <c r="M241" i="1"/>
  <c r="X241" i="1" s="1"/>
  <c r="H242" i="1"/>
  <c r="G242" i="1" s="1"/>
  <c r="P241" i="1"/>
  <c r="K241" i="1"/>
  <c r="L241" i="1" s="1"/>
  <c r="R241" i="1" s="1"/>
  <c r="O241" i="1"/>
  <c r="V241" i="1" s="1"/>
  <c r="F242" i="1"/>
  <c r="E242" i="1" s="1"/>
  <c r="AF240" i="1" l="1"/>
  <c r="T241" i="1"/>
  <c r="Z241" i="1"/>
  <c r="H243" i="1"/>
  <c r="G243" i="1" s="1"/>
  <c r="P242" i="1"/>
  <c r="K242" i="1"/>
  <c r="L242" i="1" s="1"/>
  <c r="R242" i="1" s="1"/>
  <c r="Z242" i="1" s="1"/>
  <c r="O242" i="1"/>
  <c r="V242" i="1" s="1"/>
  <c r="F243" i="1"/>
  <c r="E243" i="1" s="1"/>
  <c r="AB240" i="1"/>
  <c r="AE240" i="1" s="1"/>
  <c r="N242" i="1"/>
  <c r="Y242" i="1" s="1"/>
  <c r="I242" i="1"/>
  <c r="J242" i="1" s="1"/>
  <c r="Q242" i="1" s="1"/>
  <c r="M242" i="1"/>
  <c r="X242" i="1" s="1"/>
  <c r="S241" i="1"/>
  <c r="U241" i="1"/>
  <c r="W241" i="1"/>
  <c r="AD240" i="1"/>
  <c r="AG240" i="1" s="1"/>
  <c r="AC241" i="1" l="1"/>
  <c r="AF241" i="1" s="1"/>
  <c r="AD241" i="1"/>
  <c r="AG241" i="1" s="1"/>
  <c r="T242" i="1"/>
  <c r="AA242" i="1"/>
  <c r="W242" i="1"/>
  <c r="S242" i="1"/>
  <c r="U242" i="1"/>
  <c r="AB241" i="1"/>
  <c r="AE241" i="1" s="1"/>
  <c r="N243" i="1"/>
  <c r="Y243" i="1" s="1"/>
  <c r="I243" i="1"/>
  <c r="J243" i="1" s="1"/>
  <c r="Q243" i="1" s="1"/>
  <c r="AA243" i="1" s="1"/>
  <c r="M243" i="1"/>
  <c r="X243" i="1" s="1"/>
  <c r="H244" i="1"/>
  <c r="G244" i="1" s="1"/>
  <c r="P243" i="1"/>
  <c r="K243" i="1"/>
  <c r="L243" i="1" s="1"/>
  <c r="R243" i="1" s="1"/>
  <c r="Z243" i="1" s="1"/>
  <c r="O243" i="1"/>
  <c r="V243" i="1" s="1"/>
  <c r="F244" i="1"/>
  <c r="E244" i="1" s="1"/>
  <c r="AD242" i="1" l="1"/>
  <c r="AG242" i="1" s="1"/>
  <c r="AC242" i="1"/>
  <c r="AF242" i="1" s="1"/>
  <c r="H245" i="1"/>
  <c r="G245" i="1" s="1"/>
  <c r="K244" i="1"/>
  <c r="L244" i="1" s="1"/>
  <c r="R244" i="1" s="1"/>
  <c r="P244" i="1"/>
  <c r="O244" i="1"/>
  <c r="V244" i="1" s="1"/>
  <c r="F245" i="1"/>
  <c r="E245" i="1" s="1"/>
  <c r="N244" i="1"/>
  <c r="Y244" i="1" s="1"/>
  <c r="I244" i="1"/>
  <c r="J244" i="1" s="1"/>
  <c r="Q244" i="1" s="1"/>
  <c r="AA244" i="1" s="1"/>
  <c r="M244" i="1"/>
  <c r="X244" i="1" s="1"/>
  <c r="T243" i="1"/>
  <c r="W243" i="1"/>
  <c r="AC243" i="1" s="1"/>
  <c r="S243" i="1"/>
  <c r="U243" i="1"/>
  <c r="AB242" i="1"/>
  <c r="AE242" i="1" s="1"/>
  <c r="AD243" i="1" l="1"/>
  <c r="AG243" i="1" s="1"/>
  <c r="AF243" i="1"/>
  <c r="S244" i="1"/>
  <c r="Z244" i="1"/>
  <c r="AB243" i="1"/>
  <c r="AE243" i="1" s="1"/>
  <c r="N245" i="1"/>
  <c r="Y245" i="1" s="1"/>
  <c r="I245" i="1"/>
  <c r="J245" i="1" s="1"/>
  <c r="Q245" i="1" s="1"/>
  <c r="AA245" i="1" s="1"/>
  <c r="M245" i="1"/>
  <c r="X245" i="1" s="1"/>
  <c r="U244" i="1"/>
  <c r="W244" i="1"/>
  <c r="T244" i="1"/>
  <c r="H246" i="1"/>
  <c r="G246" i="1" s="1"/>
  <c r="K245" i="1"/>
  <c r="L245" i="1" s="1"/>
  <c r="R245" i="1" s="1"/>
  <c r="O245" i="1"/>
  <c r="V245" i="1" s="1"/>
  <c r="P245" i="1"/>
  <c r="F246" i="1"/>
  <c r="E246" i="1" s="1"/>
  <c r="AB244" i="1" l="1"/>
  <c r="AE244" i="1" s="1"/>
  <c r="AC244" i="1"/>
  <c r="AF244" i="1" s="1"/>
  <c r="U245" i="1"/>
  <c r="S245" i="1"/>
  <c r="W245" i="1"/>
  <c r="T245" i="1"/>
  <c r="Z245" i="1"/>
  <c r="N246" i="1"/>
  <c r="Y246" i="1" s="1"/>
  <c r="I246" i="1"/>
  <c r="J246" i="1" s="1"/>
  <c r="Q246" i="1" s="1"/>
  <c r="M246" i="1"/>
  <c r="X246" i="1" s="1"/>
  <c r="H247" i="1"/>
  <c r="G247" i="1" s="1"/>
  <c r="K246" i="1"/>
  <c r="L246" i="1" s="1"/>
  <c r="R246" i="1" s="1"/>
  <c r="Z246" i="1" s="1"/>
  <c r="P246" i="1"/>
  <c r="O246" i="1"/>
  <c r="V246" i="1" s="1"/>
  <c r="F247" i="1"/>
  <c r="E247" i="1" s="1"/>
  <c r="AD244" i="1"/>
  <c r="AG244" i="1" s="1"/>
  <c r="AC245" i="1" l="1"/>
  <c r="AF245" i="1" s="1"/>
  <c r="AD245" i="1"/>
  <c r="AG245" i="1" s="1"/>
  <c r="N247" i="1"/>
  <c r="Y247" i="1" s="1"/>
  <c r="I247" i="1"/>
  <c r="J247" i="1" s="1"/>
  <c r="Q247" i="1" s="1"/>
  <c r="AA247" i="1" s="1"/>
  <c r="M247" i="1"/>
  <c r="X247" i="1" s="1"/>
  <c r="S246" i="1"/>
  <c r="W246" i="1"/>
  <c r="U246" i="1"/>
  <c r="H248" i="1"/>
  <c r="G248" i="1" s="1"/>
  <c r="K247" i="1"/>
  <c r="L247" i="1" s="1"/>
  <c r="R247" i="1" s="1"/>
  <c r="Z247" i="1" s="1"/>
  <c r="O247" i="1"/>
  <c r="V247" i="1" s="1"/>
  <c r="P247" i="1"/>
  <c r="F248" i="1"/>
  <c r="E248" i="1" s="1"/>
  <c r="T246" i="1"/>
  <c r="AA246" i="1"/>
  <c r="AB245" i="1"/>
  <c r="AE245" i="1" s="1"/>
  <c r="AC246" i="1" l="1"/>
  <c r="AF246" i="1" s="1"/>
  <c r="AD246" i="1"/>
  <c r="AG246" i="1" s="1"/>
  <c r="AB246" i="1"/>
  <c r="AE246" i="1" s="1"/>
  <c r="T247" i="1"/>
  <c r="W247" i="1"/>
  <c r="AC247" i="1" s="1"/>
  <c r="S247" i="1"/>
  <c r="U247" i="1"/>
  <c r="N248" i="1"/>
  <c r="Y248" i="1" s="1"/>
  <c r="I248" i="1"/>
  <c r="J248" i="1" s="1"/>
  <c r="Q248" i="1" s="1"/>
  <c r="AA248" i="1" s="1"/>
  <c r="M248" i="1"/>
  <c r="X248" i="1" s="1"/>
  <c r="H249" i="1"/>
  <c r="G249" i="1" s="1"/>
  <c r="P248" i="1"/>
  <c r="K248" i="1"/>
  <c r="L248" i="1" s="1"/>
  <c r="R248" i="1" s="1"/>
  <c r="O248" i="1"/>
  <c r="V248" i="1" s="1"/>
  <c r="F249" i="1"/>
  <c r="E249" i="1" s="1"/>
  <c r="AF247" i="1" l="1"/>
  <c r="AB247" i="1"/>
  <c r="AE247" i="1" s="1"/>
  <c r="N249" i="1"/>
  <c r="Y249" i="1" s="1"/>
  <c r="I249" i="1"/>
  <c r="J249" i="1" s="1"/>
  <c r="Q249" i="1" s="1"/>
  <c r="AA249" i="1" s="1"/>
  <c r="M249" i="1"/>
  <c r="X249" i="1" s="1"/>
  <c r="S248" i="1"/>
  <c r="Z248" i="1"/>
  <c r="H250" i="1"/>
  <c r="G250" i="1" s="1"/>
  <c r="P249" i="1"/>
  <c r="K249" i="1"/>
  <c r="L249" i="1" s="1"/>
  <c r="R249" i="1" s="1"/>
  <c r="O249" i="1"/>
  <c r="V249" i="1" s="1"/>
  <c r="F250" i="1"/>
  <c r="E250" i="1" s="1"/>
  <c r="AD247" i="1"/>
  <c r="AG247" i="1" s="1"/>
  <c r="W248" i="1"/>
  <c r="U248" i="1"/>
  <c r="T248" i="1"/>
  <c r="AC248" i="1" l="1"/>
  <c r="AF248" i="1" s="1"/>
  <c r="AB248" i="1"/>
  <c r="AE248" i="1" s="1"/>
  <c r="N250" i="1"/>
  <c r="Y250" i="1" s="1"/>
  <c r="I250" i="1"/>
  <c r="J250" i="1" s="1"/>
  <c r="Q250" i="1" s="1"/>
  <c r="M250" i="1"/>
  <c r="X250" i="1" s="1"/>
  <c r="T249" i="1"/>
  <c r="Z249" i="1"/>
  <c r="H251" i="1"/>
  <c r="G251" i="1" s="1"/>
  <c r="P250" i="1"/>
  <c r="K250" i="1"/>
  <c r="L250" i="1" s="1"/>
  <c r="R250" i="1" s="1"/>
  <c r="Z250" i="1" s="1"/>
  <c r="O250" i="1"/>
  <c r="V250" i="1" s="1"/>
  <c r="F251" i="1"/>
  <c r="E251" i="1" s="1"/>
  <c r="AD248" i="1"/>
  <c r="AG248" i="1" s="1"/>
  <c r="S249" i="1"/>
  <c r="U249" i="1"/>
  <c r="W249" i="1"/>
  <c r="AC249" i="1" l="1"/>
  <c r="AF249" i="1" s="1"/>
  <c r="AD249" i="1"/>
  <c r="AG249" i="1" s="1"/>
  <c r="H252" i="1"/>
  <c r="G252" i="1" s="1"/>
  <c r="P251" i="1"/>
  <c r="K251" i="1"/>
  <c r="L251" i="1" s="1"/>
  <c r="R251" i="1" s="1"/>
  <c r="Z251" i="1" s="1"/>
  <c r="O251" i="1"/>
  <c r="V251" i="1" s="1"/>
  <c r="F252" i="1"/>
  <c r="E252" i="1" s="1"/>
  <c r="T250" i="1"/>
  <c r="AA250" i="1"/>
  <c r="N251" i="1"/>
  <c r="Y251" i="1" s="1"/>
  <c r="I251" i="1"/>
  <c r="J251" i="1" s="1"/>
  <c r="Q251" i="1" s="1"/>
  <c r="AA251" i="1" s="1"/>
  <c r="M251" i="1"/>
  <c r="X251" i="1" s="1"/>
  <c r="AB249" i="1"/>
  <c r="AE249" i="1" s="1"/>
  <c r="W250" i="1"/>
  <c r="S250" i="1"/>
  <c r="U250" i="1"/>
  <c r="AB250" i="1" l="1"/>
  <c r="AE250" i="1" s="1"/>
  <c r="AD250" i="1"/>
  <c r="AG250" i="1" s="1"/>
  <c r="T251" i="1"/>
  <c r="W251" i="1"/>
  <c r="AC251" i="1" s="1"/>
  <c r="S251" i="1"/>
  <c r="U251" i="1"/>
  <c r="AC250" i="1"/>
  <c r="AF250" i="1" s="1"/>
  <c r="N252" i="1"/>
  <c r="Y252" i="1" s="1"/>
  <c r="I252" i="1"/>
  <c r="J252" i="1" s="1"/>
  <c r="Q252" i="1" s="1"/>
  <c r="AA252" i="1" s="1"/>
  <c r="M252" i="1"/>
  <c r="X252" i="1" s="1"/>
  <c r="H253" i="1"/>
  <c r="G253" i="1" s="1"/>
  <c r="K252" i="1"/>
  <c r="L252" i="1" s="1"/>
  <c r="R252" i="1" s="1"/>
  <c r="P252" i="1"/>
  <c r="O252" i="1"/>
  <c r="V252" i="1" s="1"/>
  <c r="F253" i="1"/>
  <c r="E253" i="1" s="1"/>
  <c r="AF251" i="1" l="1"/>
  <c r="S252" i="1"/>
  <c r="Z252" i="1"/>
  <c r="AD251" i="1"/>
  <c r="AG251" i="1" s="1"/>
  <c r="N253" i="1"/>
  <c r="Y253" i="1" s="1"/>
  <c r="I253" i="1"/>
  <c r="J253" i="1" s="1"/>
  <c r="Q253" i="1" s="1"/>
  <c r="AA253" i="1" s="1"/>
  <c r="M253" i="1"/>
  <c r="X253" i="1" s="1"/>
  <c r="U252" i="1"/>
  <c r="W252" i="1"/>
  <c r="T252" i="1"/>
  <c r="H254" i="1"/>
  <c r="G254" i="1" s="1"/>
  <c r="K253" i="1"/>
  <c r="L253" i="1" s="1"/>
  <c r="R253" i="1" s="1"/>
  <c r="O253" i="1"/>
  <c r="V253" i="1" s="1"/>
  <c r="P253" i="1"/>
  <c r="F254" i="1"/>
  <c r="E254" i="1" s="1"/>
  <c r="AB251" i="1"/>
  <c r="AE251" i="1" s="1"/>
  <c r="AB252" i="1" l="1"/>
  <c r="AE252" i="1" s="1"/>
  <c r="AC252" i="1"/>
  <c r="AF252" i="1" s="1"/>
  <c r="U253" i="1"/>
  <c r="S253" i="1"/>
  <c r="W253" i="1"/>
  <c r="T253" i="1"/>
  <c r="Z253" i="1"/>
  <c r="N254" i="1"/>
  <c r="Y254" i="1" s="1"/>
  <c r="I254" i="1"/>
  <c r="J254" i="1" s="1"/>
  <c r="Q254" i="1" s="1"/>
  <c r="M254" i="1"/>
  <c r="X254" i="1" s="1"/>
  <c r="H255" i="1"/>
  <c r="G255" i="1" s="1"/>
  <c r="K254" i="1"/>
  <c r="L254" i="1" s="1"/>
  <c r="R254" i="1" s="1"/>
  <c r="Z254" i="1" s="1"/>
  <c r="P254" i="1"/>
  <c r="O254" i="1"/>
  <c r="V254" i="1" s="1"/>
  <c r="F255" i="1"/>
  <c r="E255" i="1" s="1"/>
  <c r="AD252" i="1"/>
  <c r="AG252" i="1" s="1"/>
  <c r="AC253" i="1" l="1"/>
  <c r="AF253" i="1" s="1"/>
  <c r="AD253" i="1"/>
  <c r="AG253" i="1" s="1"/>
  <c r="N255" i="1"/>
  <c r="Y255" i="1" s="1"/>
  <c r="I255" i="1"/>
  <c r="J255" i="1" s="1"/>
  <c r="Q255" i="1" s="1"/>
  <c r="AA255" i="1" s="1"/>
  <c r="M255" i="1"/>
  <c r="X255" i="1" s="1"/>
  <c r="H256" i="1"/>
  <c r="G256" i="1" s="1"/>
  <c r="K255" i="1"/>
  <c r="L255" i="1" s="1"/>
  <c r="R255" i="1" s="1"/>
  <c r="Z255" i="1" s="1"/>
  <c r="O255" i="1"/>
  <c r="V255" i="1" s="1"/>
  <c r="P255" i="1"/>
  <c r="F256" i="1"/>
  <c r="E256" i="1" s="1"/>
  <c r="T254" i="1"/>
  <c r="AA254" i="1"/>
  <c r="S254" i="1"/>
  <c r="W254" i="1"/>
  <c r="U254" i="1"/>
  <c r="AB253" i="1"/>
  <c r="AE253" i="1" s="1"/>
  <c r="AD254" i="1" l="1"/>
  <c r="AG254" i="1" s="1"/>
  <c r="AB254" i="1"/>
  <c r="AE254" i="1" s="1"/>
  <c r="AC254" i="1"/>
  <c r="AF254" i="1" s="1"/>
  <c r="N256" i="1"/>
  <c r="Y256" i="1" s="1"/>
  <c r="I256" i="1"/>
  <c r="J256" i="1" s="1"/>
  <c r="Q256" i="1" s="1"/>
  <c r="AA256" i="1" s="1"/>
  <c r="M256" i="1"/>
  <c r="X256" i="1" s="1"/>
  <c r="H257" i="1"/>
  <c r="G257" i="1" s="1"/>
  <c r="P256" i="1"/>
  <c r="K256" i="1"/>
  <c r="L256" i="1" s="1"/>
  <c r="R256" i="1" s="1"/>
  <c r="O256" i="1"/>
  <c r="V256" i="1" s="1"/>
  <c r="F257" i="1"/>
  <c r="E257" i="1" s="1"/>
  <c r="T255" i="1"/>
  <c r="W255" i="1"/>
  <c r="AC255" i="1" s="1"/>
  <c r="S255" i="1"/>
  <c r="U255" i="1"/>
  <c r="AD255" i="1" l="1"/>
  <c r="AG255" i="1" s="1"/>
  <c r="AB255" i="1"/>
  <c r="AE255" i="1" s="1"/>
  <c r="W256" i="1"/>
  <c r="U256" i="1"/>
  <c r="T256" i="1"/>
  <c r="AF255" i="1"/>
  <c r="N257" i="1"/>
  <c r="Y257" i="1" s="1"/>
  <c r="I257" i="1"/>
  <c r="J257" i="1" s="1"/>
  <c r="Q257" i="1" s="1"/>
  <c r="AA257" i="1" s="1"/>
  <c r="M257" i="1"/>
  <c r="X257" i="1" s="1"/>
  <c r="S256" i="1"/>
  <c r="Z256" i="1"/>
  <c r="H258" i="1"/>
  <c r="G258" i="1" s="1"/>
  <c r="P257" i="1"/>
  <c r="K257" i="1"/>
  <c r="L257" i="1" s="1"/>
  <c r="R257" i="1" s="1"/>
  <c r="O257" i="1"/>
  <c r="V257" i="1" s="1"/>
  <c r="F258" i="1"/>
  <c r="E258" i="1" s="1"/>
  <c r="AB256" i="1" l="1"/>
  <c r="AE256" i="1" s="1"/>
  <c r="AD256" i="1"/>
  <c r="AG256" i="1" s="1"/>
  <c r="AC256" i="1"/>
  <c r="AF256" i="1" s="1"/>
  <c r="S257" i="1"/>
  <c r="U257" i="1"/>
  <c r="W257" i="1"/>
  <c r="N258" i="1"/>
  <c r="Y258" i="1" s="1"/>
  <c r="I258" i="1"/>
  <c r="J258" i="1" s="1"/>
  <c r="Q258" i="1" s="1"/>
  <c r="M258" i="1"/>
  <c r="X258" i="1" s="1"/>
  <c r="T257" i="1"/>
  <c r="Z257" i="1"/>
  <c r="H259" i="1"/>
  <c r="G259" i="1" s="1"/>
  <c r="P258" i="1"/>
  <c r="K258" i="1"/>
  <c r="L258" i="1" s="1"/>
  <c r="R258" i="1" s="1"/>
  <c r="Z258" i="1" s="1"/>
  <c r="O258" i="1"/>
  <c r="V258" i="1" s="1"/>
  <c r="F259" i="1"/>
  <c r="E259" i="1" s="1"/>
  <c r="AD257" i="1" l="1"/>
  <c r="AG257" i="1" s="1"/>
  <c r="AB257" i="1"/>
  <c r="AE257" i="1" s="1"/>
  <c r="W258" i="1"/>
  <c r="S258" i="1"/>
  <c r="U258" i="1"/>
  <c r="N259" i="1"/>
  <c r="Y259" i="1" s="1"/>
  <c r="I259" i="1"/>
  <c r="J259" i="1" s="1"/>
  <c r="Q259" i="1" s="1"/>
  <c r="AA259" i="1" s="1"/>
  <c r="M259" i="1"/>
  <c r="X259" i="1" s="1"/>
  <c r="H260" i="1"/>
  <c r="G260" i="1" s="1"/>
  <c r="P259" i="1"/>
  <c r="K259" i="1"/>
  <c r="L259" i="1" s="1"/>
  <c r="R259" i="1" s="1"/>
  <c r="Z259" i="1" s="1"/>
  <c r="O259" i="1"/>
  <c r="V259" i="1" s="1"/>
  <c r="F260" i="1"/>
  <c r="E260" i="1" s="1"/>
  <c r="T258" i="1"/>
  <c r="AA258" i="1"/>
  <c r="AC257" i="1"/>
  <c r="AF257" i="1" s="1"/>
  <c r="AC258" i="1" l="1"/>
  <c r="AF258" i="1" s="1"/>
  <c r="AB258" i="1"/>
  <c r="AE258" i="1" s="1"/>
  <c r="N260" i="1"/>
  <c r="Y260" i="1" s="1"/>
  <c r="I260" i="1"/>
  <c r="J260" i="1" s="1"/>
  <c r="Q260" i="1" s="1"/>
  <c r="AA260" i="1" s="1"/>
  <c r="M260" i="1"/>
  <c r="X260" i="1" s="1"/>
  <c r="H261" i="1"/>
  <c r="G261" i="1" s="1"/>
  <c r="K260" i="1"/>
  <c r="L260" i="1" s="1"/>
  <c r="R260" i="1" s="1"/>
  <c r="P260" i="1"/>
  <c r="O260" i="1"/>
  <c r="V260" i="1" s="1"/>
  <c r="F261" i="1"/>
  <c r="E261" i="1" s="1"/>
  <c r="AD258" i="1"/>
  <c r="AG258" i="1" s="1"/>
  <c r="T259" i="1"/>
  <c r="W259" i="1"/>
  <c r="AC259" i="1" s="1"/>
  <c r="S259" i="1"/>
  <c r="U259" i="1"/>
  <c r="AD259" i="1" l="1"/>
  <c r="AG259" i="1" s="1"/>
  <c r="AB259" i="1"/>
  <c r="AE259" i="1" s="1"/>
  <c r="N261" i="1"/>
  <c r="Y261" i="1" s="1"/>
  <c r="I261" i="1"/>
  <c r="J261" i="1" s="1"/>
  <c r="Q261" i="1" s="1"/>
  <c r="AA261" i="1" s="1"/>
  <c r="M261" i="1"/>
  <c r="X261" i="1" s="1"/>
  <c r="U260" i="1"/>
  <c r="W260" i="1"/>
  <c r="T260" i="1"/>
  <c r="K261" i="1"/>
  <c r="L261" i="1" s="1"/>
  <c r="R261" i="1" s="1"/>
  <c r="O261" i="1"/>
  <c r="V261" i="1" s="1"/>
  <c r="P261" i="1"/>
  <c r="AF259" i="1"/>
  <c r="S260" i="1"/>
  <c r="Z260" i="1"/>
  <c r="AB260" i="1" l="1"/>
  <c r="AE260" i="1" s="1"/>
  <c r="AC260" i="1"/>
  <c r="AF260" i="1" s="1"/>
  <c r="AD260" i="1"/>
  <c r="AG260" i="1" s="1"/>
  <c r="U261" i="1"/>
  <c r="S261" i="1"/>
  <c r="W261" i="1"/>
  <c r="T261" i="1"/>
  <c r="Z261" i="1"/>
  <c r="AB261" i="1" l="1"/>
  <c r="AE261" i="1" s="1"/>
  <c r="AE262" i="1" s="1"/>
  <c r="V147" i="1" s="1"/>
  <c r="V151" i="1" s="1"/>
  <c r="V153" i="1" s="1"/>
  <c r="AD261" i="1"/>
  <c r="AG261" i="1" s="1"/>
  <c r="AG262" i="1" s="1"/>
  <c r="AB147" i="1" s="1"/>
  <c r="AB151" i="1" s="1"/>
  <c r="AC261" i="1"/>
  <c r="AF261" i="1" s="1"/>
  <c r="AF262" i="1" s="1"/>
  <c r="Y147" i="1" s="1"/>
  <c r="Y151" i="1" s="1"/>
  <c r="L3" i="1" l="1"/>
  <c r="Y153" i="1"/>
  <c r="Z38" i="1" s="1"/>
  <c r="AB153" i="1"/>
  <c r="AA38" i="1" l="1"/>
  <c r="L5" i="1"/>
  <c r="J7" i="1"/>
  <c r="J6" i="1"/>
  <c r="L6" i="1" s="1"/>
</calcChain>
</file>

<file path=xl/sharedStrings.xml><?xml version="1.0" encoding="utf-8"?>
<sst xmlns="http://schemas.openxmlformats.org/spreadsheetml/2006/main" count="233" uniqueCount="157">
  <si>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</si>
  <si>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</si>
  <si>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</si>
  <si>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</si>
  <si>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</si>
  <si>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</si>
  <si>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</si>
  <si>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</si>
  <si>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</si>
  <si>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</si>
  <si>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</si>
  <si>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</si>
  <si>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</si>
  <si>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</si>
  <si>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</si>
  <si>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</si>
  <si>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</si>
  <si>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</si>
  <si>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</si>
  <si>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</si>
  <si>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</si>
  <si>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</si>
  <si>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</si>
  <si>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</si>
  <si>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</si>
  <si>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</si>
  <si>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</si>
  <si>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</si>
  <si>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</si>
  <si>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</si>
  <si>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</si>
  <si>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</si>
  <si>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</si>
  <si>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</si>
  <si>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</si>
  <si>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</si>
  <si>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</si>
  <si>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</si>
  <si>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</si>
  <si>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</si>
  <si>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</si>
  <si>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</si>
  <si>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</si>
  <si>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</si>
  <si>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</si>
  <si>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</si>
  <si>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</si>
  <si>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</si>
  <si>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</si>
  <si>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</si>
  <si>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</si>
  <si>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</si>
  <si>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</si>
  <si>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</si>
  <si>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</si>
  <si>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</si>
  <si>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</si>
  <si>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</si>
  <si>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</si>
  <si>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</si>
  <si>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</si>
  <si>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</si>
  <si>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</si>
  <si>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</si>
  <si>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</si>
  <si>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</si>
  <si>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</si>
  <si>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</si>
  <si>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</si>
  <si>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</si>
  <si>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</si>
  <si>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</si>
  <si>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</si>
  <si>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</si>
  <si>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</si>
  <si>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</si>
  <si>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</si>
  <si>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</si>
  <si>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</si>
  <si>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</si>
  <si>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</si>
  <si>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</si>
  <si>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</si>
  <si>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</si>
  <si>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</si>
  <si>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</si>
  <si>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</si>
  <si>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</si>
  <si>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</si>
  <si>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</si>
  <si>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</si>
  <si>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</si>
  <si>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</si>
  <si>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</si>
  <si>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</si>
  <si>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</si>
  <si>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</si>
  <si>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</si>
  <si>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</si>
  <si>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</si>
  <si>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</si>
  <si>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</si>
  <si>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</si>
  <si>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</si>
  <si>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</si>
  <si>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</si>
  <si>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</si>
  <si>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</si>
  <si>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</si>
  <si>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</si>
  <si>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</si>
  <si>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</si>
  <si>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</si>
  <si>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</si>
  <si>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</si>
  <si>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</si>
  <si>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</si>
  <si>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</si>
  <si>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</si>
  <si>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</si>
  <si>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</si>
  <si>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</si>
  <si>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</si>
  <si>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</si>
  <si>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</si>
  <si>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</si>
  <si>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</si>
  <si>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</si>
  <si>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</si>
  <si>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</si>
  <si>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</si>
  <si>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</si>
  <si>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</si>
  <si>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</si>
  <si>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</si>
  <si>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</si>
  <si>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</si>
  <si>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</si>
  <si>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</si>
  <si>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</si>
  <si>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</si>
  <si>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Density:</t>
  </si>
  <si>
    <t>pcf</t>
  </si>
  <si>
    <t>Tie Type:</t>
  </si>
  <si>
    <t>Other</t>
  </si>
  <si>
    <t>PCA_Parabolic</t>
  </si>
  <si>
    <t>Trapezoid Approx</t>
  </si>
  <si>
    <t>x1</t>
  </si>
  <si>
    <t>y1</t>
  </si>
  <si>
    <t>x2</t>
  </si>
  <si>
    <t>y2</t>
  </si>
  <si>
    <t>ec1</t>
  </si>
  <si>
    <t>sigma1</t>
  </si>
  <si>
    <t>ec2</t>
  </si>
  <si>
    <t>sigma2</t>
  </si>
  <si>
    <t>Results below from approximating Parabolic Region with 100 trapezoids</t>
  </si>
  <si>
    <t>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</si>
</sst>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9.1875</c:v>
                </c:pt>
                <c:pt idx="1">
                  <c:v>6.4965435521514054</c:v>
                </c:pt>
                <c:pt idx="2">
                  <c:v>#N/A</c:v>
                </c:pt>
                <c:pt idx="3">
                  <c:v>-6.4965435521514046</c:v>
                </c:pt>
                <c:pt idx="4">
                  <c:v>-9.1875</c:v>
                </c:pt>
                <c:pt idx="5">
                  <c:v>-6.4965435521514072</c:v>
                </c:pt>
                <c:pt idx="6">
                  <c:v>-1.688407714420942E-15</c:v>
                </c:pt>
                <c:pt idx="7">
                  <c:v>6.4965435521514037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0</c:v>
                </c:pt>
                <c:pt idx="1">
                  <c:v>6.4965435521514046</c:v>
                </c:pt>
                <c:pt idx="2">
                  <c:v>#N/A</c:v>
                </c:pt>
                <c:pt idx="3">
                  <c:v>6.4965435521514054</c:v>
                </c:pt>
                <c:pt idx="4">
                  <c:v>1.1256051429472946E-15</c:v>
                </c:pt>
                <c:pt idx="5">
                  <c:v>-6.4965435521514046</c:v>
                </c:pt>
                <c:pt idx="6">
                  <c:v>-9.1875</c:v>
                </c:pt>
                <c:pt idx="7">
                  <c:v>-6.4965435521514072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9.4791136904048923</c:v>
                </c:pt>
                <c:pt idx="1">
                  <c:v>-9.4791136904048887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7.3584239918870216</c:v>
                </c:pt>
                <c:pt idx="1">
                  <c:v>7.3584239918870269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8.286739193509618</c:v>
                </c:pt>
                <c:pt idx="1">
                  <c:v>8.2867391935096215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5.6280257147364732E-16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9.1875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195.45167071178761</c:v>
                </c:pt>
                <c:pt idx="1">
                  <c:v>195.43695961238819</c:v>
                </c:pt>
                <c:pt idx="2">
                  <c:v>195.3927727486691</c:v>
                </c:pt>
                <c:pt idx="3">
                  <c:v>195.31894988015432</c:v>
                </c:pt>
                <c:pt idx="4">
                  <c:v>195.21522545355288</c:v>
                </c:pt>
                <c:pt idx="5">
                  <c:v>195.0812308482559</c:v>
                </c:pt>
                <c:pt idx="6">
                  <c:v>194.91649750046946</c:v>
                </c:pt>
                <c:pt idx="7">
                  <c:v>194.72046080381588</c:v>
                </c:pt>
                <c:pt idx="8">
                  <c:v>194.49246479866005</c:v>
                </c:pt>
                <c:pt idx="9">
                  <c:v>194.23176758038912</c:v>
                </c:pt>
                <c:pt idx="10">
                  <c:v>193.93754730431664</c:v>
                </c:pt>
                <c:pt idx="11">
                  <c:v>193.60890878473646</c:v>
                </c:pt>
                <c:pt idx="12">
                  <c:v>193.24489052422908</c:v>
                </c:pt>
                <c:pt idx="13">
                  <c:v>192.84447218861723</c:v>
                </c:pt>
                <c:pt idx="14">
                  <c:v>192.4065823552298</c:v>
                </c:pt>
                <c:pt idx="15">
                  <c:v>191.93010647165724</c:v>
                </c:pt>
                <c:pt idx="16">
                  <c:v>191.41389496989424</c:v>
                </c:pt>
                <c:pt idx="17">
                  <c:v>190.85677139565334</c:v>
                </c:pt>
                <c:pt idx="18">
                  <c:v>190.0194769232447</c:v>
                </c:pt>
                <c:pt idx="19">
                  <c:v>189.3428399693899</c:v>
                </c:pt>
                <c:pt idx="20">
                  <c:v>188.6213198679076</c:v>
                </c:pt>
                <c:pt idx="21">
                  <c:v>187.29392209923085</c:v>
                </c:pt>
                <c:pt idx="22">
                  <c:v>185.75623078619429</c:v>
                </c:pt>
                <c:pt idx="23">
                  <c:v>184.12899743120101</c:v>
                </c:pt>
                <c:pt idx="24">
                  <c:v>182.41344801492619</c:v>
                </c:pt>
                <c:pt idx="25">
                  <c:v>180.60559184858127</c:v>
                </c:pt>
                <c:pt idx="26">
                  <c:v>178.71983044517796</c:v>
                </c:pt>
                <c:pt idx="27">
                  <c:v>176.80339360760146</c:v>
                </c:pt>
                <c:pt idx="28">
                  <c:v>174.67568056389194</c:v>
                </c:pt>
                <c:pt idx="29">
                  <c:v>172.69747129451255</c:v>
                </c:pt>
                <c:pt idx="30">
                  <c:v>170.69546023617767</c:v>
                </c:pt>
                <c:pt idx="31">
                  <c:v>168.67055992299956</c:v>
                </c:pt>
                <c:pt idx="32">
                  <c:v>166.62359723724728</c:v>
                </c:pt>
                <c:pt idx="33">
                  <c:v>164.5553087629832</c:v>
                </c:pt>
                <c:pt idx="34">
                  <c:v>162.46633667759707</c:v>
                </c:pt>
                <c:pt idx="35">
                  <c:v>160.35722532316512</c:v>
                </c:pt>
                <c:pt idx="36">
                  <c:v>158.22841848177393</c:v>
                </c:pt>
                <c:pt idx="37">
                  <c:v>156.08025738626858</c:v>
                </c:pt>
                <c:pt idx="38">
                  <c:v>153.91297958718218</c:v>
                </c:pt>
                <c:pt idx="39">
                  <c:v>151.72671861934549</c:v>
                </c:pt>
                <c:pt idx="40">
                  <c:v>149.52150456607379</c:v>
                </c:pt>
                <c:pt idx="41">
                  <c:v>147.29726547100401</c:v>
                </c:pt>
                <c:pt idx="42">
                  <c:v>145.05382964318073</c:v>
                </c:pt>
                <c:pt idx="43">
                  <c:v>142.79092886327939</c:v>
                </c:pt>
                <c:pt idx="44">
                  <c:v>140.50820237618336</c:v>
                </c:pt>
                <c:pt idx="45">
                  <c:v>138.20520175454595</c:v>
                </c:pt>
                <c:pt idx="46">
                  <c:v>135.88139649661969</c:v>
                </c:pt>
                <c:pt idx="47">
                  <c:v>133.53618034757261</c:v>
                </c:pt>
                <c:pt idx="48">
                  <c:v>131.16887826209577</c:v>
                </c:pt>
                <c:pt idx="49">
                  <c:v>128.77875394713121</c:v>
                </c:pt>
                <c:pt idx="50">
                  <c:v>126.36501786396634</c:v>
                </c:pt>
                <c:pt idx="51">
                  <c:v>123.92683567608107</c:v>
                </c:pt>
                <c:pt idx="52">
                  <c:v>121.46333695311365</c:v>
                </c:pt>
                <c:pt idx="53">
                  <c:v>118.9736241113676</c:v>
                </c:pt>
                <c:pt idx="54">
                  <c:v>116.45678147411411</c:v>
                </c:pt>
                <c:pt idx="55">
                  <c:v>113.91188432797421</c:v>
                </c:pt>
                <c:pt idx="56">
                  <c:v>111.3380079220295</c:v>
                </c:pt>
                <c:pt idx="57">
                  <c:v>108.73423627747856</c:v>
                </c:pt>
                <c:pt idx="58">
                  <c:v>106.09967076057605</c:v>
                </c:pt>
                <c:pt idx="59">
                  <c:v>103.43343833362167</c:v>
                </c:pt>
                <c:pt idx="60">
                  <c:v>100.73469936375329</c:v>
                </c:pt>
                <c:pt idx="61">
                  <c:v>98.002655001056752</c:v>
                </c:pt>
                <c:pt idx="62">
                  <c:v>95.236554008527563</c:v>
                </c:pt>
                <c:pt idx="63">
                  <c:v>91.924727767610079</c:v>
                </c:pt>
                <c:pt idx="64">
                  <c:v>89.051381778661792</c:v>
                </c:pt>
                <c:pt idx="65">
                  <c:v>86.145236868634271</c:v>
                </c:pt>
                <c:pt idx="66">
                  <c:v>82.460156769361802</c:v>
                </c:pt>
                <c:pt idx="67">
                  <c:v>78.569983441941034</c:v>
                </c:pt>
                <c:pt idx="68">
                  <c:v>74.641494607170728</c:v>
                </c:pt>
                <c:pt idx="69">
                  <c:v>70.677650042715769</c:v>
                </c:pt>
                <c:pt idx="70">
                  <c:v>66.793557559107697</c:v>
                </c:pt>
                <c:pt idx="71">
                  <c:v>63.405168111198513</c:v>
                </c:pt>
                <c:pt idx="72">
                  <c:v>60.018280195389337</c:v>
                </c:pt>
                <c:pt idx="73">
                  <c:v>56.171945082255796</c:v>
                </c:pt>
                <c:pt idx="74">
                  <c:v>52.817211119975426</c:v>
                </c:pt>
                <c:pt idx="75">
                  <c:v>49.469728429860794</c:v>
                </c:pt>
                <c:pt idx="76">
                  <c:v>46.129611060939901</c:v>
                </c:pt>
                <c:pt idx="77">
                  <c:v>42.79687883568991</c:v>
                </c:pt>
                <c:pt idx="78">
                  <c:v>39.471458888873549</c:v>
                </c:pt>
                <c:pt idx="79">
                  <c:v>36.153187973798403</c:v>
                </c:pt>
                <c:pt idx="80">
                  <c:v>32.84181557221995</c:v>
                </c:pt>
                <c:pt idx="81">
                  <c:v>29.537007788660052</c:v>
                </c:pt>
                <c:pt idx="82">
                  <c:v>26.238352015683923</c:v>
                </c:pt>
                <c:pt idx="83">
                  <c:v>22.945362353630387</c:v>
                </c:pt>
                <c:pt idx="84">
                  <c:v>19.657485745373066</c:v>
                </c:pt>
                <c:pt idx="85">
                  <c:v>16.37410877551573</c:v>
                </c:pt>
                <c:pt idx="86">
                  <c:v>13.094565075688838</c:v>
                </c:pt>
                <c:pt idx="87">
                  <c:v>9.8181432780103393</c:v>
                </c:pt>
                <c:pt idx="88">
                  <c:v>6.5440954336322283</c:v>
                </c:pt>
                <c:pt idx="89">
                  <c:v>3.27164581267286</c:v>
                </c:pt>
                <c:pt idx="90">
                  <c:v>-7.2873466651160133E-13</c:v>
                </c:pt>
                <c:pt idx="91">
                  <c:v>-3.2716458126731562</c:v>
                </c:pt>
                <c:pt idx="92">
                  <c:v>-6.5440954336325809</c:v>
                </c:pt>
                <c:pt idx="93">
                  <c:v>-9.8181432780109645</c:v>
                </c:pt>
                <c:pt idx="94">
                  <c:v>-13.094565076012374</c:v>
                </c:pt>
                <c:pt idx="95">
                  <c:v>-16.374108775516458</c:v>
                </c:pt>
                <c:pt idx="96">
                  <c:v>-19.657485745373894</c:v>
                </c:pt>
                <c:pt idx="97">
                  <c:v>-22.945362353631086</c:v>
                </c:pt>
                <c:pt idx="98">
                  <c:v>-26.238352015685035</c:v>
                </c:pt>
                <c:pt idx="99">
                  <c:v>-29.537007789378727</c:v>
                </c:pt>
                <c:pt idx="100">
                  <c:v>-32.841815572220483</c:v>
                </c:pt>
                <c:pt idx="101">
                  <c:v>-36.153187974723053</c:v>
                </c:pt>
                <c:pt idx="102">
                  <c:v>-39.471458888874075</c:v>
                </c:pt>
                <c:pt idx="103">
                  <c:v>-42.796878835690478</c:v>
                </c:pt>
                <c:pt idx="104">
                  <c:v>-46.129611060940107</c:v>
                </c:pt>
                <c:pt idx="105">
                  <c:v>-49.469728429861618</c:v>
                </c:pt>
                <c:pt idx="106">
                  <c:v>-52.817211119974694</c:v>
                </c:pt>
                <c:pt idx="107">
                  <c:v>-56.171945078834064</c:v>
                </c:pt>
                <c:pt idx="108">
                  <c:v>-60.018280195390133</c:v>
                </c:pt>
                <c:pt idx="109">
                  <c:v>-63.40516811119894</c:v>
                </c:pt>
                <c:pt idx="110">
                  <c:v>-66.793557557357317</c:v>
                </c:pt>
                <c:pt idx="111">
                  <c:v>-70.677650042716735</c:v>
                </c:pt>
                <c:pt idx="112">
                  <c:v>-74.641494607172092</c:v>
                </c:pt>
                <c:pt idx="113">
                  <c:v>-78.569983441941929</c:v>
                </c:pt>
                <c:pt idx="114">
                  <c:v>-82.460156767857399</c:v>
                </c:pt>
                <c:pt idx="115">
                  <c:v>-86.145236868634129</c:v>
                </c:pt>
                <c:pt idx="116">
                  <c:v>-89.051381777774395</c:v>
                </c:pt>
                <c:pt idx="117">
                  <c:v>-91.924727768633616</c:v>
                </c:pt>
                <c:pt idx="118">
                  <c:v>-95.236554009985582</c:v>
                </c:pt>
                <c:pt idx="119">
                  <c:v>-98.002655001920246</c:v>
                </c:pt>
                <c:pt idx="120">
                  <c:v>-100.73469936375295</c:v>
                </c:pt>
                <c:pt idx="121">
                  <c:v>-103.43343833362222</c:v>
                </c:pt>
                <c:pt idx="122">
                  <c:v>-106.09967076057636</c:v>
                </c:pt>
                <c:pt idx="123">
                  <c:v>-108.73423627568602</c:v>
                </c:pt>
                <c:pt idx="124">
                  <c:v>-111.33800792202852</c:v>
                </c:pt>
                <c:pt idx="125">
                  <c:v>-113.91188432797459</c:v>
                </c:pt>
                <c:pt idx="126">
                  <c:v>-116.45678147411334</c:v>
                </c:pt>
                <c:pt idx="127">
                  <c:v>-118.97362411136859</c:v>
                </c:pt>
                <c:pt idx="128">
                  <c:v>-121.46333695311237</c:v>
                </c:pt>
                <c:pt idx="129">
                  <c:v>-123.92683567608248</c:v>
                </c:pt>
                <c:pt idx="130">
                  <c:v>-126.36501786396632</c:v>
                </c:pt>
                <c:pt idx="131">
                  <c:v>-128.77875394713178</c:v>
                </c:pt>
                <c:pt idx="132">
                  <c:v>-131.1688782637915</c:v>
                </c:pt>
                <c:pt idx="133">
                  <c:v>-133.5361803475723</c:v>
                </c:pt>
                <c:pt idx="134">
                  <c:v>-135.88139649661869</c:v>
                </c:pt>
                <c:pt idx="135">
                  <c:v>-138.20520175454635</c:v>
                </c:pt>
                <c:pt idx="136">
                  <c:v>-140.5082023761826</c:v>
                </c:pt>
                <c:pt idx="137">
                  <c:v>-142.79092886327896</c:v>
                </c:pt>
                <c:pt idx="138">
                  <c:v>-145.05382964318048</c:v>
                </c:pt>
                <c:pt idx="139">
                  <c:v>-147.29726546877933</c:v>
                </c:pt>
                <c:pt idx="140">
                  <c:v>-149.52150456607376</c:v>
                </c:pt>
                <c:pt idx="141">
                  <c:v>-151.7267186193443</c:v>
                </c:pt>
                <c:pt idx="142">
                  <c:v>-153.91297958718221</c:v>
                </c:pt>
                <c:pt idx="143">
                  <c:v>-156.08025738626694</c:v>
                </c:pt>
                <c:pt idx="144">
                  <c:v>-158.22841847931747</c:v>
                </c:pt>
                <c:pt idx="145">
                  <c:v>-160.3572253231653</c:v>
                </c:pt>
                <c:pt idx="146">
                  <c:v>-162.46633667759792</c:v>
                </c:pt>
                <c:pt idx="147">
                  <c:v>-164.5553087629838</c:v>
                </c:pt>
                <c:pt idx="148">
                  <c:v>-166.62359723724521</c:v>
                </c:pt>
                <c:pt idx="149">
                  <c:v>-168.67055992300013</c:v>
                </c:pt>
                <c:pt idx="150">
                  <c:v>-170.69546023617565</c:v>
                </c:pt>
                <c:pt idx="151">
                  <c:v>-172.69747129202844</c:v>
                </c:pt>
                <c:pt idx="152">
                  <c:v>-174.67568056848685</c:v>
                </c:pt>
                <c:pt idx="153">
                  <c:v>-176.80339361126039</c:v>
                </c:pt>
                <c:pt idx="154">
                  <c:v>-178.7198304451764</c:v>
                </c:pt>
                <c:pt idx="155">
                  <c:v>-180.60559184539508</c:v>
                </c:pt>
                <c:pt idx="156">
                  <c:v>-182.41344801492633</c:v>
                </c:pt>
                <c:pt idx="157">
                  <c:v>-184.12899743120053</c:v>
                </c:pt>
                <c:pt idx="158">
                  <c:v>-185.7562307861937</c:v>
                </c:pt>
                <c:pt idx="159">
                  <c:v>-187.29392209923057</c:v>
                </c:pt>
                <c:pt idx="160">
                  <c:v>-188.62131986790578</c:v>
                </c:pt>
                <c:pt idx="161">
                  <c:v>-189.34283996939209</c:v>
                </c:pt>
                <c:pt idx="162">
                  <c:v>-190.01947691993354</c:v>
                </c:pt>
                <c:pt idx="163">
                  <c:v>-190.85677139565337</c:v>
                </c:pt>
                <c:pt idx="164">
                  <c:v>-191.41389497226311</c:v>
                </c:pt>
                <c:pt idx="165">
                  <c:v>-191.93010647165849</c:v>
                </c:pt>
                <c:pt idx="166">
                  <c:v>-192.40658235522901</c:v>
                </c:pt>
                <c:pt idx="167">
                  <c:v>-192.84447218861769</c:v>
                </c:pt>
                <c:pt idx="168">
                  <c:v>-193.24489052422916</c:v>
                </c:pt>
                <c:pt idx="169">
                  <c:v>-193.60890878473413</c:v>
                </c:pt>
                <c:pt idx="170">
                  <c:v>-193.93754730431897</c:v>
                </c:pt>
                <c:pt idx="171">
                  <c:v>-194.23176758038886</c:v>
                </c:pt>
                <c:pt idx="172">
                  <c:v>-194.49246479865971</c:v>
                </c:pt>
                <c:pt idx="173">
                  <c:v>-194.72046080381747</c:v>
                </c:pt>
                <c:pt idx="174">
                  <c:v>-194.91649750047</c:v>
                </c:pt>
                <c:pt idx="175">
                  <c:v>-195.08123084825701</c:v>
                </c:pt>
                <c:pt idx="176">
                  <c:v>-195.21522545072975</c:v>
                </c:pt>
                <c:pt idx="177">
                  <c:v>-195.31894988015517</c:v>
                </c:pt>
                <c:pt idx="178">
                  <c:v>-195.39277274866828</c:v>
                </c:pt>
                <c:pt idx="179">
                  <c:v>-195.43695961238922</c:v>
                </c:pt>
                <c:pt idx="180">
                  <c:v>-195.45167071178926</c:v>
                </c:pt>
                <c:pt idx="181">
                  <c:v>-195.43695961238973</c:v>
                </c:pt>
                <c:pt idx="182">
                  <c:v>-195.39277274866839</c:v>
                </c:pt>
                <c:pt idx="183">
                  <c:v>-195.31894988015677</c:v>
                </c:pt>
                <c:pt idx="184">
                  <c:v>-195.21522545072952</c:v>
                </c:pt>
                <c:pt idx="185">
                  <c:v>-195.08123084825655</c:v>
                </c:pt>
                <c:pt idx="186">
                  <c:v>-194.9164975004706</c:v>
                </c:pt>
                <c:pt idx="187">
                  <c:v>-194.72046080381699</c:v>
                </c:pt>
                <c:pt idx="188">
                  <c:v>-194.49246479866011</c:v>
                </c:pt>
                <c:pt idx="189">
                  <c:v>-194.23176758038844</c:v>
                </c:pt>
                <c:pt idx="190">
                  <c:v>-193.93754730431795</c:v>
                </c:pt>
                <c:pt idx="191">
                  <c:v>-193.60890878473472</c:v>
                </c:pt>
                <c:pt idx="192">
                  <c:v>-193.24489052422911</c:v>
                </c:pt>
                <c:pt idx="193">
                  <c:v>-192.84447218861791</c:v>
                </c:pt>
                <c:pt idx="194">
                  <c:v>-192.40658235523154</c:v>
                </c:pt>
                <c:pt idx="195">
                  <c:v>-191.93010647165804</c:v>
                </c:pt>
                <c:pt idx="196">
                  <c:v>-191.41389497226251</c:v>
                </c:pt>
                <c:pt idx="197">
                  <c:v>-190.85677139137093</c:v>
                </c:pt>
                <c:pt idx="198">
                  <c:v>-190.01947691993394</c:v>
                </c:pt>
                <c:pt idx="199">
                  <c:v>-189.34283997252228</c:v>
                </c:pt>
                <c:pt idx="200">
                  <c:v>-188.62131987357665</c:v>
                </c:pt>
                <c:pt idx="201">
                  <c:v>-187.29392209923284</c:v>
                </c:pt>
                <c:pt idx="202">
                  <c:v>-185.75623078619563</c:v>
                </c:pt>
                <c:pt idx="203">
                  <c:v>-184.12899743120525</c:v>
                </c:pt>
                <c:pt idx="204">
                  <c:v>-182.41344801492818</c:v>
                </c:pt>
                <c:pt idx="205">
                  <c:v>-180.6055918453967</c:v>
                </c:pt>
                <c:pt idx="206">
                  <c:v>-178.71983044517947</c:v>
                </c:pt>
                <c:pt idx="207">
                  <c:v>-176.80339361126275</c:v>
                </c:pt>
                <c:pt idx="208">
                  <c:v>-174.67568056849072</c:v>
                </c:pt>
                <c:pt idx="209">
                  <c:v>-172.69747129451497</c:v>
                </c:pt>
                <c:pt idx="210">
                  <c:v>-170.69546023617823</c:v>
                </c:pt>
                <c:pt idx="211">
                  <c:v>-168.67055992300172</c:v>
                </c:pt>
                <c:pt idx="212">
                  <c:v>-166.62359723724944</c:v>
                </c:pt>
                <c:pt idx="213">
                  <c:v>-164.55530876298442</c:v>
                </c:pt>
                <c:pt idx="214">
                  <c:v>-162.46633667759943</c:v>
                </c:pt>
                <c:pt idx="215">
                  <c:v>-160.35722532316765</c:v>
                </c:pt>
                <c:pt idx="216">
                  <c:v>-158.22841847931963</c:v>
                </c:pt>
                <c:pt idx="217">
                  <c:v>-156.08025738627128</c:v>
                </c:pt>
                <c:pt idx="218">
                  <c:v>-153.91297958718621</c:v>
                </c:pt>
                <c:pt idx="219">
                  <c:v>-151.72671861934666</c:v>
                </c:pt>
                <c:pt idx="220">
                  <c:v>-149.5215045660768</c:v>
                </c:pt>
                <c:pt idx="221">
                  <c:v>-147.29726546878049</c:v>
                </c:pt>
                <c:pt idx="222">
                  <c:v>-145.0538296431848</c:v>
                </c:pt>
                <c:pt idx="223">
                  <c:v>-142.79092886328138</c:v>
                </c:pt>
                <c:pt idx="224">
                  <c:v>-140.5082023761849</c:v>
                </c:pt>
                <c:pt idx="225">
                  <c:v>-138.2052017545486</c:v>
                </c:pt>
                <c:pt idx="226">
                  <c:v>-135.88139649662233</c:v>
                </c:pt>
                <c:pt idx="227">
                  <c:v>-133.53618034757582</c:v>
                </c:pt>
                <c:pt idx="228">
                  <c:v>-131.16887826549137</c:v>
                </c:pt>
                <c:pt idx="229">
                  <c:v>-128.77875394536545</c:v>
                </c:pt>
                <c:pt idx="230">
                  <c:v>-126.36501786396872</c:v>
                </c:pt>
                <c:pt idx="231">
                  <c:v>-123.92683567608532</c:v>
                </c:pt>
                <c:pt idx="232">
                  <c:v>-121.46333695311699</c:v>
                </c:pt>
                <c:pt idx="233">
                  <c:v>-118.97362411137138</c:v>
                </c:pt>
                <c:pt idx="234">
                  <c:v>-116.45678147411675</c:v>
                </c:pt>
                <c:pt idx="235">
                  <c:v>-113.91188432797915</c:v>
                </c:pt>
                <c:pt idx="236">
                  <c:v>-111.33800792203154</c:v>
                </c:pt>
                <c:pt idx="237">
                  <c:v>-108.73423627568899</c:v>
                </c:pt>
                <c:pt idx="238">
                  <c:v>-106.09967076057907</c:v>
                </c:pt>
                <c:pt idx="239">
                  <c:v>-103.43343833362599</c:v>
                </c:pt>
                <c:pt idx="240">
                  <c:v>-100.73469936375672</c:v>
                </c:pt>
                <c:pt idx="241">
                  <c:v>-98.002655001060006</c:v>
                </c:pt>
                <c:pt idx="242">
                  <c:v>-95.236554010775649</c:v>
                </c:pt>
                <c:pt idx="243">
                  <c:v>-91.924727767613348</c:v>
                </c:pt>
                <c:pt idx="244">
                  <c:v>-89.051381778666624</c:v>
                </c:pt>
                <c:pt idx="245">
                  <c:v>-86.14523686788867</c:v>
                </c:pt>
                <c:pt idx="246">
                  <c:v>-82.460156767862486</c:v>
                </c:pt>
                <c:pt idx="247">
                  <c:v>-78.569983443371811</c:v>
                </c:pt>
                <c:pt idx="248">
                  <c:v>-74.641494607176796</c:v>
                </c:pt>
                <c:pt idx="249">
                  <c:v>-70.677650044000742</c:v>
                </c:pt>
                <c:pt idx="250">
                  <c:v>-66.793557555507789</c:v>
                </c:pt>
                <c:pt idx="251">
                  <c:v>-63.405168113080016</c:v>
                </c:pt>
                <c:pt idx="252">
                  <c:v>-60.018280195393508</c:v>
                </c:pt>
                <c:pt idx="253">
                  <c:v>-56.171945081059896</c:v>
                </c:pt>
                <c:pt idx="254">
                  <c:v>-52.817211119980563</c:v>
                </c:pt>
                <c:pt idx="255">
                  <c:v>-49.469728429865874</c:v>
                </c:pt>
                <c:pt idx="256">
                  <c:v>-46.129611060944889</c:v>
                </c:pt>
                <c:pt idx="257">
                  <c:v>-42.796878835695239</c:v>
                </c:pt>
                <c:pt idx="258">
                  <c:v>-39.471458888879326</c:v>
                </c:pt>
                <c:pt idx="259">
                  <c:v>-36.153187973802488</c:v>
                </c:pt>
                <c:pt idx="260">
                  <c:v>-32.841815572225933</c:v>
                </c:pt>
                <c:pt idx="261">
                  <c:v>-29.537007788665921</c:v>
                </c:pt>
                <c:pt idx="262">
                  <c:v>-26.238352016755766</c:v>
                </c:pt>
                <c:pt idx="263">
                  <c:v>-22.945362353636195</c:v>
                </c:pt>
                <c:pt idx="264">
                  <c:v>-19.6574857453787</c:v>
                </c:pt>
                <c:pt idx="265">
                  <c:v>-16.374108775521201</c:v>
                </c:pt>
                <c:pt idx="266">
                  <c:v>-13.094565075694769</c:v>
                </c:pt>
                <c:pt idx="267">
                  <c:v>-9.8181432782396421</c:v>
                </c:pt>
                <c:pt idx="268">
                  <c:v>-6.5440954336374917</c:v>
                </c:pt>
                <c:pt idx="269">
                  <c:v>-3.2716458126790231</c:v>
                </c:pt>
                <c:pt idx="270">
                  <c:v>-5.3661024136466574E-12</c:v>
                </c:pt>
                <c:pt idx="271">
                  <c:v>3.2716458126680039</c:v>
                </c:pt>
                <c:pt idx="272">
                  <c:v>6.5440954336266302</c:v>
                </c:pt>
                <c:pt idx="273">
                  <c:v>9.8181432784538547</c:v>
                </c:pt>
                <c:pt idx="274">
                  <c:v>13.094565075683336</c:v>
                </c:pt>
                <c:pt idx="275">
                  <c:v>16.374108775510777</c:v>
                </c:pt>
                <c:pt idx="276">
                  <c:v>19.657485745368163</c:v>
                </c:pt>
                <c:pt idx="277">
                  <c:v>22.945362353625121</c:v>
                </c:pt>
                <c:pt idx="278">
                  <c:v>26.238352015679013</c:v>
                </c:pt>
                <c:pt idx="279">
                  <c:v>29.537007788655032</c:v>
                </c:pt>
                <c:pt idx="280">
                  <c:v>32.841815572214578</c:v>
                </c:pt>
                <c:pt idx="281">
                  <c:v>36.153187973792519</c:v>
                </c:pt>
                <c:pt idx="282">
                  <c:v>39.471458888868433</c:v>
                </c:pt>
                <c:pt idx="283">
                  <c:v>42.79687883568424</c:v>
                </c:pt>
                <c:pt idx="284">
                  <c:v>46.129611060933563</c:v>
                </c:pt>
                <c:pt idx="285">
                  <c:v>49.469728429855223</c:v>
                </c:pt>
                <c:pt idx="286">
                  <c:v>52.81721111996908</c:v>
                </c:pt>
                <c:pt idx="287">
                  <c:v>56.171945078827022</c:v>
                </c:pt>
                <c:pt idx="288">
                  <c:v>60.018280195383326</c:v>
                </c:pt>
                <c:pt idx="289">
                  <c:v>63.405168113069479</c:v>
                </c:pt>
                <c:pt idx="290">
                  <c:v>66.793557557349573</c:v>
                </c:pt>
                <c:pt idx="291">
                  <c:v>70.677650042708834</c:v>
                </c:pt>
                <c:pt idx="292">
                  <c:v>74.64149460716358</c:v>
                </c:pt>
                <c:pt idx="293">
                  <c:v>78.569983443359419</c:v>
                </c:pt>
                <c:pt idx="294">
                  <c:v>82.460156767849909</c:v>
                </c:pt>
                <c:pt idx="295">
                  <c:v>86.145236868628814</c:v>
                </c:pt>
                <c:pt idx="296">
                  <c:v>89.051381778656491</c:v>
                </c:pt>
                <c:pt idx="297">
                  <c:v>91.924727768626397</c:v>
                </c:pt>
                <c:pt idx="298">
                  <c:v>95.23655400852256</c:v>
                </c:pt>
                <c:pt idx="299">
                  <c:v>98.00265500105175</c:v>
                </c:pt>
                <c:pt idx="300">
                  <c:v>100.73469936374894</c:v>
                </c:pt>
                <c:pt idx="301">
                  <c:v>103.43343833361691</c:v>
                </c:pt>
                <c:pt idx="302">
                  <c:v>106.09967076057146</c:v>
                </c:pt>
                <c:pt idx="303">
                  <c:v>108.73423627568081</c:v>
                </c:pt>
                <c:pt idx="304">
                  <c:v>111.33800792202366</c:v>
                </c:pt>
                <c:pt idx="305">
                  <c:v>113.91188432796977</c:v>
                </c:pt>
                <c:pt idx="306">
                  <c:v>116.45678147266918</c:v>
                </c:pt>
                <c:pt idx="307">
                  <c:v>118.97362411136177</c:v>
                </c:pt>
                <c:pt idx="308">
                  <c:v>121.46333695310743</c:v>
                </c:pt>
                <c:pt idx="309">
                  <c:v>123.92683567607621</c:v>
                </c:pt>
                <c:pt idx="310">
                  <c:v>126.36501786396197</c:v>
                </c:pt>
                <c:pt idx="311">
                  <c:v>128.77875394535724</c:v>
                </c:pt>
                <c:pt idx="312">
                  <c:v>131.16887826378647</c:v>
                </c:pt>
                <c:pt idx="313">
                  <c:v>133.53618034756687</c:v>
                </c:pt>
                <c:pt idx="314">
                  <c:v>135.88139649661451</c:v>
                </c:pt>
                <c:pt idx="315">
                  <c:v>138.20520175454163</c:v>
                </c:pt>
                <c:pt idx="316">
                  <c:v>140.50820237617924</c:v>
                </c:pt>
                <c:pt idx="317">
                  <c:v>142.79092886327362</c:v>
                </c:pt>
                <c:pt idx="318">
                  <c:v>145.0538296451881</c:v>
                </c:pt>
                <c:pt idx="319">
                  <c:v>147.29726547099943</c:v>
                </c:pt>
                <c:pt idx="320">
                  <c:v>149.52150456606924</c:v>
                </c:pt>
                <c:pt idx="321">
                  <c:v>151.72671861933941</c:v>
                </c:pt>
                <c:pt idx="322">
                  <c:v>153.9129795871778</c:v>
                </c:pt>
                <c:pt idx="323">
                  <c:v>156.08025738626367</c:v>
                </c:pt>
                <c:pt idx="324">
                  <c:v>158.22841848176787</c:v>
                </c:pt>
                <c:pt idx="325">
                  <c:v>160.35722532316075</c:v>
                </c:pt>
                <c:pt idx="326">
                  <c:v>162.46633667759178</c:v>
                </c:pt>
                <c:pt idx="327">
                  <c:v>164.5553087667316</c:v>
                </c:pt>
                <c:pt idx="328">
                  <c:v>166.62359723724083</c:v>
                </c:pt>
                <c:pt idx="329">
                  <c:v>168.67055992299419</c:v>
                </c:pt>
                <c:pt idx="330">
                  <c:v>170.6954602361715</c:v>
                </c:pt>
                <c:pt idx="331">
                  <c:v>172.69747129202386</c:v>
                </c:pt>
                <c:pt idx="332">
                  <c:v>174.67568056848441</c:v>
                </c:pt>
                <c:pt idx="333">
                  <c:v>176.80339360759785</c:v>
                </c:pt>
                <c:pt idx="334">
                  <c:v>178.71983044517287</c:v>
                </c:pt>
                <c:pt idx="335">
                  <c:v>180.6055918485776</c:v>
                </c:pt>
                <c:pt idx="336">
                  <c:v>182.4134480149221</c:v>
                </c:pt>
                <c:pt idx="337">
                  <c:v>184.12899743119735</c:v>
                </c:pt>
                <c:pt idx="338">
                  <c:v>185.7562307895551</c:v>
                </c:pt>
                <c:pt idx="339">
                  <c:v>187.29392209922779</c:v>
                </c:pt>
                <c:pt idx="340">
                  <c:v>188.62131987081929</c:v>
                </c:pt>
                <c:pt idx="341">
                  <c:v>189.3428399725222</c:v>
                </c:pt>
                <c:pt idx="342">
                  <c:v>190.01947692324376</c:v>
                </c:pt>
                <c:pt idx="343">
                  <c:v>190.85677139565138</c:v>
                </c:pt>
                <c:pt idx="344">
                  <c:v>191.41389497226101</c:v>
                </c:pt>
                <c:pt idx="345">
                  <c:v>191.93010647165724</c:v>
                </c:pt>
                <c:pt idx="346">
                  <c:v>192.40658235522835</c:v>
                </c:pt>
                <c:pt idx="347">
                  <c:v>192.8444721886157</c:v>
                </c:pt>
                <c:pt idx="348">
                  <c:v>193.24489052422808</c:v>
                </c:pt>
                <c:pt idx="349">
                  <c:v>193.60890878473569</c:v>
                </c:pt>
                <c:pt idx="350">
                  <c:v>193.93754730431846</c:v>
                </c:pt>
                <c:pt idx="351">
                  <c:v>194.23176757763608</c:v>
                </c:pt>
                <c:pt idx="352">
                  <c:v>194.49246480327983</c:v>
                </c:pt>
                <c:pt idx="353">
                  <c:v>194.72046080381557</c:v>
                </c:pt>
                <c:pt idx="354">
                  <c:v>194.91649750047051</c:v>
                </c:pt>
                <c:pt idx="355">
                  <c:v>195.08123084825618</c:v>
                </c:pt>
                <c:pt idx="356">
                  <c:v>195.21522545072943</c:v>
                </c:pt>
                <c:pt idx="357">
                  <c:v>195.31894987753296</c:v>
                </c:pt>
                <c:pt idx="358">
                  <c:v>195.39277274866814</c:v>
                </c:pt>
                <c:pt idx="359">
                  <c:v>195.43695961724902</c:v>
                </c:pt>
                <c:pt idx="360">
                  <c:v>195.45167071178759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1.0658141036401503E-14</c:v>
                </c:pt>
                <c:pt idx="1">
                  <c:v>3.2716458126728445</c:v>
                </c:pt>
                <c:pt idx="2">
                  <c:v>6.5440954336322728</c:v>
                </c:pt>
                <c:pt idx="3">
                  <c:v>9.8181432782346487</c:v>
                </c:pt>
                <c:pt idx="4">
                  <c:v>13.094565076012051</c:v>
                </c:pt>
                <c:pt idx="5">
                  <c:v>16.374108775516142</c:v>
                </c:pt>
                <c:pt idx="6">
                  <c:v>19.657485745373545</c:v>
                </c:pt>
                <c:pt idx="7">
                  <c:v>22.945362353631015</c:v>
                </c:pt>
                <c:pt idx="8">
                  <c:v>26.238352015685106</c:v>
                </c:pt>
                <c:pt idx="9">
                  <c:v>29.537007789378503</c:v>
                </c:pt>
                <c:pt idx="10">
                  <c:v>32.841815572220128</c:v>
                </c:pt>
                <c:pt idx="11">
                  <c:v>36.153187973799128</c:v>
                </c:pt>
                <c:pt idx="12">
                  <c:v>39.471458888875098</c:v>
                </c:pt>
                <c:pt idx="13">
                  <c:v>42.796878835689888</c:v>
                </c:pt>
                <c:pt idx="14">
                  <c:v>46.129611060939574</c:v>
                </c:pt>
                <c:pt idx="15">
                  <c:v>49.469728429860986</c:v>
                </c:pt>
                <c:pt idx="16">
                  <c:v>52.817211118828801</c:v>
                </c:pt>
                <c:pt idx="17">
                  <c:v>56.17194508105473</c:v>
                </c:pt>
                <c:pt idx="18">
                  <c:v>60.01828019538889</c:v>
                </c:pt>
                <c:pt idx="19">
                  <c:v>63.405168111198513</c:v>
                </c:pt>
                <c:pt idx="20">
                  <c:v>66.793557555502488</c:v>
                </c:pt>
                <c:pt idx="21">
                  <c:v>70.677650042716039</c:v>
                </c:pt>
                <c:pt idx="22">
                  <c:v>74.641494607171524</c:v>
                </c:pt>
                <c:pt idx="23">
                  <c:v>78.569983441941602</c:v>
                </c:pt>
                <c:pt idx="24">
                  <c:v>82.460156767857242</c:v>
                </c:pt>
                <c:pt idx="25">
                  <c:v>86.145236869342511</c:v>
                </c:pt>
                <c:pt idx="26">
                  <c:v>89.051381777774111</c:v>
                </c:pt>
                <c:pt idx="27">
                  <c:v>91.924727767609397</c:v>
                </c:pt>
                <c:pt idx="28">
                  <c:v>95.236554008528017</c:v>
                </c:pt>
                <c:pt idx="29">
                  <c:v>98.002655001920346</c:v>
                </c:pt>
                <c:pt idx="30">
                  <c:v>100.73469936375398</c:v>
                </c:pt>
                <c:pt idx="31">
                  <c:v>103.43343833362216</c:v>
                </c:pt>
                <c:pt idx="32">
                  <c:v>106.0996707605763</c:v>
                </c:pt>
                <c:pt idx="33">
                  <c:v>108.73423627568431</c:v>
                </c:pt>
                <c:pt idx="34">
                  <c:v>111.33800792202852</c:v>
                </c:pt>
                <c:pt idx="35">
                  <c:v>113.91188432797547</c:v>
                </c:pt>
                <c:pt idx="36">
                  <c:v>116.45678147411468</c:v>
                </c:pt>
                <c:pt idx="37">
                  <c:v>118.97362411136868</c:v>
                </c:pt>
                <c:pt idx="38">
                  <c:v>121.46333695311306</c:v>
                </c:pt>
                <c:pt idx="39">
                  <c:v>123.92683567608266</c:v>
                </c:pt>
                <c:pt idx="40">
                  <c:v>126.36501786396688</c:v>
                </c:pt>
                <c:pt idx="41">
                  <c:v>128.77875394713203</c:v>
                </c:pt>
                <c:pt idx="42">
                  <c:v>131.16887826209603</c:v>
                </c:pt>
                <c:pt idx="43">
                  <c:v>133.53618034757255</c:v>
                </c:pt>
                <c:pt idx="44">
                  <c:v>135.88139649661926</c:v>
                </c:pt>
                <c:pt idx="45">
                  <c:v>138.20520175454672</c:v>
                </c:pt>
                <c:pt idx="46">
                  <c:v>140.50820237618296</c:v>
                </c:pt>
                <c:pt idx="47">
                  <c:v>142.79092886327936</c:v>
                </c:pt>
                <c:pt idx="48">
                  <c:v>145.05382964318085</c:v>
                </c:pt>
                <c:pt idx="49">
                  <c:v>147.29726547100472</c:v>
                </c:pt>
                <c:pt idx="50">
                  <c:v>149.52150456607379</c:v>
                </c:pt>
                <c:pt idx="51">
                  <c:v>151.7267186193443</c:v>
                </c:pt>
                <c:pt idx="52">
                  <c:v>153.91297958718243</c:v>
                </c:pt>
                <c:pt idx="53">
                  <c:v>156.08025738626915</c:v>
                </c:pt>
                <c:pt idx="54">
                  <c:v>158.2284184817733</c:v>
                </c:pt>
                <c:pt idx="55">
                  <c:v>160.35722532316407</c:v>
                </c:pt>
                <c:pt idx="56">
                  <c:v>162.46633667759886</c:v>
                </c:pt>
                <c:pt idx="57">
                  <c:v>164.55530876673569</c:v>
                </c:pt>
                <c:pt idx="58">
                  <c:v>166.6235972372474</c:v>
                </c:pt>
                <c:pt idx="59">
                  <c:v>168.67055992299888</c:v>
                </c:pt>
                <c:pt idx="60">
                  <c:v>170.69546023617715</c:v>
                </c:pt>
                <c:pt idx="61">
                  <c:v>172.69747129202884</c:v>
                </c:pt>
                <c:pt idx="62">
                  <c:v>174.67568056389106</c:v>
                </c:pt>
                <c:pt idx="63">
                  <c:v>176.803393607602</c:v>
                </c:pt>
                <c:pt idx="64">
                  <c:v>178.71983044871851</c:v>
                </c:pt>
                <c:pt idx="65">
                  <c:v>180.60559184539736</c:v>
                </c:pt>
                <c:pt idx="66">
                  <c:v>182.41344801823976</c:v>
                </c:pt>
                <c:pt idx="67">
                  <c:v>184.12899743120124</c:v>
                </c:pt>
                <c:pt idx="68">
                  <c:v>185.75623078619438</c:v>
                </c:pt>
                <c:pt idx="69">
                  <c:v>187.29392209923182</c:v>
                </c:pt>
                <c:pt idx="70">
                  <c:v>188.62131987357509</c:v>
                </c:pt>
                <c:pt idx="71">
                  <c:v>189.34283996939095</c:v>
                </c:pt>
                <c:pt idx="72">
                  <c:v>190.01947692324535</c:v>
                </c:pt>
                <c:pt idx="73">
                  <c:v>190.85677139796871</c:v>
                </c:pt>
                <c:pt idx="74">
                  <c:v>191.4138949722628</c:v>
                </c:pt>
                <c:pt idx="75">
                  <c:v>191.9301064716567</c:v>
                </c:pt>
                <c:pt idx="76">
                  <c:v>192.40658235522977</c:v>
                </c:pt>
                <c:pt idx="77">
                  <c:v>192.84447218861726</c:v>
                </c:pt>
                <c:pt idx="78">
                  <c:v>193.24489052422729</c:v>
                </c:pt>
                <c:pt idx="79">
                  <c:v>193.60890878473711</c:v>
                </c:pt>
                <c:pt idx="80">
                  <c:v>193.93754730431829</c:v>
                </c:pt>
                <c:pt idx="81">
                  <c:v>194.23176757763628</c:v>
                </c:pt>
                <c:pt idx="82">
                  <c:v>194.49246479866039</c:v>
                </c:pt>
                <c:pt idx="83">
                  <c:v>194.72046080381566</c:v>
                </c:pt>
                <c:pt idx="84">
                  <c:v>194.91649750047031</c:v>
                </c:pt>
                <c:pt idx="85">
                  <c:v>195.08123084825635</c:v>
                </c:pt>
                <c:pt idx="86">
                  <c:v>195.21522545072864</c:v>
                </c:pt>
                <c:pt idx="87">
                  <c:v>195.31894987753213</c:v>
                </c:pt>
                <c:pt idx="88">
                  <c:v>195.3927727486691</c:v>
                </c:pt>
                <c:pt idx="89">
                  <c:v>195.43695961239038</c:v>
                </c:pt>
                <c:pt idx="90">
                  <c:v>195.45167071178926</c:v>
                </c:pt>
                <c:pt idx="91">
                  <c:v>195.43695961238814</c:v>
                </c:pt>
                <c:pt idx="92">
                  <c:v>195.39277274866916</c:v>
                </c:pt>
                <c:pt idx="93">
                  <c:v>195.31894987753211</c:v>
                </c:pt>
                <c:pt idx="94">
                  <c:v>195.21522545355282</c:v>
                </c:pt>
                <c:pt idx="95">
                  <c:v>195.08123084825587</c:v>
                </c:pt>
                <c:pt idx="96">
                  <c:v>194.91649750046946</c:v>
                </c:pt>
                <c:pt idx="97">
                  <c:v>194.72046080381733</c:v>
                </c:pt>
                <c:pt idx="98">
                  <c:v>194.49246479865985</c:v>
                </c:pt>
                <c:pt idx="99">
                  <c:v>194.23176758038912</c:v>
                </c:pt>
                <c:pt idx="100">
                  <c:v>193.9375473043186</c:v>
                </c:pt>
                <c:pt idx="101">
                  <c:v>193.60890878760847</c:v>
                </c:pt>
                <c:pt idx="102">
                  <c:v>193.24489052422808</c:v>
                </c:pt>
                <c:pt idx="103">
                  <c:v>192.84447218861757</c:v>
                </c:pt>
                <c:pt idx="104">
                  <c:v>192.40658235522886</c:v>
                </c:pt>
                <c:pt idx="105">
                  <c:v>191.93010647165826</c:v>
                </c:pt>
                <c:pt idx="106">
                  <c:v>191.4138949722614</c:v>
                </c:pt>
                <c:pt idx="107">
                  <c:v>190.8567713913713</c:v>
                </c:pt>
                <c:pt idx="108">
                  <c:v>190.01947692324651</c:v>
                </c:pt>
                <c:pt idx="109">
                  <c:v>189.3428399693899</c:v>
                </c:pt>
                <c:pt idx="110">
                  <c:v>188.62131987082225</c:v>
                </c:pt>
                <c:pt idx="111">
                  <c:v>187.2939220992308</c:v>
                </c:pt>
                <c:pt idx="112">
                  <c:v>185.75623078619549</c:v>
                </c:pt>
                <c:pt idx="113">
                  <c:v>184.1289974312005</c:v>
                </c:pt>
                <c:pt idx="114">
                  <c:v>182.41344801492497</c:v>
                </c:pt>
                <c:pt idx="115">
                  <c:v>180.60559184539477</c:v>
                </c:pt>
                <c:pt idx="116">
                  <c:v>178.71983044517782</c:v>
                </c:pt>
                <c:pt idx="117">
                  <c:v>176.8033936112611</c:v>
                </c:pt>
                <c:pt idx="118">
                  <c:v>174.67568056848953</c:v>
                </c:pt>
                <c:pt idx="119">
                  <c:v>172.69747129451332</c:v>
                </c:pt>
                <c:pt idx="120">
                  <c:v>170.69546023617599</c:v>
                </c:pt>
                <c:pt idx="121">
                  <c:v>168.67055992299944</c:v>
                </c:pt>
                <c:pt idx="122">
                  <c:v>166.62359723724728</c:v>
                </c:pt>
                <c:pt idx="123">
                  <c:v>164.55530876298437</c:v>
                </c:pt>
                <c:pt idx="124">
                  <c:v>162.4663366775971</c:v>
                </c:pt>
                <c:pt idx="125">
                  <c:v>160.35722532316382</c:v>
                </c:pt>
                <c:pt idx="126">
                  <c:v>158.2284184817718</c:v>
                </c:pt>
                <c:pt idx="127">
                  <c:v>156.08025738626847</c:v>
                </c:pt>
                <c:pt idx="128">
                  <c:v>153.91297958718343</c:v>
                </c:pt>
                <c:pt idx="129">
                  <c:v>151.72671861934563</c:v>
                </c:pt>
                <c:pt idx="130">
                  <c:v>149.52150456607376</c:v>
                </c:pt>
                <c:pt idx="131">
                  <c:v>147.29726547100418</c:v>
                </c:pt>
                <c:pt idx="132">
                  <c:v>145.05382964519353</c:v>
                </c:pt>
                <c:pt idx="133">
                  <c:v>142.79092886327965</c:v>
                </c:pt>
                <c:pt idx="134">
                  <c:v>140.50820237618342</c:v>
                </c:pt>
                <c:pt idx="135">
                  <c:v>138.20520175454624</c:v>
                </c:pt>
                <c:pt idx="136">
                  <c:v>135.88139649662006</c:v>
                </c:pt>
                <c:pt idx="137">
                  <c:v>133.53618034757301</c:v>
                </c:pt>
                <c:pt idx="138">
                  <c:v>131.16887826209626</c:v>
                </c:pt>
                <c:pt idx="139">
                  <c:v>128.77875394536258</c:v>
                </c:pt>
                <c:pt idx="140">
                  <c:v>126.36501786396704</c:v>
                </c:pt>
                <c:pt idx="141">
                  <c:v>123.92683567608232</c:v>
                </c:pt>
                <c:pt idx="142">
                  <c:v>121.46333695311303</c:v>
                </c:pt>
                <c:pt idx="143">
                  <c:v>118.97362411136834</c:v>
                </c:pt>
                <c:pt idx="144">
                  <c:v>116.45678147267529</c:v>
                </c:pt>
                <c:pt idx="145">
                  <c:v>113.91188432797622</c:v>
                </c:pt>
                <c:pt idx="146">
                  <c:v>111.33800792202979</c:v>
                </c:pt>
                <c:pt idx="147">
                  <c:v>108.7342362756862</c:v>
                </c:pt>
                <c:pt idx="148">
                  <c:v>106.0996707605761</c:v>
                </c:pt>
                <c:pt idx="149">
                  <c:v>103.43343833362344</c:v>
                </c:pt>
                <c:pt idx="150">
                  <c:v>100.73469936375403</c:v>
                </c:pt>
                <c:pt idx="151">
                  <c:v>98.002655001057946</c:v>
                </c:pt>
                <c:pt idx="152">
                  <c:v>95.236554009985511</c:v>
                </c:pt>
                <c:pt idx="153">
                  <c:v>91.924727768634227</c:v>
                </c:pt>
                <c:pt idx="154">
                  <c:v>89.05138177777485</c:v>
                </c:pt>
                <c:pt idx="155">
                  <c:v>86.145236868635251</c:v>
                </c:pt>
                <c:pt idx="156">
                  <c:v>82.460156767858976</c:v>
                </c:pt>
                <c:pt idx="157">
                  <c:v>78.569983441942696</c:v>
                </c:pt>
                <c:pt idx="158">
                  <c:v>74.641494607172461</c:v>
                </c:pt>
                <c:pt idx="159">
                  <c:v>70.677650042717474</c:v>
                </c:pt>
                <c:pt idx="160">
                  <c:v>66.793557555503483</c:v>
                </c:pt>
                <c:pt idx="161">
                  <c:v>63.405168111201327</c:v>
                </c:pt>
                <c:pt idx="162">
                  <c:v>60.018280193526827</c:v>
                </c:pt>
                <c:pt idx="163">
                  <c:v>56.17194508105608</c:v>
                </c:pt>
                <c:pt idx="164">
                  <c:v>52.817211119977088</c:v>
                </c:pt>
                <c:pt idx="165">
                  <c:v>49.469728429863032</c:v>
                </c:pt>
                <c:pt idx="166">
                  <c:v>46.129611060941116</c:v>
                </c:pt>
                <c:pt idx="167">
                  <c:v>42.796878835691523</c:v>
                </c:pt>
                <c:pt idx="168">
                  <c:v>39.471458888875667</c:v>
                </c:pt>
                <c:pt idx="169">
                  <c:v>36.153187973799831</c:v>
                </c:pt>
                <c:pt idx="170">
                  <c:v>32.841815572222416</c:v>
                </c:pt>
                <c:pt idx="171">
                  <c:v>29.537007789380045</c:v>
                </c:pt>
                <c:pt idx="172">
                  <c:v>26.238352015686232</c:v>
                </c:pt>
                <c:pt idx="173">
                  <c:v>22.945362353633289</c:v>
                </c:pt>
                <c:pt idx="174">
                  <c:v>19.657485745375002</c:v>
                </c:pt>
                <c:pt idx="175">
                  <c:v>16.374108775518113</c:v>
                </c:pt>
                <c:pt idx="176">
                  <c:v>13.094565075692101</c:v>
                </c:pt>
                <c:pt idx="177">
                  <c:v>9.8181432782367271</c:v>
                </c:pt>
                <c:pt idx="178">
                  <c:v>6.5440954336340491</c:v>
                </c:pt>
                <c:pt idx="179">
                  <c:v>3.2716458126756827</c:v>
                </c:pt>
                <c:pt idx="180">
                  <c:v>1.6117963364975045E-12</c:v>
                </c:pt>
                <c:pt idx="181">
                  <c:v>-3.2716458126705166</c:v>
                </c:pt>
                <c:pt idx="182">
                  <c:v>-6.544095433630396</c:v>
                </c:pt>
                <c:pt idx="183">
                  <c:v>-9.8181432782329274</c:v>
                </c:pt>
                <c:pt idx="184">
                  <c:v>-13.094565075687624</c:v>
                </c:pt>
                <c:pt idx="185">
                  <c:v>-16.374108775514092</c:v>
                </c:pt>
                <c:pt idx="186">
                  <c:v>-19.657485745371126</c:v>
                </c:pt>
                <c:pt idx="187">
                  <c:v>-22.945362353627729</c:v>
                </c:pt>
                <c:pt idx="188">
                  <c:v>-26.23835201568227</c:v>
                </c:pt>
                <c:pt idx="189">
                  <c:v>-29.537007789375888</c:v>
                </c:pt>
                <c:pt idx="190">
                  <c:v>-32.841815572217506</c:v>
                </c:pt>
                <c:pt idx="191">
                  <c:v>-36.153187973795383</c:v>
                </c:pt>
                <c:pt idx="192">
                  <c:v>-39.471458888871503</c:v>
                </c:pt>
                <c:pt idx="193">
                  <c:v>-42.79687883568775</c:v>
                </c:pt>
                <c:pt idx="194">
                  <c:v>-46.129611060937954</c:v>
                </c:pt>
                <c:pt idx="195">
                  <c:v>-49.469728429858542</c:v>
                </c:pt>
                <c:pt idx="196">
                  <c:v>-52.817211119972711</c:v>
                </c:pt>
                <c:pt idx="197">
                  <c:v>-56.171945078830738</c:v>
                </c:pt>
                <c:pt idx="198">
                  <c:v>-60.018280193522401</c:v>
                </c:pt>
                <c:pt idx="199">
                  <c:v>-63.405168113071937</c:v>
                </c:pt>
                <c:pt idx="200">
                  <c:v>-66.793557559105821</c:v>
                </c:pt>
                <c:pt idx="201">
                  <c:v>-70.677650042712898</c:v>
                </c:pt>
                <c:pt idx="202">
                  <c:v>-74.641494607167871</c:v>
                </c:pt>
                <c:pt idx="203">
                  <c:v>-78.569983441939314</c:v>
                </c:pt>
                <c:pt idx="204">
                  <c:v>-82.460156767854372</c:v>
                </c:pt>
                <c:pt idx="205">
                  <c:v>-86.145236868631557</c:v>
                </c:pt>
                <c:pt idx="206">
                  <c:v>-89.051381777771397</c:v>
                </c:pt>
                <c:pt idx="207">
                  <c:v>-91.924727768630348</c:v>
                </c:pt>
                <c:pt idx="208">
                  <c:v>-95.236554009981987</c:v>
                </c:pt>
                <c:pt idx="209">
                  <c:v>-98.002655001918114</c:v>
                </c:pt>
                <c:pt idx="210">
                  <c:v>-100.73469936375048</c:v>
                </c:pt>
                <c:pt idx="211">
                  <c:v>-103.43343833362036</c:v>
                </c:pt>
                <c:pt idx="212">
                  <c:v>-106.0996707605734</c:v>
                </c:pt>
                <c:pt idx="213">
                  <c:v>-108.73423627568212</c:v>
                </c:pt>
                <c:pt idx="214">
                  <c:v>-111.33800792202585</c:v>
                </c:pt>
                <c:pt idx="215">
                  <c:v>-113.91188432797317</c:v>
                </c:pt>
                <c:pt idx="216">
                  <c:v>-116.45678147267171</c:v>
                </c:pt>
                <c:pt idx="217">
                  <c:v>-118.97362411136599</c:v>
                </c:pt>
                <c:pt idx="218">
                  <c:v>-121.46333695311149</c:v>
                </c:pt>
                <c:pt idx="219">
                  <c:v>-123.92683567607921</c:v>
                </c:pt>
                <c:pt idx="220">
                  <c:v>-126.36501786396458</c:v>
                </c:pt>
                <c:pt idx="221">
                  <c:v>-128.77875394535866</c:v>
                </c:pt>
                <c:pt idx="222">
                  <c:v>-131.16887826209427</c:v>
                </c:pt>
                <c:pt idx="223">
                  <c:v>-133.53618034756954</c:v>
                </c:pt>
                <c:pt idx="224">
                  <c:v>-135.88139649661665</c:v>
                </c:pt>
                <c:pt idx="225">
                  <c:v>-138.20520175454399</c:v>
                </c:pt>
                <c:pt idx="226">
                  <c:v>-140.50820237618098</c:v>
                </c:pt>
                <c:pt idx="227">
                  <c:v>-142.79092886327692</c:v>
                </c:pt>
                <c:pt idx="228">
                  <c:v>-145.053829647204</c:v>
                </c:pt>
                <c:pt idx="229">
                  <c:v>-147.29726546877754</c:v>
                </c:pt>
                <c:pt idx="230">
                  <c:v>-149.52150456607023</c:v>
                </c:pt>
                <c:pt idx="231">
                  <c:v>-151.72671861934268</c:v>
                </c:pt>
                <c:pt idx="232">
                  <c:v>-153.91297958718189</c:v>
                </c:pt>
                <c:pt idx="233">
                  <c:v>-156.0802573862666</c:v>
                </c:pt>
                <c:pt idx="234">
                  <c:v>-158.22841848177038</c:v>
                </c:pt>
                <c:pt idx="235">
                  <c:v>-160.35722532316385</c:v>
                </c:pt>
                <c:pt idx="236">
                  <c:v>-162.46633667759508</c:v>
                </c:pt>
                <c:pt idx="237">
                  <c:v>-164.55530876298121</c:v>
                </c:pt>
                <c:pt idx="238">
                  <c:v>-166.62359723724367</c:v>
                </c:pt>
                <c:pt idx="239">
                  <c:v>-168.67055992299669</c:v>
                </c:pt>
                <c:pt idx="240">
                  <c:v>-170.69546023617349</c:v>
                </c:pt>
                <c:pt idx="241">
                  <c:v>-172.69747129202469</c:v>
                </c:pt>
                <c:pt idx="242">
                  <c:v>-174.67568057097054</c:v>
                </c:pt>
                <c:pt idx="243">
                  <c:v>-176.80339360759822</c:v>
                </c:pt>
                <c:pt idx="244">
                  <c:v>-178.719830448717</c:v>
                </c:pt>
                <c:pt idx="245">
                  <c:v>-180.60559184202117</c:v>
                </c:pt>
                <c:pt idx="246">
                  <c:v>-182.41344801492411</c:v>
                </c:pt>
                <c:pt idx="247">
                  <c:v>-184.12899743453264</c:v>
                </c:pt>
                <c:pt idx="248">
                  <c:v>-185.75623078619213</c:v>
                </c:pt>
                <c:pt idx="249">
                  <c:v>-187.29392210263583</c:v>
                </c:pt>
                <c:pt idx="250">
                  <c:v>-188.62131986790649</c:v>
                </c:pt>
                <c:pt idx="251">
                  <c:v>-189.34283997252217</c:v>
                </c:pt>
                <c:pt idx="252">
                  <c:v>-190.01947692324214</c:v>
                </c:pt>
                <c:pt idx="253">
                  <c:v>-190.85677139565286</c:v>
                </c:pt>
                <c:pt idx="254">
                  <c:v>-191.41389497226274</c:v>
                </c:pt>
                <c:pt idx="255">
                  <c:v>-191.93010647165698</c:v>
                </c:pt>
                <c:pt idx="256">
                  <c:v>-192.40658235522938</c:v>
                </c:pt>
                <c:pt idx="257">
                  <c:v>-192.84447218861595</c:v>
                </c:pt>
                <c:pt idx="258">
                  <c:v>-193.24489052422894</c:v>
                </c:pt>
                <c:pt idx="259">
                  <c:v>-193.60890878473325</c:v>
                </c:pt>
                <c:pt idx="260">
                  <c:v>-193.93754730431877</c:v>
                </c:pt>
                <c:pt idx="261">
                  <c:v>-194.23176757763693</c:v>
                </c:pt>
                <c:pt idx="262">
                  <c:v>-194.49246480328105</c:v>
                </c:pt>
                <c:pt idx="263">
                  <c:v>-194.72046080381594</c:v>
                </c:pt>
                <c:pt idx="264">
                  <c:v>-194.91649750047003</c:v>
                </c:pt>
                <c:pt idx="265">
                  <c:v>-195.08123084825596</c:v>
                </c:pt>
                <c:pt idx="266">
                  <c:v>-195.21522545073014</c:v>
                </c:pt>
                <c:pt idx="267">
                  <c:v>-195.31894988015466</c:v>
                </c:pt>
                <c:pt idx="268">
                  <c:v>-195.39277274867101</c:v>
                </c:pt>
                <c:pt idx="269">
                  <c:v>-195.43695961238916</c:v>
                </c:pt>
                <c:pt idx="270">
                  <c:v>-195.45167071178824</c:v>
                </c:pt>
                <c:pt idx="271">
                  <c:v>-195.43695961238902</c:v>
                </c:pt>
                <c:pt idx="272">
                  <c:v>-195.39277274866834</c:v>
                </c:pt>
                <c:pt idx="273">
                  <c:v>-195.31894988277818</c:v>
                </c:pt>
                <c:pt idx="274">
                  <c:v>-195.21522545073049</c:v>
                </c:pt>
                <c:pt idx="275">
                  <c:v>-195.08123084825692</c:v>
                </c:pt>
                <c:pt idx="276">
                  <c:v>-194.91649750047188</c:v>
                </c:pt>
                <c:pt idx="277">
                  <c:v>-194.72046080381662</c:v>
                </c:pt>
                <c:pt idx="278">
                  <c:v>-194.49246479866261</c:v>
                </c:pt>
                <c:pt idx="279">
                  <c:v>-194.23176757763594</c:v>
                </c:pt>
                <c:pt idx="280">
                  <c:v>-193.93754730432042</c:v>
                </c:pt>
                <c:pt idx="281">
                  <c:v>-193.60890878473464</c:v>
                </c:pt>
                <c:pt idx="282">
                  <c:v>-193.24489052423019</c:v>
                </c:pt>
                <c:pt idx="283">
                  <c:v>-192.84447218861777</c:v>
                </c:pt>
                <c:pt idx="284">
                  <c:v>-192.40658235523085</c:v>
                </c:pt>
                <c:pt idx="285">
                  <c:v>-191.93010647165877</c:v>
                </c:pt>
                <c:pt idx="286">
                  <c:v>-191.41389497226385</c:v>
                </c:pt>
                <c:pt idx="287">
                  <c:v>-190.85677139137221</c:v>
                </c:pt>
                <c:pt idx="288">
                  <c:v>-190.019476923246</c:v>
                </c:pt>
                <c:pt idx="289">
                  <c:v>-189.34283997252686</c:v>
                </c:pt>
                <c:pt idx="290">
                  <c:v>-188.62131987082196</c:v>
                </c:pt>
                <c:pt idx="291">
                  <c:v>-187.29392209923444</c:v>
                </c:pt>
                <c:pt idx="292">
                  <c:v>-185.75623078619697</c:v>
                </c:pt>
                <c:pt idx="293">
                  <c:v>-184.12899743453875</c:v>
                </c:pt>
                <c:pt idx="294">
                  <c:v>-182.41344801492878</c:v>
                </c:pt>
                <c:pt idx="295">
                  <c:v>-180.60559184539983</c:v>
                </c:pt>
                <c:pt idx="296">
                  <c:v>-178.71983044872306</c:v>
                </c:pt>
                <c:pt idx="297">
                  <c:v>-176.80339361126241</c:v>
                </c:pt>
                <c:pt idx="298">
                  <c:v>-174.6756805638949</c:v>
                </c:pt>
                <c:pt idx="299">
                  <c:v>-172.69747129203256</c:v>
                </c:pt>
                <c:pt idx="300">
                  <c:v>-170.69546023618176</c:v>
                </c:pt>
                <c:pt idx="301">
                  <c:v>-168.67055992300354</c:v>
                </c:pt>
                <c:pt idx="302">
                  <c:v>-166.62359723725146</c:v>
                </c:pt>
                <c:pt idx="303">
                  <c:v>-164.55530876298891</c:v>
                </c:pt>
                <c:pt idx="304">
                  <c:v>-162.46633667760233</c:v>
                </c:pt>
                <c:pt idx="305">
                  <c:v>-160.35722532316939</c:v>
                </c:pt>
                <c:pt idx="306">
                  <c:v>-158.22841847932307</c:v>
                </c:pt>
                <c:pt idx="307">
                  <c:v>-156.08025738627222</c:v>
                </c:pt>
                <c:pt idx="308">
                  <c:v>-153.91297958718701</c:v>
                </c:pt>
                <c:pt idx="309">
                  <c:v>-151.72671861934916</c:v>
                </c:pt>
                <c:pt idx="310">
                  <c:v>-149.52150456607899</c:v>
                </c:pt>
                <c:pt idx="311">
                  <c:v>-147.29726546878385</c:v>
                </c:pt>
                <c:pt idx="312">
                  <c:v>-145.05382964519811</c:v>
                </c:pt>
                <c:pt idx="313">
                  <c:v>-142.7909288632838</c:v>
                </c:pt>
                <c:pt idx="314">
                  <c:v>-140.50820237618791</c:v>
                </c:pt>
                <c:pt idx="315">
                  <c:v>-138.20520175455101</c:v>
                </c:pt>
                <c:pt idx="316">
                  <c:v>-135.88139649662531</c:v>
                </c:pt>
                <c:pt idx="317">
                  <c:v>-133.53618034757733</c:v>
                </c:pt>
                <c:pt idx="318">
                  <c:v>-131.16887826379639</c:v>
                </c:pt>
                <c:pt idx="319">
                  <c:v>-128.77875394713709</c:v>
                </c:pt>
                <c:pt idx="320">
                  <c:v>-126.36501786397254</c:v>
                </c:pt>
                <c:pt idx="321">
                  <c:v>-123.92683567608667</c:v>
                </c:pt>
                <c:pt idx="322">
                  <c:v>-121.46333695311849</c:v>
                </c:pt>
                <c:pt idx="323">
                  <c:v>-118.97362411137381</c:v>
                </c:pt>
                <c:pt idx="324">
                  <c:v>-116.45678147411925</c:v>
                </c:pt>
                <c:pt idx="325">
                  <c:v>-113.91188432798</c:v>
                </c:pt>
                <c:pt idx="326">
                  <c:v>-111.33800792203408</c:v>
                </c:pt>
                <c:pt idx="327">
                  <c:v>-108.73423627748649</c:v>
                </c:pt>
                <c:pt idx="328">
                  <c:v>-106.09967076058152</c:v>
                </c:pt>
                <c:pt idx="329">
                  <c:v>-103.43343833362837</c:v>
                </c:pt>
                <c:pt idx="330">
                  <c:v>-100.73469936375935</c:v>
                </c:pt>
                <c:pt idx="331">
                  <c:v>-98.002655001063502</c:v>
                </c:pt>
                <c:pt idx="332">
                  <c:v>-95.236554009991622</c:v>
                </c:pt>
                <c:pt idx="333">
                  <c:v>-91.924727767617142</c:v>
                </c:pt>
                <c:pt idx="334">
                  <c:v>-89.051381777780335</c:v>
                </c:pt>
                <c:pt idx="335">
                  <c:v>-86.145236869350242</c:v>
                </c:pt>
                <c:pt idx="336">
                  <c:v>-82.460156767866764</c:v>
                </c:pt>
                <c:pt idx="337">
                  <c:v>-78.56998344195091</c:v>
                </c:pt>
                <c:pt idx="338">
                  <c:v>-74.641494608530422</c:v>
                </c:pt>
                <c:pt idx="339">
                  <c:v>-70.677650042725716</c:v>
                </c:pt>
                <c:pt idx="340">
                  <c:v>-66.793557557364068</c:v>
                </c:pt>
                <c:pt idx="341">
                  <c:v>-63.405168113083832</c:v>
                </c:pt>
                <c:pt idx="342">
                  <c:v>-60.018280195397686</c:v>
                </c:pt>
                <c:pt idx="343">
                  <c:v>-56.171945081062624</c:v>
                </c:pt>
                <c:pt idx="344">
                  <c:v>-52.81721111998371</c:v>
                </c:pt>
                <c:pt idx="345">
                  <c:v>-49.469728429869654</c:v>
                </c:pt>
                <c:pt idx="346">
                  <c:v>-46.129611060948051</c:v>
                </c:pt>
                <c:pt idx="347">
                  <c:v>-42.796878835698159</c:v>
                </c:pt>
                <c:pt idx="348">
                  <c:v>-39.47145888888268</c:v>
                </c:pt>
                <c:pt idx="349">
                  <c:v>-36.153187973806368</c:v>
                </c:pt>
                <c:pt idx="350">
                  <c:v>-32.841815572229017</c:v>
                </c:pt>
                <c:pt idx="351">
                  <c:v>-29.537007788669548</c:v>
                </c:pt>
                <c:pt idx="352">
                  <c:v>-26.238352016758896</c:v>
                </c:pt>
                <c:pt idx="353">
                  <c:v>-22.945362353639229</c:v>
                </c:pt>
                <c:pt idx="354">
                  <c:v>-19.657485745381923</c:v>
                </c:pt>
                <c:pt idx="355">
                  <c:v>-16.374108775524199</c:v>
                </c:pt>
                <c:pt idx="356">
                  <c:v>-13.094565075698066</c:v>
                </c:pt>
                <c:pt idx="357">
                  <c:v>-9.818143278019047</c:v>
                </c:pt>
                <c:pt idx="358">
                  <c:v>-6.544095433640968</c:v>
                </c:pt>
                <c:pt idx="359">
                  <c:v>-3.2716458128194956</c:v>
                </c:pt>
                <c:pt idx="360">
                  <c:v>-8.6975829828560827E-12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217.16852301309734</c:v>
                </c:pt>
                <c:pt idx="1">
                  <c:v>217.15217734709799</c:v>
                </c:pt>
                <c:pt idx="2">
                  <c:v>217.10308083185456</c:v>
                </c:pt>
                <c:pt idx="3">
                  <c:v>217.02105542239369</c:v>
                </c:pt>
                <c:pt idx="4">
                  <c:v>216.90580605950319</c:v>
                </c:pt>
                <c:pt idx="5">
                  <c:v>216.75692316472876</c:v>
                </c:pt>
                <c:pt idx="6">
                  <c:v>216.57388611163273</c:v>
                </c:pt>
                <c:pt idx="7">
                  <c:v>216.35606755979541</c:v>
                </c:pt>
                <c:pt idx="8">
                  <c:v>216.10273866517784</c:v>
                </c:pt>
                <c:pt idx="9">
                  <c:v>215.81307508932125</c:v>
                </c:pt>
                <c:pt idx="10">
                  <c:v>215.48616367146292</c:v>
                </c:pt>
                <c:pt idx="11">
                  <c:v>215.12100976081828</c:v>
                </c:pt>
                <c:pt idx="12">
                  <c:v>214.71654502692118</c:v>
                </c:pt>
                <c:pt idx="13">
                  <c:v>214.27163576513024</c:v>
                </c:pt>
                <c:pt idx="14">
                  <c:v>213.7850915058109</c:v>
                </c:pt>
                <c:pt idx="15">
                  <c:v>213.25567385739691</c:v>
                </c:pt>
                <c:pt idx="16">
                  <c:v>212.68210552210471</c:v>
                </c:pt>
                <c:pt idx="17">
                  <c:v>212.0630793285037</c:v>
                </c:pt>
                <c:pt idx="18">
                  <c:v>211.13275213693854</c:v>
                </c:pt>
                <c:pt idx="19">
                  <c:v>210.38093329932209</c:v>
                </c:pt>
                <c:pt idx="20">
                  <c:v>209.5792442976751</c:v>
                </c:pt>
                <c:pt idx="21">
                  <c:v>208.10435788803429</c:v>
                </c:pt>
                <c:pt idx="22">
                  <c:v>206.39581198466033</c:v>
                </c:pt>
                <c:pt idx="23">
                  <c:v>204.58777492355668</c:v>
                </c:pt>
                <c:pt idx="24">
                  <c:v>202.68160890547352</c:v>
                </c:pt>
                <c:pt idx="25">
                  <c:v>200.67287983175697</c:v>
                </c:pt>
                <c:pt idx="26">
                  <c:v>198.57758938353106</c:v>
                </c:pt>
                <c:pt idx="27">
                  <c:v>196.44821511955718</c:v>
                </c:pt>
                <c:pt idx="28">
                  <c:v>194.08408951543549</c:v>
                </c:pt>
                <c:pt idx="29">
                  <c:v>191.88607921612504</c:v>
                </c:pt>
                <c:pt idx="30">
                  <c:v>189.66162248464184</c:v>
                </c:pt>
                <c:pt idx="31">
                  <c:v>187.41173324777728</c:v>
                </c:pt>
                <c:pt idx="32">
                  <c:v>185.13733026360808</c:v>
                </c:pt>
                <c:pt idx="33">
                  <c:v>182.83923195887022</c:v>
                </c:pt>
                <c:pt idx="34">
                  <c:v>180.51815186399674</c:v>
                </c:pt>
                <c:pt idx="35">
                  <c:v>178.17469480351681</c:v>
                </c:pt>
                <c:pt idx="36">
                  <c:v>175.80935386863769</c:v>
                </c:pt>
                <c:pt idx="37">
                  <c:v>173.42250820696509</c:v>
                </c:pt>
                <c:pt idx="38">
                  <c:v>171.01442176353575</c:v>
                </c:pt>
                <c:pt idx="39">
                  <c:v>168.58524291038387</c:v>
                </c:pt>
                <c:pt idx="40">
                  <c:v>166.13500507341533</c:v>
                </c:pt>
                <c:pt idx="41">
                  <c:v>163.66362830111555</c:v>
                </c:pt>
                <c:pt idx="42">
                  <c:v>161.17092182575638</c:v>
                </c:pt>
                <c:pt idx="43">
                  <c:v>158.656587625866</c:v>
                </c:pt>
                <c:pt idx="44">
                  <c:v>156.12022486242594</c:v>
                </c:pt>
                <c:pt idx="45">
                  <c:v>153.56133528282882</c:v>
                </c:pt>
                <c:pt idx="46">
                  <c:v>150.97932944068853</c:v>
                </c:pt>
                <c:pt idx="47">
                  <c:v>148.37353371952511</c:v>
                </c:pt>
                <c:pt idx="48">
                  <c:v>145.7431980689953</c:v>
                </c:pt>
                <c:pt idx="49">
                  <c:v>143.08750438570135</c:v>
                </c:pt>
                <c:pt idx="50">
                  <c:v>140.40557540440705</c:v>
                </c:pt>
                <c:pt idx="51">
                  <c:v>137.69648408453452</c:v>
                </c:pt>
                <c:pt idx="52">
                  <c:v>134.95926328123738</c:v>
                </c:pt>
                <c:pt idx="53">
                  <c:v>132.19291567929733</c:v>
                </c:pt>
                <c:pt idx="54">
                  <c:v>129.39642386012679</c:v>
                </c:pt>
                <c:pt idx="55">
                  <c:v>126.56876036441578</c:v>
                </c:pt>
                <c:pt idx="56">
                  <c:v>123.70889769114389</c:v>
                </c:pt>
                <c:pt idx="57">
                  <c:v>120.81581808608729</c:v>
                </c:pt>
                <c:pt idx="58">
                  <c:v>117.88852306730672</c:v>
                </c:pt>
                <c:pt idx="59">
                  <c:v>114.92604259291296</c:v>
                </c:pt>
                <c:pt idx="60">
                  <c:v>111.92744373750365</c:v>
                </c:pt>
                <c:pt idx="61">
                  <c:v>108.89183889006306</c:v>
                </c:pt>
                <c:pt idx="62">
                  <c:v>105.81839334280841</c:v>
                </c:pt>
                <c:pt idx="63">
                  <c:v>102.13858640845564</c:v>
                </c:pt>
                <c:pt idx="64">
                  <c:v>98.945979754068659</c:v>
                </c:pt>
                <c:pt idx="65">
                  <c:v>95.716929854038071</c:v>
                </c:pt>
                <c:pt idx="66">
                  <c:v>91.622396410402004</c:v>
                </c:pt>
                <c:pt idx="67">
                  <c:v>87.299981602156706</c:v>
                </c:pt>
                <c:pt idx="68">
                  <c:v>82.934994007967475</c:v>
                </c:pt>
                <c:pt idx="69">
                  <c:v>78.53072226968419</c:v>
                </c:pt>
                <c:pt idx="70">
                  <c:v>74.215063954564101</c:v>
                </c:pt>
                <c:pt idx="71">
                  <c:v>70.45018679022057</c:v>
                </c:pt>
                <c:pt idx="72">
                  <c:v>66.68697799487704</c:v>
                </c:pt>
                <c:pt idx="73">
                  <c:v>62.413272313617547</c:v>
                </c:pt>
                <c:pt idx="74">
                  <c:v>58.685790133306028</c:v>
                </c:pt>
                <c:pt idx="75">
                  <c:v>54.966364922067548</c:v>
                </c:pt>
                <c:pt idx="76">
                  <c:v>51.25512340104433</c:v>
                </c:pt>
                <c:pt idx="77">
                  <c:v>47.552087595211013</c:v>
                </c:pt>
                <c:pt idx="78">
                  <c:v>43.857176543192828</c:v>
                </c:pt>
                <c:pt idx="79">
                  <c:v>40.170208859776004</c:v>
                </c:pt>
                <c:pt idx="80">
                  <c:v>36.490906191355499</c:v>
                </c:pt>
                <c:pt idx="81">
                  <c:v>32.818897542955611</c:v>
                </c:pt>
                <c:pt idx="82">
                  <c:v>29.153724461871025</c:v>
                </c:pt>
                <c:pt idx="83">
                  <c:v>25.494847059589318</c:v>
                </c:pt>
                <c:pt idx="84">
                  <c:v>21.841650828192297</c:v>
                </c:pt>
                <c:pt idx="85">
                  <c:v>18.193454195017477</c:v>
                </c:pt>
                <c:pt idx="86">
                  <c:v>14.549516750765374</c:v>
                </c:pt>
                <c:pt idx="87">
                  <c:v>10.909048086678155</c:v>
                </c:pt>
                <c:pt idx="88">
                  <c:v>7.2712171484802539</c:v>
                </c:pt>
                <c:pt idx="89">
                  <c:v>3.6351620140809553</c:v>
                </c:pt>
                <c:pt idx="90">
                  <c:v>-8.0970518501289038E-13</c:v>
                </c:pt>
                <c:pt idx="91">
                  <c:v>-3.6351620140812848</c:v>
                </c:pt>
                <c:pt idx="92">
                  <c:v>-7.2712171484806456</c:v>
                </c:pt>
                <c:pt idx="93">
                  <c:v>-10.909048086678849</c:v>
                </c:pt>
                <c:pt idx="94">
                  <c:v>-14.549516751124861</c:v>
                </c:pt>
                <c:pt idx="95">
                  <c:v>-18.193454195018287</c:v>
                </c:pt>
                <c:pt idx="96">
                  <c:v>-21.841650828193213</c:v>
                </c:pt>
                <c:pt idx="97">
                  <c:v>-25.494847059590096</c:v>
                </c:pt>
                <c:pt idx="98">
                  <c:v>-29.153724461872258</c:v>
                </c:pt>
                <c:pt idx="99">
                  <c:v>-32.81889754375414</c:v>
                </c:pt>
                <c:pt idx="100">
                  <c:v>-36.490906191356089</c:v>
                </c:pt>
                <c:pt idx="101">
                  <c:v>-40.170208860803392</c:v>
                </c:pt>
                <c:pt idx="102">
                  <c:v>-43.857176543193418</c:v>
                </c:pt>
                <c:pt idx="103">
                  <c:v>-47.552087595211638</c:v>
                </c:pt>
                <c:pt idx="104">
                  <c:v>-51.255123401044564</c:v>
                </c:pt>
                <c:pt idx="105">
                  <c:v>-54.966364922068465</c:v>
                </c:pt>
                <c:pt idx="106">
                  <c:v>-58.685790133305211</c:v>
                </c:pt>
                <c:pt idx="107">
                  <c:v>-62.413272309815625</c:v>
                </c:pt>
                <c:pt idx="108">
                  <c:v>-66.686977994877921</c:v>
                </c:pt>
                <c:pt idx="109">
                  <c:v>-70.450186790221039</c:v>
                </c:pt>
                <c:pt idx="110">
                  <c:v>-74.215063952619246</c:v>
                </c:pt>
                <c:pt idx="111">
                  <c:v>-78.530722269685256</c:v>
                </c:pt>
                <c:pt idx="112">
                  <c:v>-82.934994007968996</c:v>
                </c:pt>
                <c:pt idx="113">
                  <c:v>-87.2999816021577</c:v>
                </c:pt>
                <c:pt idx="114">
                  <c:v>-91.622396408730438</c:v>
                </c:pt>
                <c:pt idx="115">
                  <c:v>-95.716929854037915</c:v>
                </c:pt>
                <c:pt idx="116">
                  <c:v>-98.945979753082653</c:v>
                </c:pt>
                <c:pt idx="117">
                  <c:v>-102.1385864095929</c:v>
                </c:pt>
                <c:pt idx="118">
                  <c:v>-105.81839334442842</c:v>
                </c:pt>
                <c:pt idx="119">
                  <c:v>-108.89183889102249</c:v>
                </c:pt>
                <c:pt idx="120">
                  <c:v>-111.92744373750328</c:v>
                </c:pt>
                <c:pt idx="121">
                  <c:v>-114.92604259291357</c:v>
                </c:pt>
                <c:pt idx="122">
                  <c:v>-117.88852306730706</c:v>
                </c:pt>
                <c:pt idx="123">
                  <c:v>-120.81581808409557</c:v>
                </c:pt>
                <c:pt idx="124">
                  <c:v>-123.70889769114279</c:v>
                </c:pt>
                <c:pt idx="125">
                  <c:v>-126.56876036441621</c:v>
                </c:pt>
                <c:pt idx="126">
                  <c:v>-129.39642386012594</c:v>
                </c:pt>
                <c:pt idx="127">
                  <c:v>-132.19291567929844</c:v>
                </c:pt>
                <c:pt idx="128">
                  <c:v>-134.95926328123596</c:v>
                </c:pt>
                <c:pt idx="129">
                  <c:v>-137.69648408453608</c:v>
                </c:pt>
                <c:pt idx="130">
                  <c:v>-140.40557540440702</c:v>
                </c:pt>
                <c:pt idx="131">
                  <c:v>-143.08750438570198</c:v>
                </c:pt>
                <c:pt idx="132">
                  <c:v>-145.74319807087943</c:v>
                </c:pt>
                <c:pt idx="133">
                  <c:v>-148.37353371952477</c:v>
                </c:pt>
                <c:pt idx="134">
                  <c:v>-150.97932944068742</c:v>
                </c:pt>
                <c:pt idx="135">
                  <c:v>-153.56133528282928</c:v>
                </c:pt>
                <c:pt idx="136">
                  <c:v>-156.12022486242509</c:v>
                </c:pt>
                <c:pt idx="137">
                  <c:v>-158.65658762586551</c:v>
                </c:pt>
                <c:pt idx="138">
                  <c:v>-161.1709218257561</c:v>
                </c:pt>
                <c:pt idx="139">
                  <c:v>-163.66362829864369</c:v>
                </c:pt>
                <c:pt idx="140">
                  <c:v>-166.13500507341527</c:v>
                </c:pt>
                <c:pt idx="141">
                  <c:v>-168.58524291038256</c:v>
                </c:pt>
                <c:pt idx="142">
                  <c:v>-171.01442176353578</c:v>
                </c:pt>
                <c:pt idx="143">
                  <c:v>-173.42250820696327</c:v>
                </c:pt>
                <c:pt idx="144">
                  <c:v>-175.80935386590829</c:v>
                </c:pt>
                <c:pt idx="145">
                  <c:v>-178.17469480351699</c:v>
                </c:pt>
                <c:pt idx="146">
                  <c:v>-180.5181518639977</c:v>
                </c:pt>
                <c:pt idx="147">
                  <c:v>-182.8392319588709</c:v>
                </c:pt>
                <c:pt idx="148">
                  <c:v>-185.13733026360578</c:v>
                </c:pt>
                <c:pt idx="149">
                  <c:v>-187.4117332477779</c:v>
                </c:pt>
                <c:pt idx="150">
                  <c:v>-189.66162248463959</c:v>
                </c:pt>
                <c:pt idx="151">
                  <c:v>-191.88607921336492</c:v>
                </c:pt>
                <c:pt idx="152">
                  <c:v>-194.08408952054094</c:v>
                </c:pt>
                <c:pt idx="153">
                  <c:v>-196.44821512362265</c:v>
                </c:pt>
                <c:pt idx="154">
                  <c:v>-198.57758938352933</c:v>
                </c:pt>
                <c:pt idx="155">
                  <c:v>-200.67287982821676</c:v>
                </c:pt>
                <c:pt idx="156">
                  <c:v>-202.68160890547369</c:v>
                </c:pt>
                <c:pt idx="157">
                  <c:v>-204.58777492355614</c:v>
                </c:pt>
                <c:pt idx="158">
                  <c:v>-206.39581198465964</c:v>
                </c:pt>
                <c:pt idx="159">
                  <c:v>-208.10435788803397</c:v>
                </c:pt>
                <c:pt idx="160">
                  <c:v>-209.57924429767309</c:v>
                </c:pt>
                <c:pt idx="161">
                  <c:v>-210.38093329932454</c:v>
                </c:pt>
                <c:pt idx="162">
                  <c:v>-211.13275213325949</c:v>
                </c:pt>
                <c:pt idx="163">
                  <c:v>-212.06307932850373</c:v>
                </c:pt>
                <c:pt idx="164">
                  <c:v>-212.68210552473678</c:v>
                </c:pt>
                <c:pt idx="165">
                  <c:v>-213.25567385739831</c:v>
                </c:pt>
                <c:pt idx="166">
                  <c:v>-213.78509150580999</c:v>
                </c:pt>
                <c:pt idx="167">
                  <c:v>-214.27163576513075</c:v>
                </c:pt>
                <c:pt idx="168">
                  <c:v>-214.7165450269213</c:v>
                </c:pt>
                <c:pt idx="169">
                  <c:v>-215.1210097608157</c:v>
                </c:pt>
                <c:pt idx="170">
                  <c:v>-215.4861636714655</c:v>
                </c:pt>
                <c:pt idx="171">
                  <c:v>-215.81307508932096</c:v>
                </c:pt>
                <c:pt idx="172">
                  <c:v>-216.10273866517744</c:v>
                </c:pt>
                <c:pt idx="173">
                  <c:v>-216.3560675597972</c:v>
                </c:pt>
                <c:pt idx="174">
                  <c:v>-216.57388611163333</c:v>
                </c:pt>
                <c:pt idx="175">
                  <c:v>-216.75692316473001</c:v>
                </c:pt>
                <c:pt idx="176">
                  <c:v>-216.90580605636637</c:v>
                </c:pt>
                <c:pt idx="177">
                  <c:v>-217.02105542239462</c:v>
                </c:pt>
                <c:pt idx="178">
                  <c:v>-217.10308083185365</c:v>
                </c:pt>
                <c:pt idx="179">
                  <c:v>-217.15217734709913</c:v>
                </c:pt>
                <c:pt idx="180">
                  <c:v>-217.16852301309916</c:v>
                </c:pt>
                <c:pt idx="181">
                  <c:v>-217.15217734709969</c:v>
                </c:pt>
                <c:pt idx="182">
                  <c:v>-217.10308083185376</c:v>
                </c:pt>
                <c:pt idx="183">
                  <c:v>-217.02105542239639</c:v>
                </c:pt>
                <c:pt idx="184">
                  <c:v>-216.90580605636612</c:v>
                </c:pt>
                <c:pt idx="185">
                  <c:v>-216.7569231647295</c:v>
                </c:pt>
                <c:pt idx="186">
                  <c:v>-216.57388611163398</c:v>
                </c:pt>
                <c:pt idx="187">
                  <c:v>-216.35606755979666</c:v>
                </c:pt>
                <c:pt idx="188">
                  <c:v>-216.1027386651779</c:v>
                </c:pt>
                <c:pt idx="189">
                  <c:v>-215.81307508932048</c:v>
                </c:pt>
                <c:pt idx="190">
                  <c:v>-215.48616367146437</c:v>
                </c:pt>
                <c:pt idx="191">
                  <c:v>-215.12100976081635</c:v>
                </c:pt>
                <c:pt idx="192">
                  <c:v>-214.71654502692121</c:v>
                </c:pt>
                <c:pt idx="193">
                  <c:v>-214.27163576513101</c:v>
                </c:pt>
                <c:pt idx="194">
                  <c:v>-213.7850915058128</c:v>
                </c:pt>
                <c:pt idx="195">
                  <c:v>-213.25567385739782</c:v>
                </c:pt>
                <c:pt idx="196">
                  <c:v>-212.68210552473613</c:v>
                </c:pt>
                <c:pt idx="197">
                  <c:v>-212.06307932374546</c:v>
                </c:pt>
                <c:pt idx="198">
                  <c:v>-211.13275213325991</c:v>
                </c:pt>
                <c:pt idx="199">
                  <c:v>-210.38093330280253</c:v>
                </c:pt>
                <c:pt idx="200">
                  <c:v>-209.57924430397406</c:v>
                </c:pt>
                <c:pt idx="201">
                  <c:v>-208.10435788803647</c:v>
                </c:pt>
                <c:pt idx="202">
                  <c:v>-206.3958119846618</c:v>
                </c:pt>
                <c:pt idx="203">
                  <c:v>-204.58777492356137</c:v>
                </c:pt>
                <c:pt idx="204">
                  <c:v>-202.68160890547574</c:v>
                </c:pt>
                <c:pt idx="205">
                  <c:v>-200.67287982821856</c:v>
                </c:pt>
                <c:pt idx="206">
                  <c:v>-198.57758938353274</c:v>
                </c:pt>
                <c:pt idx="207">
                  <c:v>-196.44821512362526</c:v>
                </c:pt>
                <c:pt idx="208">
                  <c:v>-194.08408952054523</c:v>
                </c:pt>
                <c:pt idx="209">
                  <c:v>-191.88607921612774</c:v>
                </c:pt>
                <c:pt idx="210">
                  <c:v>-189.66162248464249</c:v>
                </c:pt>
                <c:pt idx="211">
                  <c:v>-187.41173324777969</c:v>
                </c:pt>
                <c:pt idx="212">
                  <c:v>-185.13733026361049</c:v>
                </c:pt>
                <c:pt idx="213">
                  <c:v>-182.83923195887158</c:v>
                </c:pt>
                <c:pt idx="214">
                  <c:v>-180.51815186399935</c:v>
                </c:pt>
                <c:pt idx="215">
                  <c:v>-178.1746948035196</c:v>
                </c:pt>
                <c:pt idx="216">
                  <c:v>-175.80935386591071</c:v>
                </c:pt>
                <c:pt idx="217">
                  <c:v>-173.4225082069681</c:v>
                </c:pt>
                <c:pt idx="218">
                  <c:v>-171.01442176354024</c:v>
                </c:pt>
                <c:pt idx="219">
                  <c:v>-168.58524291038518</c:v>
                </c:pt>
                <c:pt idx="220">
                  <c:v>-166.13500507341865</c:v>
                </c:pt>
                <c:pt idx="221">
                  <c:v>-163.66362829864499</c:v>
                </c:pt>
                <c:pt idx="222">
                  <c:v>-161.17092182576087</c:v>
                </c:pt>
                <c:pt idx="223">
                  <c:v>-158.65658762586818</c:v>
                </c:pt>
                <c:pt idx="224">
                  <c:v>-156.12022486242765</c:v>
                </c:pt>
                <c:pt idx="225">
                  <c:v>-153.56133528283178</c:v>
                </c:pt>
                <c:pt idx="226">
                  <c:v>-150.97932944069149</c:v>
                </c:pt>
                <c:pt idx="227">
                  <c:v>-148.37353371952869</c:v>
                </c:pt>
                <c:pt idx="228">
                  <c:v>-145.74319807276819</c:v>
                </c:pt>
                <c:pt idx="229">
                  <c:v>-143.0875043837394</c:v>
                </c:pt>
                <c:pt idx="230">
                  <c:v>-140.40557540440969</c:v>
                </c:pt>
                <c:pt idx="231">
                  <c:v>-137.69648408453924</c:v>
                </c:pt>
                <c:pt idx="232">
                  <c:v>-134.95926328124111</c:v>
                </c:pt>
                <c:pt idx="233">
                  <c:v>-132.19291567930154</c:v>
                </c:pt>
                <c:pt idx="234">
                  <c:v>-129.39642386012972</c:v>
                </c:pt>
                <c:pt idx="235">
                  <c:v>-126.56876036442128</c:v>
                </c:pt>
                <c:pt idx="236">
                  <c:v>-123.70889769114615</c:v>
                </c:pt>
                <c:pt idx="237">
                  <c:v>-120.81581808409886</c:v>
                </c:pt>
                <c:pt idx="238">
                  <c:v>-117.88852306731008</c:v>
                </c:pt>
                <c:pt idx="239">
                  <c:v>-114.92604259291775</c:v>
                </c:pt>
                <c:pt idx="240">
                  <c:v>-111.92744373750746</c:v>
                </c:pt>
                <c:pt idx="241">
                  <c:v>-108.89183889006667</c:v>
                </c:pt>
                <c:pt idx="242">
                  <c:v>-105.81839334530628</c:v>
                </c:pt>
                <c:pt idx="243">
                  <c:v>-102.13858640845928</c:v>
                </c:pt>
                <c:pt idx="244">
                  <c:v>-98.945979754074017</c:v>
                </c:pt>
                <c:pt idx="245">
                  <c:v>-95.716929853209635</c:v>
                </c:pt>
                <c:pt idx="246">
                  <c:v>-91.622396408736094</c:v>
                </c:pt>
                <c:pt idx="247">
                  <c:v>-87.29998160374646</c:v>
                </c:pt>
                <c:pt idx="248">
                  <c:v>-82.934994007974211</c:v>
                </c:pt>
                <c:pt idx="249">
                  <c:v>-78.530722271111941</c:v>
                </c:pt>
                <c:pt idx="250">
                  <c:v>-74.215063950564215</c:v>
                </c:pt>
                <c:pt idx="251">
                  <c:v>-70.450186792311129</c:v>
                </c:pt>
                <c:pt idx="252">
                  <c:v>-66.686977994881673</c:v>
                </c:pt>
                <c:pt idx="253">
                  <c:v>-62.413272312288768</c:v>
                </c:pt>
                <c:pt idx="254">
                  <c:v>-58.685790133311734</c:v>
                </c:pt>
                <c:pt idx="255">
                  <c:v>-54.96636492207319</c:v>
                </c:pt>
                <c:pt idx="256">
                  <c:v>-51.255123401049872</c:v>
                </c:pt>
                <c:pt idx="257">
                  <c:v>-47.552087595216932</c:v>
                </c:pt>
                <c:pt idx="258">
                  <c:v>-43.857176543199252</c:v>
                </c:pt>
                <c:pt idx="259">
                  <c:v>-40.170208859780544</c:v>
                </c:pt>
                <c:pt idx="260">
                  <c:v>-36.49090619136215</c:v>
                </c:pt>
                <c:pt idx="261">
                  <c:v>-32.818897542962134</c:v>
                </c:pt>
                <c:pt idx="262">
                  <c:v>-29.153724463061963</c:v>
                </c:pt>
                <c:pt idx="263">
                  <c:v>-25.49484705959577</c:v>
                </c:pt>
                <c:pt idx="264">
                  <c:v>-21.841650828198556</c:v>
                </c:pt>
                <c:pt idx="265">
                  <c:v>-18.193454195023556</c:v>
                </c:pt>
                <c:pt idx="266">
                  <c:v>-14.549516750771964</c:v>
                </c:pt>
                <c:pt idx="267">
                  <c:v>-10.909048086932936</c:v>
                </c:pt>
                <c:pt idx="268">
                  <c:v>-7.2712171484861017</c:v>
                </c:pt>
                <c:pt idx="269">
                  <c:v>-3.6351620140878032</c:v>
                </c:pt>
                <c:pt idx="270">
                  <c:v>-5.9623360151629524E-12</c:v>
                </c:pt>
                <c:pt idx="271">
                  <c:v>3.6351620140755596</c:v>
                </c:pt>
                <c:pt idx="272">
                  <c:v>7.2712171484740331</c:v>
                </c:pt>
                <c:pt idx="273">
                  <c:v>10.90904808717095</c:v>
                </c:pt>
                <c:pt idx="274">
                  <c:v>14.549516750759262</c:v>
                </c:pt>
                <c:pt idx="275">
                  <c:v>18.193454195011974</c:v>
                </c:pt>
                <c:pt idx="276">
                  <c:v>21.841650828186847</c:v>
                </c:pt>
                <c:pt idx="277">
                  <c:v>25.494847059583467</c:v>
                </c:pt>
                <c:pt idx="278">
                  <c:v>29.153724461865568</c:v>
                </c:pt>
                <c:pt idx="279">
                  <c:v>32.818897542950033</c:v>
                </c:pt>
                <c:pt idx="280">
                  <c:v>36.490906191349531</c:v>
                </c:pt>
                <c:pt idx="281">
                  <c:v>40.170208859769467</c:v>
                </c:pt>
                <c:pt idx="282">
                  <c:v>43.857176543187144</c:v>
                </c:pt>
                <c:pt idx="283">
                  <c:v>47.552087595204711</c:v>
                </c:pt>
                <c:pt idx="284">
                  <c:v>51.255123401037288</c:v>
                </c:pt>
                <c:pt idx="285">
                  <c:v>54.966364922061359</c:v>
                </c:pt>
                <c:pt idx="286">
                  <c:v>58.68579013329898</c:v>
                </c:pt>
                <c:pt idx="287">
                  <c:v>62.413272309807802</c:v>
                </c:pt>
                <c:pt idx="288">
                  <c:v>66.686977994870361</c:v>
                </c:pt>
                <c:pt idx="289">
                  <c:v>70.450186792299419</c:v>
                </c:pt>
                <c:pt idx="290">
                  <c:v>74.215063952610635</c:v>
                </c:pt>
                <c:pt idx="291">
                  <c:v>78.530722269676474</c:v>
                </c:pt>
                <c:pt idx="292">
                  <c:v>82.934994007959531</c:v>
                </c:pt>
                <c:pt idx="293">
                  <c:v>87.299981603732689</c:v>
                </c:pt>
                <c:pt idx="294">
                  <c:v>91.622396408722125</c:v>
                </c:pt>
                <c:pt idx="295">
                  <c:v>95.716929854032017</c:v>
                </c:pt>
                <c:pt idx="296">
                  <c:v>98.945979754062762</c:v>
                </c:pt>
                <c:pt idx="297">
                  <c:v>102.13858640958489</c:v>
                </c:pt>
                <c:pt idx="298">
                  <c:v>105.81839334280284</c:v>
                </c:pt>
                <c:pt idx="299">
                  <c:v>108.8918388900575</c:v>
                </c:pt>
                <c:pt idx="300">
                  <c:v>111.92744373749882</c:v>
                </c:pt>
                <c:pt idx="301">
                  <c:v>114.92604259290766</c:v>
                </c:pt>
                <c:pt idx="302">
                  <c:v>117.88852306730162</c:v>
                </c:pt>
                <c:pt idx="303">
                  <c:v>120.81581808408978</c:v>
                </c:pt>
                <c:pt idx="304">
                  <c:v>123.70889769113739</c:v>
                </c:pt>
                <c:pt idx="305">
                  <c:v>126.56876036441085</c:v>
                </c:pt>
                <c:pt idx="306">
                  <c:v>129.3964238585213</c:v>
                </c:pt>
                <c:pt idx="307">
                  <c:v>132.19291567929085</c:v>
                </c:pt>
                <c:pt idx="308">
                  <c:v>134.95926328123048</c:v>
                </c:pt>
                <c:pt idx="309">
                  <c:v>137.69648408452912</c:v>
                </c:pt>
                <c:pt idx="310">
                  <c:v>140.40557540440219</c:v>
                </c:pt>
                <c:pt idx="311">
                  <c:v>143.08750438373025</c:v>
                </c:pt>
                <c:pt idx="312">
                  <c:v>145.74319807087386</c:v>
                </c:pt>
                <c:pt idx="313">
                  <c:v>148.37353371951875</c:v>
                </c:pt>
                <c:pt idx="314">
                  <c:v>150.97932944068279</c:v>
                </c:pt>
                <c:pt idx="315">
                  <c:v>153.56133528282405</c:v>
                </c:pt>
                <c:pt idx="316">
                  <c:v>156.12022486242137</c:v>
                </c:pt>
                <c:pt idx="317">
                  <c:v>158.65658762585957</c:v>
                </c:pt>
                <c:pt idx="318">
                  <c:v>161.17092182798677</c:v>
                </c:pt>
                <c:pt idx="319">
                  <c:v>163.66362830111049</c:v>
                </c:pt>
                <c:pt idx="320">
                  <c:v>166.13500507341027</c:v>
                </c:pt>
                <c:pt idx="321">
                  <c:v>168.5852429103771</c:v>
                </c:pt>
                <c:pt idx="322">
                  <c:v>171.01442176353089</c:v>
                </c:pt>
                <c:pt idx="323">
                  <c:v>173.42250820695963</c:v>
                </c:pt>
                <c:pt idx="324">
                  <c:v>175.80935386863098</c:v>
                </c:pt>
                <c:pt idx="325">
                  <c:v>178.17469480351193</c:v>
                </c:pt>
                <c:pt idx="326">
                  <c:v>180.51815186399088</c:v>
                </c:pt>
                <c:pt idx="327">
                  <c:v>182.8392319630351</c:v>
                </c:pt>
                <c:pt idx="328">
                  <c:v>185.13733026360092</c:v>
                </c:pt>
                <c:pt idx="329">
                  <c:v>187.41173324777131</c:v>
                </c:pt>
                <c:pt idx="330">
                  <c:v>189.66162248463499</c:v>
                </c:pt>
                <c:pt idx="331">
                  <c:v>191.88607921335984</c:v>
                </c:pt>
                <c:pt idx="332">
                  <c:v>194.08408952053821</c:v>
                </c:pt>
                <c:pt idx="333">
                  <c:v>196.44821511955317</c:v>
                </c:pt>
                <c:pt idx="334">
                  <c:v>198.57758938352541</c:v>
                </c:pt>
                <c:pt idx="335">
                  <c:v>200.67287983175288</c:v>
                </c:pt>
                <c:pt idx="336">
                  <c:v>202.68160890546898</c:v>
                </c:pt>
                <c:pt idx="337">
                  <c:v>204.58777492355262</c:v>
                </c:pt>
                <c:pt idx="338">
                  <c:v>206.39581198839454</c:v>
                </c:pt>
                <c:pt idx="339">
                  <c:v>208.10435788803088</c:v>
                </c:pt>
                <c:pt idx="340">
                  <c:v>209.57924430091032</c:v>
                </c:pt>
                <c:pt idx="341">
                  <c:v>210.38093330280245</c:v>
                </c:pt>
                <c:pt idx="342">
                  <c:v>211.13275213693751</c:v>
                </c:pt>
                <c:pt idx="343">
                  <c:v>212.06307932850152</c:v>
                </c:pt>
                <c:pt idx="344">
                  <c:v>212.68210552473445</c:v>
                </c:pt>
                <c:pt idx="345">
                  <c:v>213.25567385739691</c:v>
                </c:pt>
                <c:pt idx="346">
                  <c:v>213.78509150580928</c:v>
                </c:pt>
                <c:pt idx="347">
                  <c:v>214.27163576512854</c:v>
                </c:pt>
                <c:pt idx="348">
                  <c:v>214.71654502692007</c:v>
                </c:pt>
                <c:pt idx="349">
                  <c:v>215.12100976081743</c:v>
                </c:pt>
                <c:pt idx="350">
                  <c:v>215.48616367146494</c:v>
                </c:pt>
                <c:pt idx="351">
                  <c:v>215.8130750862623</c:v>
                </c:pt>
                <c:pt idx="352">
                  <c:v>216.10273867031091</c:v>
                </c:pt>
                <c:pt idx="353">
                  <c:v>216.35606755979506</c:v>
                </c:pt>
                <c:pt idx="354">
                  <c:v>216.5738861116339</c:v>
                </c:pt>
                <c:pt idx="355">
                  <c:v>216.75692316472907</c:v>
                </c:pt>
                <c:pt idx="356">
                  <c:v>216.90580605636603</c:v>
                </c:pt>
                <c:pt idx="357">
                  <c:v>217.02105541948106</c:v>
                </c:pt>
                <c:pt idx="358">
                  <c:v>217.10308083185348</c:v>
                </c:pt>
                <c:pt idx="359">
                  <c:v>217.15217735249891</c:v>
                </c:pt>
                <c:pt idx="360">
                  <c:v>217.16852301309731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1.1842378929335002E-14</c:v>
                </c:pt>
                <c:pt idx="1">
                  <c:v>3.6351620140809384</c:v>
                </c:pt>
                <c:pt idx="2">
                  <c:v>7.2712171484803028</c:v>
                </c:pt>
                <c:pt idx="3">
                  <c:v>10.909048086927386</c:v>
                </c:pt>
                <c:pt idx="4">
                  <c:v>14.5495167511245</c:v>
                </c:pt>
                <c:pt idx="5">
                  <c:v>18.193454195017935</c:v>
                </c:pt>
                <c:pt idx="6">
                  <c:v>21.841650828192829</c:v>
                </c:pt>
                <c:pt idx="7">
                  <c:v>25.494847059590015</c:v>
                </c:pt>
                <c:pt idx="8">
                  <c:v>29.15372446187234</c:v>
                </c:pt>
                <c:pt idx="9">
                  <c:v>32.818897543753891</c:v>
                </c:pt>
                <c:pt idx="10">
                  <c:v>36.490906191355698</c:v>
                </c:pt>
                <c:pt idx="11">
                  <c:v>40.170208859776807</c:v>
                </c:pt>
                <c:pt idx="12">
                  <c:v>43.857176543194555</c:v>
                </c:pt>
                <c:pt idx="13">
                  <c:v>47.552087595210985</c:v>
                </c:pt>
                <c:pt idx="14">
                  <c:v>51.255123401043967</c:v>
                </c:pt>
                <c:pt idx="15">
                  <c:v>54.966364922067761</c:v>
                </c:pt>
                <c:pt idx="16">
                  <c:v>58.685790132031997</c:v>
                </c:pt>
                <c:pt idx="17">
                  <c:v>62.413272312283034</c:v>
                </c:pt>
                <c:pt idx="18">
                  <c:v>66.686977994876543</c:v>
                </c:pt>
                <c:pt idx="19">
                  <c:v>70.45018679022057</c:v>
                </c:pt>
                <c:pt idx="20">
                  <c:v>74.215063950558317</c:v>
                </c:pt>
                <c:pt idx="21">
                  <c:v>78.530722269684489</c:v>
                </c:pt>
                <c:pt idx="22">
                  <c:v>82.934994007968356</c:v>
                </c:pt>
                <c:pt idx="23">
                  <c:v>87.299981602157331</c:v>
                </c:pt>
                <c:pt idx="24">
                  <c:v>91.622396408730268</c:v>
                </c:pt>
                <c:pt idx="25">
                  <c:v>95.716929854825011</c:v>
                </c:pt>
                <c:pt idx="26">
                  <c:v>98.945979753082341</c:v>
                </c:pt>
                <c:pt idx="27">
                  <c:v>102.13858640845488</c:v>
                </c:pt>
                <c:pt idx="28">
                  <c:v>105.8183933428089</c:v>
                </c:pt>
                <c:pt idx="29">
                  <c:v>108.8918388910226</c:v>
                </c:pt>
                <c:pt idx="30">
                  <c:v>111.92744373750442</c:v>
                </c:pt>
                <c:pt idx="31">
                  <c:v>114.92604259291352</c:v>
                </c:pt>
                <c:pt idx="32">
                  <c:v>117.88852306730701</c:v>
                </c:pt>
                <c:pt idx="33">
                  <c:v>120.81581808409368</c:v>
                </c:pt>
                <c:pt idx="34">
                  <c:v>123.70889769114279</c:v>
                </c:pt>
                <c:pt idx="35">
                  <c:v>126.56876036441719</c:v>
                </c:pt>
                <c:pt idx="36">
                  <c:v>129.39642386012741</c:v>
                </c:pt>
                <c:pt idx="37">
                  <c:v>132.19291567929852</c:v>
                </c:pt>
                <c:pt idx="38">
                  <c:v>134.95926328123673</c:v>
                </c:pt>
                <c:pt idx="39">
                  <c:v>137.69648408453628</c:v>
                </c:pt>
                <c:pt idx="40">
                  <c:v>140.40557540440764</c:v>
                </c:pt>
                <c:pt idx="41">
                  <c:v>143.08750438570226</c:v>
                </c:pt>
                <c:pt idx="42">
                  <c:v>145.74319806899558</c:v>
                </c:pt>
                <c:pt idx="43">
                  <c:v>148.37353371952506</c:v>
                </c:pt>
                <c:pt idx="44">
                  <c:v>150.97932944068808</c:v>
                </c:pt>
                <c:pt idx="45">
                  <c:v>153.56133528282967</c:v>
                </c:pt>
                <c:pt idx="46">
                  <c:v>156.12022486242552</c:v>
                </c:pt>
                <c:pt idx="47">
                  <c:v>158.65658762586597</c:v>
                </c:pt>
                <c:pt idx="48">
                  <c:v>161.17092182575649</c:v>
                </c:pt>
                <c:pt idx="49">
                  <c:v>163.66362830111635</c:v>
                </c:pt>
                <c:pt idx="50">
                  <c:v>166.13500507341533</c:v>
                </c:pt>
                <c:pt idx="51">
                  <c:v>168.58524291038256</c:v>
                </c:pt>
                <c:pt idx="52">
                  <c:v>171.01442176353603</c:v>
                </c:pt>
                <c:pt idx="53">
                  <c:v>173.42250820696572</c:v>
                </c:pt>
                <c:pt idx="54">
                  <c:v>175.809353868637</c:v>
                </c:pt>
                <c:pt idx="55">
                  <c:v>178.17469480351562</c:v>
                </c:pt>
                <c:pt idx="56">
                  <c:v>180.51815186399872</c:v>
                </c:pt>
                <c:pt idx="57">
                  <c:v>182.83923196303965</c:v>
                </c:pt>
                <c:pt idx="58">
                  <c:v>185.13733026360822</c:v>
                </c:pt>
                <c:pt idx="59">
                  <c:v>187.41173324777654</c:v>
                </c:pt>
                <c:pt idx="60">
                  <c:v>189.66162248464127</c:v>
                </c:pt>
                <c:pt idx="61">
                  <c:v>191.88607921336538</c:v>
                </c:pt>
                <c:pt idx="62">
                  <c:v>194.0840895154345</c:v>
                </c:pt>
                <c:pt idx="63">
                  <c:v>196.44821511955777</c:v>
                </c:pt>
                <c:pt idx="64">
                  <c:v>198.577589387465</c:v>
                </c:pt>
                <c:pt idx="65">
                  <c:v>200.67287982821927</c:v>
                </c:pt>
                <c:pt idx="66">
                  <c:v>202.68160890915527</c:v>
                </c:pt>
                <c:pt idx="67">
                  <c:v>204.58777492355694</c:v>
                </c:pt>
                <c:pt idx="68">
                  <c:v>206.39581198466041</c:v>
                </c:pt>
                <c:pt idx="69">
                  <c:v>208.10435788803534</c:v>
                </c:pt>
                <c:pt idx="70">
                  <c:v>209.5792443039723</c:v>
                </c:pt>
                <c:pt idx="71">
                  <c:v>210.38093329932326</c:v>
                </c:pt>
                <c:pt idx="72">
                  <c:v>211.13275213693927</c:v>
                </c:pt>
                <c:pt idx="73">
                  <c:v>212.06307933107635</c:v>
                </c:pt>
                <c:pt idx="74">
                  <c:v>212.68210552473644</c:v>
                </c:pt>
                <c:pt idx="75">
                  <c:v>213.25567385739632</c:v>
                </c:pt>
                <c:pt idx="76">
                  <c:v>213.78509150581084</c:v>
                </c:pt>
                <c:pt idx="77">
                  <c:v>214.27163576513027</c:v>
                </c:pt>
                <c:pt idx="78">
                  <c:v>214.71654502691919</c:v>
                </c:pt>
                <c:pt idx="79">
                  <c:v>215.12100976081899</c:v>
                </c:pt>
                <c:pt idx="80">
                  <c:v>215.48616367146477</c:v>
                </c:pt>
                <c:pt idx="81">
                  <c:v>215.81307508626253</c:v>
                </c:pt>
                <c:pt idx="82">
                  <c:v>216.10273866517821</c:v>
                </c:pt>
                <c:pt idx="83">
                  <c:v>216.35606755979518</c:v>
                </c:pt>
                <c:pt idx="84">
                  <c:v>216.57388611163367</c:v>
                </c:pt>
                <c:pt idx="85">
                  <c:v>216.75692316472927</c:v>
                </c:pt>
                <c:pt idx="86">
                  <c:v>216.90580605636515</c:v>
                </c:pt>
                <c:pt idx="87">
                  <c:v>217.02105541948015</c:v>
                </c:pt>
                <c:pt idx="88">
                  <c:v>217.10308083185456</c:v>
                </c:pt>
                <c:pt idx="89">
                  <c:v>217.15217734710041</c:v>
                </c:pt>
                <c:pt idx="90">
                  <c:v>217.16852301309916</c:v>
                </c:pt>
                <c:pt idx="91">
                  <c:v>217.15217734709793</c:v>
                </c:pt>
                <c:pt idx="92">
                  <c:v>217.10308083185461</c:v>
                </c:pt>
                <c:pt idx="93">
                  <c:v>217.02105541948012</c:v>
                </c:pt>
                <c:pt idx="94">
                  <c:v>216.90580605950313</c:v>
                </c:pt>
                <c:pt idx="95">
                  <c:v>216.75692316472873</c:v>
                </c:pt>
                <c:pt idx="96">
                  <c:v>216.57388611163273</c:v>
                </c:pt>
                <c:pt idx="97">
                  <c:v>216.35606755979703</c:v>
                </c:pt>
                <c:pt idx="98">
                  <c:v>216.10273866517761</c:v>
                </c:pt>
                <c:pt idx="99">
                  <c:v>215.81307508932125</c:v>
                </c:pt>
                <c:pt idx="100">
                  <c:v>215.48616367146511</c:v>
                </c:pt>
                <c:pt idx="101">
                  <c:v>215.12100976400941</c:v>
                </c:pt>
                <c:pt idx="102">
                  <c:v>214.71654502692007</c:v>
                </c:pt>
                <c:pt idx="103">
                  <c:v>214.27163576513064</c:v>
                </c:pt>
                <c:pt idx="104">
                  <c:v>213.78509150580985</c:v>
                </c:pt>
                <c:pt idx="105">
                  <c:v>213.25567385739805</c:v>
                </c:pt>
                <c:pt idx="106">
                  <c:v>212.68210552473488</c:v>
                </c:pt>
                <c:pt idx="107">
                  <c:v>212.06307932374588</c:v>
                </c:pt>
                <c:pt idx="108">
                  <c:v>211.13275213694055</c:v>
                </c:pt>
                <c:pt idx="109">
                  <c:v>210.38093329932209</c:v>
                </c:pt>
                <c:pt idx="110">
                  <c:v>209.57924430091362</c:v>
                </c:pt>
                <c:pt idx="111">
                  <c:v>208.1043578880342</c:v>
                </c:pt>
                <c:pt idx="112">
                  <c:v>206.39581198466163</c:v>
                </c:pt>
                <c:pt idx="113">
                  <c:v>204.58777492355611</c:v>
                </c:pt>
                <c:pt idx="114">
                  <c:v>202.68160890547219</c:v>
                </c:pt>
                <c:pt idx="115">
                  <c:v>200.6728798282164</c:v>
                </c:pt>
                <c:pt idx="116">
                  <c:v>198.57758938353089</c:v>
                </c:pt>
                <c:pt idx="117">
                  <c:v>196.44821512362344</c:v>
                </c:pt>
                <c:pt idx="118">
                  <c:v>194.0840895205439</c:v>
                </c:pt>
                <c:pt idx="119">
                  <c:v>191.88607921612589</c:v>
                </c:pt>
                <c:pt idx="120">
                  <c:v>189.66162248463999</c:v>
                </c:pt>
                <c:pt idx="121">
                  <c:v>187.41173324777716</c:v>
                </c:pt>
                <c:pt idx="122">
                  <c:v>185.13733026360808</c:v>
                </c:pt>
                <c:pt idx="123">
                  <c:v>182.83923195887152</c:v>
                </c:pt>
                <c:pt idx="124">
                  <c:v>180.51815186399676</c:v>
                </c:pt>
                <c:pt idx="125">
                  <c:v>178.17469480351534</c:v>
                </c:pt>
                <c:pt idx="126">
                  <c:v>175.80935386863533</c:v>
                </c:pt>
                <c:pt idx="127">
                  <c:v>173.42250820696498</c:v>
                </c:pt>
                <c:pt idx="128">
                  <c:v>171.01442176353714</c:v>
                </c:pt>
                <c:pt idx="129">
                  <c:v>168.58524291038404</c:v>
                </c:pt>
                <c:pt idx="130">
                  <c:v>166.13500507341527</c:v>
                </c:pt>
                <c:pt idx="131">
                  <c:v>163.66362830111575</c:v>
                </c:pt>
                <c:pt idx="132">
                  <c:v>161.1709218279928</c:v>
                </c:pt>
                <c:pt idx="133">
                  <c:v>158.65658762586628</c:v>
                </c:pt>
                <c:pt idx="134">
                  <c:v>156.12022486242603</c:v>
                </c:pt>
                <c:pt idx="135">
                  <c:v>153.56133528282916</c:v>
                </c:pt>
                <c:pt idx="136">
                  <c:v>150.97932944068896</c:v>
                </c:pt>
                <c:pt idx="137">
                  <c:v>148.37353371952557</c:v>
                </c:pt>
                <c:pt idx="138">
                  <c:v>145.74319806899584</c:v>
                </c:pt>
                <c:pt idx="139">
                  <c:v>143.08750438373619</c:v>
                </c:pt>
                <c:pt idx="140">
                  <c:v>140.40557540440781</c:v>
                </c:pt>
                <c:pt idx="141">
                  <c:v>137.69648408453591</c:v>
                </c:pt>
                <c:pt idx="142">
                  <c:v>134.9592632812367</c:v>
                </c:pt>
                <c:pt idx="143">
                  <c:v>132.19291567929815</c:v>
                </c:pt>
                <c:pt idx="144">
                  <c:v>129.3964238585281</c:v>
                </c:pt>
                <c:pt idx="145">
                  <c:v>126.56876036441803</c:v>
                </c:pt>
                <c:pt idx="146">
                  <c:v>123.7088976911442</c:v>
                </c:pt>
                <c:pt idx="147">
                  <c:v>120.81581808409578</c:v>
                </c:pt>
                <c:pt idx="148">
                  <c:v>117.88852306730678</c:v>
                </c:pt>
                <c:pt idx="149">
                  <c:v>114.92604259291494</c:v>
                </c:pt>
                <c:pt idx="150">
                  <c:v>111.92744373750448</c:v>
                </c:pt>
                <c:pt idx="151">
                  <c:v>108.89183889006438</c:v>
                </c:pt>
                <c:pt idx="152">
                  <c:v>105.81839334442834</c:v>
                </c:pt>
                <c:pt idx="153">
                  <c:v>102.13858640959359</c:v>
                </c:pt>
                <c:pt idx="154">
                  <c:v>98.945979753083165</c:v>
                </c:pt>
                <c:pt idx="155">
                  <c:v>95.716929854039165</c:v>
                </c:pt>
                <c:pt idx="156">
                  <c:v>91.6223964087322</c:v>
                </c:pt>
                <c:pt idx="157">
                  <c:v>87.299981602158553</c:v>
                </c:pt>
                <c:pt idx="158">
                  <c:v>82.934994007969394</c:v>
                </c:pt>
                <c:pt idx="159">
                  <c:v>78.53072226968608</c:v>
                </c:pt>
                <c:pt idx="160">
                  <c:v>74.215063950559426</c:v>
                </c:pt>
                <c:pt idx="161">
                  <c:v>70.450186790223697</c:v>
                </c:pt>
                <c:pt idx="162">
                  <c:v>66.686977992807584</c:v>
                </c:pt>
                <c:pt idx="163">
                  <c:v>62.413272312284533</c:v>
                </c:pt>
                <c:pt idx="164">
                  <c:v>58.685790133307876</c:v>
                </c:pt>
                <c:pt idx="165">
                  <c:v>54.966364922070035</c:v>
                </c:pt>
                <c:pt idx="166">
                  <c:v>51.25512340104568</c:v>
                </c:pt>
                <c:pt idx="167">
                  <c:v>47.552087595212804</c:v>
                </c:pt>
                <c:pt idx="168">
                  <c:v>43.857176543195187</c:v>
                </c:pt>
                <c:pt idx="169">
                  <c:v>40.170208859777588</c:v>
                </c:pt>
                <c:pt idx="170">
                  <c:v>36.490906191358242</c:v>
                </c:pt>
                <c:pt idx="171">
                  <c:v>32.818897543755604</c:v>
                </c:pt>
                <c:pt idx="172">
                  <c:v>29.15372446187359</c:v>
                </c:pt>
                <c:pt idx="173">
                  <c:v>25.494847059592544</c:v>
                </c:pt>
                <c:pt idx="174">
                  <c:v>21.841650828194446</c:v>
                </c:pt>
                <c:pt idx="175">
                  <c:v>18.193454195020127</c:v>
                </c:pt>
                <c:pt idx="176">
                  <c:v>14.549516750769001</c:v>
                </c:pt>
                <c:pt idx="177">
                  <c:v>10.909048086929696</c:v>
                </c:pt>
                <c:pt idx="178">
                  <c:v>7.2712171484822763</c:v>
                </c:pt>
                <c:pt idx="179">
                  <c:v>3.6351620140840919</c:v>
                </c:pt>
                <c:pt idx="180">
                  <c:v>1.7908848183305606E-12</c:v>
                </c:pt>
                <c:pt idx="181">
                  <c:v>-3.6351620140783516</c:v>
                </c:pt>
                <c:pt idx="182">
                  <c:v>-7.2712171484782173</c:v>
                </c:pt>
                <c:pt idx="183">
                  <c:v>-10.909048086925475</c:v>
                </c:pt>
                <c:pt idx="184">
                  <c:v>-14.549516750764028</c:v>
                </c:pt>
                <c:pt idx="185">
                  <c:v>-18.193454195015658</c:v>
                </c:pt>
                <c:pt idx="186">
                  <c:v>-21.84165082819014</c:v>
                </c:pt>
                <c:pt idx="187">
                  <c:v>-25.494847059586366</c:v>
                </c:pt>
                <c:pt idx="188">
                  <c:v>-29.153724461869189</c:v>
                </c:pt>
                <c:pt idx="189">
                  <c:v>-32.818897543750985</c:v>
                </c:pt>
                <c:pt idx="190">
                  <c:v>-36.490906191352785</c:v>
                </c:pt>
                <c:pt idx="191">
                  <c:v>-40.17020885977265</c:v>
                </c:pt>
                <c:pt idx="192">
                  <c:v>-43.857176543190555</c:v>
                </c:pt>
                <c:pt idx="193">
                  <c:v>-47.552087595208612</c:v>
                </c:pt>
                <c:pt idx="194">
                  <c:v>-51.255123401042169</c:v>
                </c:pt>
                <c:pt idx="195">
                  <c:v>-54.966364922065047</c:v>
                </c:pt>
                <c:pt idx="196">
                  <c:v>-58.685790133303009</c:v>
                </c:pt>
                <c:pt idx="197">
                  <c:v>-62.41327230981193</c:v>
                </c:pt>
                <c:pt idx="198">
                  <c:v>-66.686977992802667</c:v>
                </c:pt>
                <c:pt idx="199">
                  <c:v>-70.450186792302148</c:v>
                </c:pt>
                <c:pt idx="200">
                  <c:v>-74.215063954562027</c:v>
                </c:pt>
                <c:pt idx="201">
                  <c:v>-78.530722269680993</c:v>
                </c:pt>
                <c:pt idx="202">
                  <c:v>-82.934994007964306</c:v>
                </c:pt>
                <c:pt idx="203">
                  <c:v>-87.299981602154787</c:v>
                </c:pt>
                <c:pt idx="204">
                  <c:v>-91.622396408727084</c:v>
                </c:pt>
                <c:pt idx="205">
                  <c:v>-95.716929854035058</c:v>
                </c:pt>
                <c:pt idx="206">
                  <c:v>-98.945979753079328</c:v>
                </c:pt>
                <c:pt idx="207">
                  <c:v>-102.13858640958927</c:v>
                </c:pt>
                <c:pt idx="208">
                  <c:v>-105.81839334442442</c:v>
                </c:pt>
                <c:pt idx="209">
                  <c:v>-108.89183889102013</c:v>
                </c:pt>
                <c:pt idx="210">
                  <c:v>-111.92744373750052</c:v>
                </c:pt>
                <c:pt idx="211">
                  <c:v>-114.9260425929115</c:v>
                </c:pt>
                <c:pt idx="212">
                  <c:v>-117.88852306730378</c:v>
                </c:pt>
                <c:pt idx="213">
                  <c:v>-120.81581808409125</c:v>
                </c:pt>
                <c:pt idx="214">
                  <c:v>-123.70889769113984</c:v>
                </c:pt>
                <c:pt idx="215">
                  <c:v>-126.56876036441463</c:v>
                </c:pt>
                <c:pt idx="216">
                  <c:v>-129.39642385852412</c:v>
                </c:pt>
                <c:pt idx="217">
                  <c:v>-132.19291567929554</c:v>
                </c:pt>
                <c:pt idx="218">
                  <c:v>-134.959263281235</c:v>
                </c:pt>
                <c:pt idx="219">
                  <c:v>-137.69648408453244</c:v>
                </c:pt>
                <c:pt idx="220">
                  <c:v>-140.40557540440508</c:v>
                </c:pt>
                <c:pt idx="221">
                  <c:v>-143.08750438373184</c:v>
                </c:pt>
                <c:pt idx="222">
                  <c:v>-145.74319806899362</c:v>
                </c:pt>
                <c:pt idx="223">
                  <c:v>-148.3735337195217</c:v>
                </c:pt>
                <c:pt idx="224">
                  <c:v>-150.97932944068515</c:v>
                </c:pt>
                <c:pt idx="225">
                  <c:v>-153.56133528282666</c:v>
                </c:pt>
                <c:pt idx="226">
                  <c:v>-156.1202248624233</c:v>
                </c:pt>
                <c:pt idx="227">
                  <c:v>-158.65658762586324</c:v>
                </c:pt>
                <c:pt idx="228">
                  <c:v>-161.17092183022666</c:v>
                </c:pt>
                <c:pt idx="229">
                  <c:v>-163.6636282986417</c:v>
                </c:pt>
                <c:pt idx="230">
                  <c:v>-166.13500507341138</c:v>
                </c:pt>
                <c:pt idx="231">
                  <c:v>-168.58524291038074</c:v>
                </c:pt>
                <c:pt idx="232">
                  <c:v>-171.01442176353544</c:v>
                </c:pt>
                <c:pt idx="233">
                  <c:v>-173.42250820696287</c:v>
                </c:pt>
                <c:pt idx="234">
                  <c:v>-175.80935386863374</c:v>
                </c:pt>
                <c:pt idx="235">
                  <c:v>-178.17469480351539</c:v>
                </c:pt>
                <c:pt idx="236">
                  <c:v>-180.51815186399452</c:v>
                </c:pt>
                <c:pt idx="237">
                  <c:v>-182.839231958868</c:v>
                </c:pt>
                <c:pt idx="238">
                  <c:v>-185.13733026360407</c:v>
                </c:pt>
                <c:pt idx="239">
                  <c:v>-187.41173324777409</c:v>
                </c:pt>
                <c:pt idx="240">
                  <c:v>-189.66162248463721</c:v>
                </c:pt>
                <c:pt idx="241">
                  <c:v>-191.88607921336074</c:v>
                </c:pt>
                <c:pt idx="242">
                  <c:v>-194.08408952330061</c:v>
                </c:pt>
                <c:pt idx="243">
                  <c:v>-196.44821511955357</c:v>
                </c:pt>
                <c:pt idx="244">
                  <c:v>-198.57758938746332</c:v>
                </c:pt>
                <c:pt idx="245">
                  <c:v>-200.67287982446797</c:v>
                </c:pt>
                <c:pt idx="246">
                  <c:v>-202.68160890547122</c:v>
                </c:pt>
                <c:pt idx="247">
                  <c:v>-204.58777492725847</c:v>
                </c:pt>
                <c:pt idx="248">
                  <c:v>-206.39581198465791</c:v>
                </c:pt>
                <c:pt idx="249">
                  <c:v>-208.10435789181759</c:v>
                </c:pt>
                <c:pt idx="250">
                  <c:v>-209.57924429767388</c:v>
                </c:pt>
                <c:pt idx="251">
                  <c:v>-210.38093330280242</c:v>
                </c:pt>
                <c:pt idx="252">
                  <c:v>-211.13275213693569</c:v>
                </c:pt>
                <c:pt idx="253">
                  <c:v>-212.06307932850316</c:v>
                </c:pt>
                <c:pt idx="254">
                  <c:v>-212.68210552473636</c:v>
                </c:pt>
                <c:pt idx="255">
                  <c:v>-213.25567385739663</c:v>
                </c:pt>
                <c:pt idx="256">
                  <c:v>-213.78509150581041</c:v>
                </c:pt>
                <c:pt idx="257">
                  <c:v>-214.27163576512882</c:v>
                </c:pt>
                <c:pt idx="258">
                  <c:v>-214.71654502692104</c:v>
                </c:pt>
                <c:pt idx="259">
                  <c:v>-215.1210097608147</c:v>
                </c:pt>
                <c:pt idx="260">
                  <c:v>-215.48616367146531</c:v>
                </c:pt>
                <c:pt idx="261">
                  <c:v>-215.81307508626324</c:v>
                </c:pt>
                <c:pt idx="262">
                  <c:v>-216.10273867031228</c:v>
                </c:pt>
                <c:pt idx="263">
                  <c:v>-216.35606755979549</c:v>
                </c:pt>
                <c:pt idx="264">
                  <c:v>-216.57388611163336</c:v>
                </c:pt>
                <c:pt idx="265">
                  <c:v>-216.75692316472885</c:v>
                </c:pt>
                <c:pt idx="266">
                  <c:v>-216.90580605636683</c:v>
                </c:pt>
                <c:pt idx="267">
                  <c:v>-217.02105542239406</c:v>
                </c:pt>
                <c:pt idx="268">
                  <c:v>-217.10308083185666</c:v>
                </c:pt>
                <c:pt idx="269">
                  <c:v>-217.15217734709907</c:v>
                </c:pt>
                <c:pt idx="270">
                  <c:v>-217.16852301309802</c:v>
                </c:pt>
                <c:pt idx="271">
                  <c:v>-217.1521773470989</c:v>
                </c:pt>
                <c:pt idx="272">
                  <c:v>-217.1030808318537</c:v>
                </c:pt>
                <c:pt idx="273">
                  <c:v>-217.0210554253091</c:v>
                </c:pt>
                <c:pt idx="274">
                  <c:v>-216.9058060563672</c:v>
                </c:pt>
                <c:pt idx="275">
                  <c:v>-216.7569231647299</c:v>
                </c:pt>
                <c:pt idx="276">
                  <c:v>-216.5738861116354</c:v>
                </c:pt>
                <c:pt idx="277">
                  <c:v>-216.35606755979623</c:v>
                </c:pt>
                <c:pt idx="278">
                  <c:v>-216.10273866518068</c:v>
                </c:pt>
                <c:pt idx="279">
                  <c:v>-215.81307508626213</c:v>
                </c:pt>
                <c:pt idx="280">
                  <c:v>-215.48616367146712</c:v>
                </c:pt>
                <c:pt idx="281">
                  <c:v>-215.12100976081626</c:v>
                </c:pt>
                <c:pt idx="282">
                  <c:v>-214.71654502692243</c:v>
                </c:pt>
                <c:pt idx="283">
                  <c:v>-214.27163576513084</c:v>
                </c:pt>
                <c:pt idx="284">
                  <c:v>-213.78509150581206</c:v>
                </c:pt>
                <c:pt idx="285">
                  <c:v>-213.25567385739862</c:v>
                </c:pt>
                <c:pt idx="286">
                  <c:v>-212.68210552473761</c:v>
                </c:pt>
                <c:pt idx="287">
                  <c:v>-212.06307932374688</c:v>
                </c:pt>
                <c:pt idx="288">
                  <c:v>-211.13275213693998</c:v>
                </c:pt>
                <c:pt idx="289">
                  <c:v>-210.38093330280762</c:v>
                </c:pt>
                <c:pt idx="290">
                  <c:v>-209.57924430091327</c:v>
                </c:pt>
                <c:pt idx="291">
                  <c:v>-208.10435788803827</c:v>
                </c:pt>
                <c:pt idx="292">
                  <c:v>-206.39581198466328</c:v>
                </c:pt>
                <c:pt idx="293">
                  <c:v>-204.58777492726526</c:v>
                </c:pt>
                <c:pt idx="294">
                  <c:v>-202.68160890547642</c:v>
                </c:pt>
                <c:pt idx="295">
                  <c:v>-200.67287982822202</c:v>
                </c:pt>
                <c:pt idx="296">
                  <c:v>-198.57758938747006</c:v>
                </c:pt>
                <c:pt idx="297">
                  <c:v>-196.44821512362489</c:v>
                </c:pt>
                <c:pt idx="298">
                  <c:v>-194.08408951543876</c:v>
                </c:pt>
                <c:pt idx="299">
                  <c:v>-191.8860792133695</c:v>
                </c:pt>
                <c:pt idx="300">
                  <c:v>-189.66162248464639</c:v>
                </c:pt>
                <c:pt idx="301">
                  <c:v>-187.41173324778171</c:v>
                </c:pt>
                <c:pt idx="302">
                  <c:v>-185.13733026361274</c:v>
                </c:pt>
                <c:pt idx="303">
                  <c:v>-182.83923195887658</c:v>
                </c:pt>
                <c:pt idx="304">
                  <c:v>-180.51815186400259</c:v>
                </c:pt>
                <c:pt idx="305">
                  <c:v>-178.17469480352153</c:v>
                </c:pt>
                <c:pt idx="306">
                  <c:v>-175.80935386591452</c:v>
                </c:pt>
                <c:pt idx="307">
                  <c:v>-173.42250820696913</c:v>
                </c:pt>
                <c:pt idx="308">
                  <c:v>-171.01442176354112</c:v>
                </c:pt>
                <c:pt idx="309">
                  <c:v>-168.58524291038796</c:v>
                </c:pt>
                <c:pt idx="310">
                  <c:v>-166.1350050734211</c:v>
                </c:pt>
                <c:pt idx="311">
                  <c:v>-163.66362829864872</c:v>
                </c:pt>
                <c:pt idx="312">
                  <c:v>-161.17092182799789</c:v>
                </c:pt>
                <c:pt idx="313">
                  <c:v>-158.65658762587088</c:v>
                </c:pt>
                <c:pt idx="314">
                  <c:v>-156.120224862431</c:v>
                </c:pt>
                <c:pt idx="315">
                  <c:v>-153.56133528283445</c:v>
                </c:pt>
                <c:pt idx="316">
                  <c:v>-150.97932944069478</c:v>
                </c:pt>
                <c:pt idx="317">
                  <c:v>-148.37353371953037</c:v>
                </c:pt>
                <c:pt idx="318">
                  <c:v>-145.74319807088486</c:v>
                </c:pt>
                <c:pt idx="319">
                  <c:v>-143.08750438570789</c:v>
                </c:pt>
                <c:pt idx="320">
                  <c:v>-140.40557540441392</c:v>
                </c:pt>
                <c:pt idx="321">
                  <c:v>-137.69648408454074</c:v>
                </c:pt>
                <c:pt idx="322">
                  <c:v>-134.95926328124276</c:v>
                </c:pt>
                <c:pt idx="323">
                  <c:v>-132.19291567930424</c:v>
                </c:pt>
                <c:pt idx="324">
                  <c:v>-129.3964238601325</c:v>
                </c:pt>
                <c:pt idx="325">
                  <c:v>-126.56876036442222</c:v>
                </c:pt>
                <c:pt idx="326">
                  <c:v>-123.70889769114898</c:v>
                </c:pt>
                <c:pt idx="327">
                  <c:v>-120.8158180860961</c:v>
                </c:pt>
                <c:pt idx="328">
                  <c:v>-117.88852306731279</c:v>
                </c:pt>
                <c:pt idx="329">
                  <c:v>-114.92604259292041</c:v>
                </c:pt>
                <c:pt idx="330">
                  <c:v>-111.92744373751039</c:v>
                </c:pt>
                <c:pt idx="331">
                  <c:v>-108.89183889007056</c:v>
                </c:pt>
                <c:pt idx="332">
                  <c:v>-105.81839334443514</c:v>
                </c:pt>
                <c:pt idx="333">
                  <c:v>-102.13858640846348</c:v>
                </c:pt>
                <c:pt idx="334">
                  <c:v>-98.945979753089262</c:v>
                </c:pt>
                <c:pt idx="335">
                  <c:v>-95.716929854833595</c:v>
                </c:pt>
                <c:pt idx="336">
                  <c:v>-91.62239640874084</c:v>
                </c:pt>
                <c:pt idx="337">
                  <c:v>-87.299981602167676</c:v>
                </c:pt>
                <c:pt idx="338">
                  <c:v>-82.934994009478245</c:v>
                </c:pt>
                <c:pt idx="339">
                  <c:v>-78.530722269695232</c:v>
                </c:pt>
                <c:pt idx="340">
                  <c:v>-74.215063952626735</c:v>
                </c:pt>
                <c:pt idx="341">
                  <c:v>-70.450186792315364</c:v>
                </c:pt>
                <c:pt idx="342">
                  <c:v>-66.68697799488632</c:v>
                </c:pt>
                <c:pt idx="343">
                  <c:v>-62.413272312291802</c:v>
                </c:pt>
                <c:pt idx="344">
                  <c:v>-58.68579013331523</c:v>
                </c:pt>
                <c:pt idx="345">
                  <c:v>-54.966364922077389</c:v>
                </c:pt>
                <c:pt idx="346">
                  <c:v>-51.255123401053389</c:v>
                </c:pt>
                <c:pt idx="347">
                  <c:v>-47.552087595220179</c:v>
                </c:pt>
                <c:pt idx="348">
                  <c:v>-43.857176543202975</c:v>
                </c:pt>
                <c:pt idx="349">
                  <c:v>-40.17020885978485</c:v>
                </c:pt>
                <c:pt idx="350">
                  <c:v>-36.490906191365575</c:v>
                </c:pt>
                <c:pt idx="351">
                  <c:v>-32.818897542966162</c:v>
                </c:pt>
                <c:pt idx="352">
                  <c:v>-29.153724463065437</c:v>
                </c:pt>
                <c:pt idx="353">
                  <c:v>-25.494847059599142</c:v>
                </c:pt>
                <c:pt idx="354">
                  <c:v>-21.841650828202138</c:v>
                </c:pt>
                <c:pt idx="355">
                  <c:v>-18.193454195026888</c:v>
                </c:pt>
                <c:pt idx="356">
                  <c:v>-14.549516750775629</c:v>
                </c:pt>
                <c:pt idx="357">
                  <c:v>-10.909048086687831</c:v>
                </c:pt>
                <c:pt idx="358">
                  <c:v>-7.2712171484899644</c:v>
                </c:pt>
                <c:pt idx="359">
                  <c:v>-3.6351620142438841</c:v>
                </c:pt>
                <c:pt idx="360">
                  <c:v>-9.6639810920623147E-12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195.45167071178761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-3.2970065025408886E-14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195.45167071178761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-3.2970065025408886E-14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9.9972056262808643E-3</c:v>
                </c:pt>
                <c:pt idx="1">
                  <c:v>10.072602111290925</c:v>
                </c:pt>
                <c:pt idx="2">
                  <c:v>19.775792345548613</c:v>
                </c:pt>
                <c:pt idx="3">
                  <c:v>29.204753010396761</c:v>
                </c:pt>
                <c:pt idx="4">
                  <c:v>38.039998255143146</c:v>
                </c:pt>
                <c:pt idx="5">
                  <c:v>46.499018574954853</c:v>
                </c:pt>
                <c:pt idx="6">
                  <c:v>54.962097446390302</c:v>
                </c:pt>
                <c:pt idx="7">
                  <c:v>63.415426899278465</c:v>
                </c:pt>
                <c:pt idx="8">
                  <c:v>71.84409707823616</c:v>
                </c:pt>
                <c:pt idx="9">
                  <c:v>80.23302641285612</c:v>
                </c:pt>
                <c:pt idx="10">
                  <c:v>88.56778142798224</c:v>
                </c:pt>
                <c:pt idx="11">
                  <c:v>96.83517670978334</c:v>
                </c:pt>
                <c:pt idx="12">
                  <c:v>105.02362382785893</c:v>
                </c:pt>
                <c:pt idx="13">
                  <c:v>113.1232585289098</c:v>
                </c:pt>
                <c:pt idx="14">
                  <c:v>120.17201114328273</c:v>
                </c:pt>
                <c:pt idx="15">
                  <c:v>127.09065894202936</c:v>
                </c:pt>
                <c:pt idx="16">
                  <c:v>133.89358019656751</c:v>
                </c:pt>
                <c:pt idx="17">
                  <c:v>140.79885348652064</c:v>
                </c:pt>
                <c:pt idx="18">
                  <c:v>147.69763870972318</c:v>
                </c:pt>
                <c:pt idx="19">
                  <c:v>154.5858183545167</c:v>
                </c:pt>
                <c:pt idx="20">
                  <c:v>161.45915747042056</c:v>
                </c:pt>
                <c:pt idx="21">
                  <c:v>168.31334269553633</c:v>
                </c:pt>
                <c:pt idx="22">
                  <c:v>175.14402117065032</c:v>
                </c:pt>
                <c:pt idx="23">
                  <c:v>181.94683822481406</c:v>
                </c:pt>
                <c:pt idx="24">
                  <c:v>188.71747294005576</c:v>
                </c:pt>
                <c:pt idx="25">
                  <c:v>195.45167071178926</c:v>
                </c:pt>
                <c:pt idx="26">
                  <c:v>213.72530889726897</c:v>
                </c:pt>
                <c:pt idx="27">
                  <c:v>231.61241219394441</c:v>
                </c:pt>
                <c:pt idx="28">
                  <c:v>249.04147696965194</c:v>
                </c:pt>
                <c:pt idx="29">
                  <c:v>265.9514810263762</c:v>
                </c:pt>
                <c:pt idx="30">
                  <c:v>282.29182798492451</c:v>
                </c:pt>
                <c:pt idx="31">
                  <c:v>298.01921630629107</c:v>
                </c:pt>
                <c:pt idx="32">
                  <c:v>310.95548639356804</c:v>
                </c:pt>
                <c:pt idx="33">
                  <c:v>322.24587609945144</c:v>
                </c:pt>
                <c:pt idx="34">
                  <c:v>333.3058507339959</c:v>
                </c:pt>
                <c:pt idx="35">
                  <c:v>335.39264380589447</c:v>
                </c:pt>
                <c:pt idx="36">
                  <c:v>335.99757877039218</c:v>
                </c:pt>
                <c:pt idx="37">
                  <c:v>335.55634515547251</c:v>
                </c:pt>
                <c:pt idx="38">
                  <c:v>334.08397506194541</c:v>
                </c:pt>
                <c:pt idx="39">
                  <c:v>331.63628429339798</c:v>
                </c:pt>
                <c:pt idx="40">
                  <c:v>326.29894157588097</c:v>
                </c:pt>
                <c:pt idx="41">
                  <c:v>319.46400808871346</c:v>
                </c:pt>
                <c:pt idx="42">
                  <c:v>311.63582453970992</c:v>
                </c:pt>
                <c:pt idx="43">
                  <c:v>310.54553980774153</c:v>
                </c:pt>
                <c:pt idx="44">
                  <c:v>310.30108619052652</c:v>
                </c:pt>
                <c:pt idx="45">
                  <c:v>309.61754752348901</c:v>
                </c:pt>
                <c:pt idx="46">
                  <c:v>308.4602799101458</c:v>
                </c:pt>
                <c:pt idx="47">
                  <c:v>306.79669169989427</c:v>
                </c:pt>
                <c:pt idx="48">
                  <c:v>304.44495809023181</c:v>
                </c:pt>
                <c:pt idx="49">
                  <c:v>301.62779826742604</c:v>
                </c:pt>
                <c:pt idx="50">
                  <c:v>298.21206279827646</c:v>
                </c:pt>
                <c:pt idx="51">
                  <c:v>294.17305916932378</c:v>
                </c:pt>
                <c:pt idx="52">
                  <c:v>289.48776348155525</c:v>
                </c:pt>
                <c:pt idx="53">
                  <c:v>284.13475397432092</c:v>
                </c:pt>
                <c:pt idx="54">
                  <c:v>277.77408420899059</c:v>
                </c:pt>
                <c:pt idx="55">
                  <c:v>270.57212303927042</c:v>
                </c:pt>
                <c:pt idx="56">
                  <c:v>262.6343968459974</c:v>
                </c:pt>
                <c:pt idx="57">
                  <c:v>253.94539202001508</c:v>
                </c:pt>
                <c:pt idx="58">
                  <c:v>244.49181862371188</c:v>
                </c:pt>
                <c:pt idx="59">
                  <c:v>234.2632413848464</c:v>
                </c:pt>
                <c:pt idx="60">
                  <c:v>223.25323401809428</c:v>
                </c:pt>
                <c:pt idx="61">
                  <c:v>211.46153994568792</c:v>
                </c:pt>
                <c:pt idx="62">
                  <c:v>198.89838086225649</c:v>
                </c:pt>
                <c:pt idx="63">
                  <c:v>185.69414730352437</c:v>
                </c:pt>
                <c:pt idx="64">
                  <c:v>171.69964587689887</c:v>
                </c:pt>
                <c:pt idx="65">
                  <c:v>157.32855078583358</c:v>
                </c:pt>
                <c:pt idx="66">
                  <c:v>142.8421049284147</c:v>
                </c:pt>
                <c:pt idx="67">
                  <c:v>128.23392599917693</c:v>
                </c:pt>
                <c:pt idx="68">
                  <c:v>113.70956861990319</c:v>
                </c:pt>
                <c:pt idx="69">
                  <c:v>98.825883315099261</c:v>
                </c:pt>
                <c:pt idx="70">
                  <c:v>83.75736510579371</c:v>
                </c:pt>
                <c:pt idx="71">
                  <c:v>68.471591187730155</c:v>
                </c:pt>
                <c:pt idx="72">
                  <c:v>52.927329354588153</c:v>
                </c:pt>
                <c:pt idx="73">
                  <c:v>37.075880948893243</c:v>
                </c:pt>
                <c:pt idx="74">
                  <c:v>19.396058755473192</c:v>
                </c:pt>
                <c:pt idx="75">
                  <c:v>9.5307575497470681E-3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28.473111151960392</c:v>
                </c:pt>
                <c:pt idx="27">
                  <c:v>56.946222303920784</c:v>
                </c:pt>
                <c:pt idx="28">
                  <c:v>85.419333455881173</c:v>
                </c:pt>
                <c:pt idx="29">
                  <c:v>113.89244460784157</c:v>
                </c:pt>
                <c:pt idx="30">
                  <c:v>142.36555575980196</c:v>
                </c:pt>
                <c:pt idx="31">
                  <c:v>170.83866691176235</c:v>
                </c:pt>
                <c:pt idx="32">
                  <c:v>199.31177806372273</c:v>
                </c:pt>
                <c:pt idx="33">
                  <c:v>227.78488921568311</c:v>
                </c:pt>
                <c:pt idx="34">
                  <c:v>256.25800036764349</c:v>
                </c:pt>
                <c:pt idx="35">
                  <c:v>284.73111151960387</c:v>
                </c:pt>
                <c:pt idx="36">
                  <c:v>313.20422267156425</c:v>
                </c:pt>
                <c:pt idx="37">
                  <c:v>341.67733382352463</c:v>
                </c:pt>
                <c:pt idx="38">
                  <c:v>370.15044497548502</c:v>
                </c:pt>
                <c:pt idx="39">
                  <c:v>398.6235561274454</c:v>
                </c:pt>
                <c:pt idx="40">
                  <c:v>427.09666727940578</c:v>
                </c:pt>
                <c:pt idx="41">
                  <c:v>455.56977843136616</c:v>
                </c:pt>
                <c:pt idx="42">
                  <c:v>484.04288958332654</c:v>
                </c:pt>
                <c:pt idx="43">
                  <c:v>512.51600073528698</c:v>
                </c:pt>
                <c:pt idx="44">
                  <c:v>540.98911188724742</c:v>
                </c:pt>
                <c:pt idx="45">
                  <c:v>569.46222303920786</c:v>
                </c:pt>
                <c:pt idx="46">
                  <c:v>597.93533419116829</c:v>
                </c:pt>
                <c:pt idx="47">
                  <c:v>626.40844534312873</c:v>
                </c:pt>
                <c:pt idx="48">
                  <c:v>654.88155649508917</c:v>
                </c:pt>
                <c:pt idx="49">
                  <c:v>683.35466764704961</c:v>
                </c:pt>
                <c:pt idx="50">
                  <c:v>711.82777879901005</c:v>
                </c:pt>
                <c:pt idx="51">
                  <c:v>740.30088995097049</c:v>
                </c:pt>
                <c:pt idx="52">
                  <c:v>768.77400110293092</c:v>
                </c:pt>
                <c:pt idx="53">
                  <c:v>797.24711225489136</c:v>
                </c:pt>
                <c:pt idx="54">
                  <c:v>825.7202234068518</c:v>
                </c:pt>
                <c:pt idx="55">
                  <c:v>854.19333455881224</c:v>
                </c:pt>
                <c:pt idx="56">
                  <c:v>882.66644571077268</c:v>
                </c:pt>
                <c:pt idx="57">
                  <c:v>911.13955686273312</c:v>
                </c:pt>
                <c:pt idx="58">
                  <c:v>939.61266801469355</c:v>
                </c:pt>
                <c:pt idx="59">
                  <c:v>968.08577916665399</c:v>
                </c:pt>
                <c:pt idx="60">
                  <c:v>996.55889031861443</c:v>
                </c:pt>
                <c:pt idx="61">
                  <c:v>1025.0320014705749</c:v>
                </c:pt>
                <c:pt idx="62">
                  <c:v>1053.5051126225353</c:v>
                </c:pt>
                <c:pt idx="63">
                  <c:v>1081.9782237744957</c:v>
                </c:pt>
                <c:pt idx="64">
                  <c:v>1110.4513349264562</c:v>
                </c:pt>
                <c:pt idx="65">
                  <c:v>1138.9244460784166</c:v>
                </c:pt>
                <c:pt idx="66">
                  <c:v>1167.3975572303771</c:v>
                </c:pt>
                <c:pt idx="67">
                  <c:v>1195.8706683823375</c:v>
                </c:pt>
                <c:pt idx="68">
                  <c:v>1224.3437795342979</c:v>
                </c:pt>
                <c:pt idx="69">
                  <c:v>1252.8168906862584</c:v>
                </c:pt>
                <c:pt idx="70">
                  <c:v>1281.2900018382188</c:v>
                </c:pt>
                <c:pt idx="71">
                  <c:v>1309.7631129901793</c:v>
                </c:pt>
                <c:pt idx="72">
                  <c:v>1338.2362241421397</c:v>
                </c:pt>
                <c:pt idx="73">
                  <c:v>1366.7093352941001</c:v>
                </c:pt>
                <c:pt idx="74">
                  <c:v>1395.1824464460606</c:v>
                </c:pt>
                <c:pt idx="75">
                  <c:v>1423.655557598021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1.1108006251423181E-2</c:v>
                </c:pt>
                <c:pt idx="1">
                  <c:v>11.191780123656581</c:v>
                </c:pt>
                <c:pt idx="2">
                  <c:v>21.973102606165124</c:v>
                </c:pt>
                <c:pt idx="3">
                  <c:v>32.449725567107514</c:v>
                </c:pt>
                <c:pt idx="4">
                  <c:v>42.266664727936828</c:v>
                </c:pt>
                <c:pt idx="5">
                  <c:v>51.665576194394276</c:v>
                </c:pt>
                <c:pt idx="6">
                  <c:v>61.068997162655897</c:v>
                </c:pt>
                <c:pt idx="7">
                  <c:v>70.461585443642733</c:v>
                </c:pt>
                <c:pt idx="8">
                  <c:v>79.826774531373516</c:v>
                </c:pt>
                <c:pt idx="9">
                  <c:v>89.147807125395687</c:v>
                </c:pt>
                <c:pt idx="10">
                  <c:v>98.408646031091379</c:v>
                </c:pt>
                <c:pt idx="11">
                  <c:v>107.59464078864815</c:v>
                </c:pt>
                <c:pt idx="12">
                  <c:v>116.69291536428769</c:v>
                </c:pt>
                <c:pt idx="13">
                  <c:v>125.69250947656644</c:v>
                </c:pt>
                <c:pt idx="14">
                  <c:v>133.52445682586969</c:v>
                </c:pt>
                <c:pt idx="15">
                  <c:v>141.21184326892151</c:v>
                </c:pt>
                <c:pt idx="16">
                  <c:v>148.77064466285279</c:v>
                </c:pt>
                <c:pt idx="17">
                  <c:v>156.44317054057851</c:v>
                </c:pt>
                <c:pt idx="18">
                  <c:v>164.10848745524797</c:v>
                </c:pt>
                <c:pt idx="19">
                  <c:v>171.76202039390745</c:v>
                </c:pt>
                <c:pt idx="20">
                  <c:v>179.39906385602288</c:v>
                </c:pt>
                <c:pt idx="21">
                  <c:v>187.0148252172626</c:v>
                </c:pt>
                <c:pt idx="22">
                  <c:v>194.60446796738924</c:v>
                </c:pt>
                <c:pt idx="23">
                  <c:v>202.16315358312673</c:v>
                </c:pt>
                <c:pt idx="24">
                  <c:v>209.68608104450641</c:v>
                </c:pt>
                <c:pt idx="25">
                  <c:v>217.16852301309919</c:v>
                </c:pt>
                <c:pt idx="26">
                  <c:v>237.47256544140996</c:v>
                </c:pt>
                <c:pt idx="27">
                  <c:v>257.34712465993823</c:v>
                </c:pt>
                <c:pt idx="28">
                  <c:v>276.71275218850212</c:v>
                </c:pt>
                <c:pt idx="29">
                  <c:v>295.50164558486244</c:v>
                </c:pt>
                <c:pt idx="30">
                  <c:v>313.65758664991614</c:v>
                </c:pt>
                <c:pt idx="31">
                  <c:v>331.13246256254558</c:v>
                </c:pt>
                <c:pt idx="32">
                  <c:v>345.50609599285337</c:v>
                </c:pt>
                <c:pt idx="33">
                  <c:v>358.05097344383489</c:v>
                </c:pt>
                <c:pt idx="34">
                  <c:v>370.33983414888434</c:v>
                </c:pt>
                <c:pt idx="35">
                  <c:v>386.78128525023067</c:v>
                </c:pt>
                <c:pt idx="36">
                  <c:v>404.23411567810217</c:v>
                </c:pt>
                <c:pt idx="37">
                  <c:v>421.82931826964449</c:v>
                </c:pt>
                <c:pt idx="38">
                  <c:v>439.23221708161861</c:v>
                </c:pt>
                <c:pt idx="39">
                  <c:v>456.04159983544895</c:v>
                </c:pt>
                <c:pt idx="40">
                  <c:v>466.0198415968718</c:v>
                </c:pt>
                <c:pt idx="41">
                  <c:v>472.61092081075367</c:v>
                </c:pt>
                <c:pt idx="42">
                  <c:v>477.48109531535658</c:v>
                </c:pt>
                <c:pt idx="43">
                  <c:v>477.76236893498691</c:v>
                </c:pt>
                <c:pt idx="44">
                  <c:v>477.38628644696388</c:v>
                </c:pt>
                <c:pt idx="45">
                  <c:v>476.33468849767542</c:v>
                </c:pt>
                <c:pt idx="46">
                  <c:v>474.55427678483966</c:v>
                </c:pt>
                <c:pt idx="47">
                  <c:v>471.99491030752961</c:v>
                </c:pt>
                <c:pt idx="48">
                  <c:v>468.37685860035657</c:v>
                </c:pt>
                <c:pt idx="49">
                  <c:v>464.04276656527082</c:v>
                </c:pt>
                <c:pt idx="50">
                  <c:v>458.78778892042527</c:v>
                </c:pt>
                <c:pt idx="51">
                  <c:v>452.57393718357497</c:v>
                </c:pt>
                <c:pt idx="52">
                  <c:v>445.36578997162343</c:v>
                </c:pt>
                <c:pt idx="53">
                  <c:v>437.13039072972452</c:v>
                </c:pt>
                <c:pt idx="54">
                  <c:v>427.34474493690863</c:v>
                </c:pt>
                <c:pt idx="55">
                  <c:v>416.26480467580058</c:v>
                </c:pt>
                <c:pt idx="56">
                  <c:v>404.05291822461135</c:v>
                </c:pt>
                <c:pt idx="57">
                  <c:v>390.68521849233088</c:v>
                </c:pt>
                <c:pt idx="58">
                  <c:v>376.14125942109519</c:v>
                </c:pt>
                <c:pt idx="59">
                  <c:v>360.40498674591754</c:v>
                </c:pt>
                <c:pt idx="60">
                  <c:v>343.46651387399118</c:v>
                </c:pt>
                <c:pt idx="61">
                  <c:v>325.32544607028905</c:v>
                </c:pt>
                <c:pt idx="62">
                  <c:v>305.99750901885614</c:v>
                </c:pt>
                <c:pt idx="63">
                  <c:v>285.68330354388365</c:v>
                </c:pt>
                <c:pt idx="64">
                  <c:v>264.15330134907515</c:v>
                </c:pt>
                <c:pt idx="65">
                  <c:v>242.04392428589782</c:v>
                </c:pt>
                <c:pt idx="66">
                  <c:v>219.75708450525337</c:v>
                </c:pt>
                <c:pt idx="67">
                  <c:v>197.2829630756568</c:v>
                </c:pt>
                <c:pt idx="68">
                  <c:v>174.93779787677414</c:v>
                </c:pt>
                <c:pt idx="69">
                  <c:v>152.03982048476811</c:v>
                </c:pt>
                <c:pt idx="70">
                  <c:v>128.85748477814417</c:v>
                </c:pt>
                <c:pt idx="71">
                  <c:v>105.34090951958484</c:v>
                </c:pt>
                <c:pt idx="72">
                  <c:v>81.426660545520235</c:v>
                </c:pt>
                <c:pt idx="73">
                  <c:v>57.039816844451138</c:v>
                </c:pt>
                <c:pt idx="74">
                  <c:v>29.840090393035677</c:v>
                </c:pt>
                <c:pt idx="75">
                  <c:v>1.4662703922687799E-2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31.636790168844879</c:v>
                </c:pt>
                <c:pt idx="27">
                  <c:v>63.273580337689758</c:v>
                </c:pt>
                <c:pt idx="28">
                  <c:v>94.910370506534633</c:v>
                </c:pt>
                <c:pt idx="29">
                  <c:v>126.54716067537952</c:v>
                </c:pt>
                <c:pt idx="30">
                  <c:v>158.1839508442244</c:v>
                </c:pt>
                <c:pt idx="31">
                  <c:v>189.82074101306927</c:v>
                </c:pt>
                <c:pt idx="32">
                  <c:v>221.45753118191413</c:v>
                </c:pt>
                <c:pt idx="33">
                  <c:v>253.094321350759</c:v>
                </c:pt>
                <c:pt idx="34">
                  <c:v>284.73111151960387</c:v>
                </c:pt>
                <c:pt idx="35">
                  <c:v>328.35742613369638</c:v>
                </c:pt>
                <c:pt idx="36">
                  <c:v>376.81173906555472</c:v>
                </c:pt>
                <c:pt idx="37">
                  <c:v>429.52403933291129</c:v>
                </c:pt>
                <c:pt idx="38">
                  <c:v>486.6501021792028</c:v>
                </c:pt>
                <c:pt idx="39">
                  <c:v>548.15752340183553</c:v>
                </c:pt>
                <c:pt idx="40">
                  <c:v>609.97905868418127</c:v>
                </c:pt>
                <c:pt idx="41">
                  <c:v>673.96403671930807</c:v>
                </c:pt>
                <c:pt idx="42">
                  <c:v>741.63915345492171</c:v>
                </c:pt>
                <c:pt idx="43">
                  <c:v>788.48615497736455</c:v>
                </c:pt>
                <c:pt idx="44">
                  <c:v>832.290941364996</c:v>
                </c:pt>
                <c:pt idx="45">
                  <c:v>876.09572775262745</c:v>
                </c:pt>
                <c:pt idx="46">
                  <c:v>919.90051414025891</c:v>
                </c:pt>
                <c:pt idx="47">
                  <c:v>963.70530052789036</c:v>
                </c:pt>
                <c:pt idx="48">
                  <c:v>1007.5100869155218</c:v>
                </c:pt>
                <c:pt idx="49">
                  <c:v>1051.3148733031533</c:v>
                </c:pt>
                <c:pt idx="50">
                  <c:v>1095.1196596907846</c:v>
                </c:pt>
                <c:pt idx="51">
                  <c:v>1138.9244460784162</c:v>
                </c:pt>
                <c:pt idx="52">
                  <c:v>1182.7292324660475</c:v>
                </c:pt>
                <c:pt idx="53">
                  <c:v>1226.5340188536791</c:v>
                </c:pt>
                <c:pt idx="54">
                  <c:v>1270.3388052413104</c:v>
                </c:pt>
                <c:pt idx="55">
                  <c:v>1314.1435916289417</c:v>
                </c:pt>
                <c:pt idx="56">
                  <c:v>1357.9483780165733</c:v>
                </c:pt>
                <c:pt idx="57">
                  <c:v>1401.7531644042047</c:v>
                </c:pt>
                <c:pt idx="58">
                  <c:v>1445.5579507918362</c:v>
                </c:pt>
                <c:pt idx="59">
                  <c:v>1489.3627371794676</c:v>
                </c:pt>
                <c:pt idx="60">
                  <c:v>1533.1675235670991</c:v>
                </c:pt>
                <c:pt idx="61">
                  <c:v>1576.9723099547305</c:v>
                </c:pt>
                <c:pt idx="62">
                  <c:v>1620.777096342362</c:v>
                </c:pt>
                <c:pt idx="63">
                  <c:v>1664.5818827299934</c:v>
                </c:pt>
                <c:pt idx="64">
                  <c:v>1708.3866691176249</c:v>
                </c:pt>
                <c:pt idx="65">
                  <c:v>1752.1914555052563</c:v>
                </c:pt>
                <c:pt idx="66">
                  <c:v>1795.9962418928876</c:v>
                </c:pt>
                <c:pt idx="67">
                  <c:v>1839.8010282805192</c:v>
                </c:pt>
                <c:pt idx="68">
                  <c:v>1883.6058146681505</c:v>
                </c:pt>
                <c:pt idx="69">
                  <c:v>1927.4106010557821</c:v>
                </c:pt>
                <c:pt idx="70">
                  <c:v>1971.2153874434134</c:v>
                </c:pt>
                <c:pt idx="71">
                  <c:v>2015.020173831045</c:v>
                </c:pt>
                <c:pt idx="72">
                  <c:v>2058.8249602186766</c:v>
                </c:pt>
                <c:pt idx="73">
                  <c:v>2102.6297466063079</c:v>
                </c:pt>
                <c:pt idx="74">
                  <c:v>2146.4345329939392</c:v>
                </c:pt>
                <c:pt idx="75">
                  <c:v>2190.2393193815706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14.142135623730951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195.45167071178761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1.4324541552923619E-12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157.32449638351721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(Chart only Accurate if</a:t>
            </a:r>
            <a:r>
              <a:rPr lang="en-US" baseline="0"/>
              <a:t> the Compare Macro has been run)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 (Whitney)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9.9972056262808643E-3</c:v>
                </c:pt>
                <c:pt idx="1">
                  <c:v>10.072602111290925</c:v>
                </c:pt>
                <c:pt idx="2">
                  <c:v>19.775792345548613</c:v>
                </c:pt>
                <c:pt idx="3">
                  <c:v>29.204753010396761</c:v>
                </c:pt>
                <c:pt idx="4">
                  <c:v>38.039998255143146</c:v>
                </c:pt>
                <c:pt idx="5">
                  <c:v>46.499018574954853</c:v>
                </c:pt>
                <c:pt idx="6">
                  <c:v>54.962097446390302</c:v>
                </c:pt>
                <c:pt idx="7">
                  <c:v>63.415426899278465</c:v>
                </c:pt>
                <c:pt idx="8">
                  <c:v>71.84409707823616</c:v>
                </c:pt>
                <c:pt idx="9">
                  <c:v>80.23302641285612</c:v>
                </c:pt>
                <c:pt idx="10">
                  <c:v>88.56778142798224</c:v>
                </c:pt>
                <c:pt idx="11">
                  <c:v>96.83517670978334</c:v>
                </c:pt>
                <c:pt idx="12">
                  <c:v>105.02362382785893</c:v>
                </c:pt>
                <c:pt idx="13">
                  <c:v>113.1232585289098</c:v>
                </c:pt>
                <c:pt idx="14">
                  <c:v>120.17201114328273</c:v>
                </c:pt>
                <c:pt idx="15">
                  <c:v>127.09065894202936</c:v>
                </c:pt>
                <c:pt idx="16">
                  <c:v>133.89358019656751</c:v>
                </c:pt>
                <c:pt idx="17">
                  <c:v>140.79885348652064</c:v>
                </c:pt>
                <c:pt idx="18">
                  <c:v>147.69763870972318</c:v>
                </c:pt>
                <c:pt idx="19">
                  <c:v>154.5858183545167</c:v>
                </c:pt>
                <c:pt idx="20">
                  <c:v>161.45915747042056</c:v>
                </c:pt>
                <c:pt idx="21">
                  <c:v>168.31334269553633</c:v>
                </c:pt>
                <c:pt idx="22">
                  <c:v>175.14402117065032</c:v>
                </c:pt>
                <c:pt idx="23">
                  <c:v>181.94683822481406</c:v>
                </c:pt>
                <c:pt idx="24">
                  <c:v>188.71747294005576</c:v>
                </c:pt>
                <c:pt idx="25">
                  <c:v>195.45167071178926</c:v>
                </c:pt>
                <c:pt idx="26">
                  <c:v>213.72530889726897</c:v>
                </c:pt>
                <c:pt idx="27">
                  <c:v>231.61241219394441</c:v>
                </c:pt>
                <c:pt idx="28">
                  <c:v>249.04147696965194</c:v>
                </c:pt>
                <c:pt idx="29">
                  <c:v>265.9514810263762</c:v>
                </c:pt>
                <c:pt idx="30">
                  <c:v>282.29182798492451</c:v>
                </c:pt>
                <c:pt idx="31">
                  <c:v>298.01921630629107</c:v>
                </c:pt>
                <c:pt idx="32">
                  <c:v>310.95548639356804</c:v>
                </c:pt>
                <c:pt idx="33">
                  <c:v>322.24587609945144</c:v>
                </c:pt>
                <c:pt idx="34">
                  <c:v>333.3058507339959</c:v>
                </c:pt>
                <c:pt idx="35">
                  <c:v>335.39264380589447</c:v>
                </c:pt>
                <c:pt idx="36">
                  <c:v>335.99757877039218</c:v>
                </c:pt>
                <c:pt idx="37">
                  <c:v>335.55634515547251</c:v>
                </c:pt>
                <c:pt idx="38">
                  <c:v>334.08397506194541</c:v>
                </c:pt>
                <c:pt idx="39">
                  <c:v>331.63628429339798</c:v>
                </c:pt>
                <c:pt idx="40">
                  <c:v>326.29894157588097</c:v>
                </c:pt>
                <c:pt idx="41">
                  <c:v>319.46400808871346</c:v>
                </c:pt>
                <c:pt idx="42">
                  <c:v>311.63582453970992</c:v>
                </c:pt>
                <c:pt idx="43">
                  <c:v>310.54553980774153</c:v>
                </c:pt>
                <c:pt idx="44">
                  <c:v>310.30108619052652</c:v>
                </c:pt>
                <c:pt idx="45">
                  <c:v>309.61754752348901</c:v>
                </c:pt>
                <c:pt idx="46">
                  <c:v>308.4602799101458</c:v>
                </c:pt>
                <c:pt idx="47">
                  <c:v>306.79669169989427</c:v>
                </c:pt>
                <c:pt idx="48">
                  <c:v>304.44495809023181</c:v>
                </c:pt>
                <c:pt idx="49">
                  <c:v>301.62779826742604</c:v>
                </c:pt>
                <c:pt idx="50">
                  <c:v>298.21206279827646</c:v>
                </c:pt>
                <c:pt idx="51">
                  <c:v>294.17305916932378</c:v>
                </c:pt>
                <c:pt idx="52">
                  <c:v>289.48776348155525</c:v>
                </c:pt>
                <c:pt idx="53">
                  <c:v>284.13475397432092</c:v>
                </c:pt>
                <c:pt idx="54">
                  <c:v>277.77408420899059</c:v>
                </c:pt>
                <c:pt idx="55">
                  <c:v>270.57212303927042</c:v>
                </c:pt>
                <c:pt idx="56">
                  <c:v>262.6343968459974</c:v>
                </c:pt>
                <c:pt idx="57">
                  <c:v>253.94539202001508</c:v>
                </c:pt>
                <c:pt idx="58">
                  <c:v>244.49181862371188</c:v>
                </c:pt>
                <c:pt idx="59">
                  <c:v>234.2632413848464</c:v>
                </c:pt>
                <c:pt idx="60">
                  <c:v>223.25323401809428</c:v>
                </c:pt>
                <c:pt idx="61">
                  <c:v>211.46153994568792</c:v>
                </c:pt>
                <c:pt idx="62">
                  <c:v>198.89838086225649</c:v>
                </c:pt>
                <c:pt idx="63">
                  <c:v>185.69414730352437</c:v>
                </c:pt>
                <c:pt idx="64">
                  <c:v>171.69964587689887</c:v>
                </c:pt>
                <c:pt idx="65">
                  <c:v>157.32855078583358</c:v>
                </c:pt>
                <c:pt idx="66">
                  <c:v>142.8421049284147</c:v>
                </c:pt>
                <c:pt idx="67">
                  <c:v>128.23392599917693</c:v>
                </c:pt>
                <c:pt idx="68">
                  <c:v>113.70956861990319</c:v>
                </c:pt>
                <c:pt idx="69">
                  <c:v>98.825883315099261</c:v>
                </c:pt>
                <c:pt idx="70">
                  <c:v>83.75736510579371</c:v>
                </c:pt>
                <c:pt idx="71">
                  <c:v>68.471591187730155</c:v>
                </c:pt>
                <c:pt idx="72">
                  <c:v>52.927329354588153</c:v>
                </c:pt>
                <c:pt idx="73">
                  <c:v>37.075880948893243</c:v>
                </c:pt>
                <c:pt idx="74">
                  <c:v>19.396058755473192</c:v>
                </c:pt>
                <c:pt idx="75">
                  <c:v>9.5307575497470681E-3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28.473111151960392</c:v>
                </c:pt>
                <c:pt idx="27">
                  <c:v>56.946222303920784</c:v>
                </c:pt>
                <c:pt idx="28">
                  <c:v>85.419333455881173</c:v>
                </c:pt>
                <c:pt idx="29">
                  <c:v>113.89244460784157</c:v>
                </c:pt>
                <c:pt idx="30">
                  <c:v>142.36555575980196</c:v>
                </c:pt>
                <c:pt idx="31">
                  <c:v>170.83866691176235</c:v>
                </c:pt>
                <c:pt idx="32">
                  <c:v>199.31177806372273</c:v>
                </c:pt>
                <c:pt idx="33">
                  <c:v>227.78488921568311</c:v>
                </c:pt>
                <c:pt idx="34">
                  <c:v>256.25800036764349</c:v>
                </c:pt>
                <c:pt idx="35">
                  <c:v>284.73111151960387</c:v>
                </c:pt>
                <c:pt idx="36">
                  <c:v>313.20422267156425</c:v>
                </c:pt>
                <c:pt idx="37">
                  <c:v>341.67733382352463</c:v>
                </c:pt>
                <c:pt idx="38">
                  <c:v>370.15044497548502</c:v>
                </c:pt>
                <c:pt idx="39">
                  <c:v>398.6235561274454</c:v>
                </c:pt>
                <c:pt idx="40">
                  <c:v>427.09666727940578</c:v>
                </c:pt>
                <c:pt idx="41">
                  <c:v>455.56977843136616</c:v>
                </c:pt>
                <c:pt idx="42">
                  <c:v>484.04288958332654</c:v>
                </c:pt>
                <c:pt idx="43">
                  <c:v>512.51600073528698</c:v>
                </c:pt>
                <c:pt idx="44">
                  <c:v>540.98911188724742</c:v>
                </c:pt>
                <c:pt idx="45">
                  <c:v>569.46222303920786</c:v>
                </c:pt>
                <c:pt idx="46">
                  <c:v>597.93533419116829</c:v>
                </c:pt>
                <c:pt idx="47">
                  <c:v>626.40844534312873</c:v>
                </c:pt>
                <c:pt idx="48">
                  <c:v>654.88155649508917</c:v>
                </c:pt>
                <c:pt idx="49">
                  <c:v>683.35466764704961</c:v>
                </c:pt>
                <c:pt idx="50">
                  <c:v>711.82777879901005</c:v>
                </c:pt>
                <c:pt idx="51">
                  <c:v>740.30088995097049</c:v>
                </c:pt>
                <c:pt idx="52">
                  <c:v>768.77400110293092</c:v>
                </c:pt>
                <c:pt idx="53">
                  <c:v>797.24711225489136</c:v>
                </c:pt>
                <c:pt idx="54">
                  <c:v>825.7202234068518</c:v>
                </c:pt>
                <c:pt idx="55">
                  <c:v>854.19333455881224</c:v>
                </c:pt>
                <c:pt idx="56">
                  <c:v>882.66644571077268</c:v>
                </c:pt>
                <c:pt idx="57">
                  <c:v>911.13955686273312</c:v>
                </c:pt>
                <c:pt idx="58">
                  <c:v>939.61266801469355</c:v>
                </c:pt>
                <c:pt idx="59">
                  <c:v>968.08577916665399</c:v>
                </c:pt>
                <c:pt idx="60">
                  <c:v>996.55889031861443</c:v>
                </c:pt>
                <c:pt idx="61">
                  <c:v>1025.0320014705749</c:v>
                </c:pt>
                <c:pt idx="62">
                  <c:v>1053.5051126225353</c:v>
                </c:pt>
                <c:pt idx="63">
                  <c:v>1081.9782237744957</c:v>
                </c:pt>
                <c:pt idx="64">
                  <c:v>1110.4513349264562</c:v>
                </c:pt>
                <c:pt idx="65">
                  <c:v>1138.9244460784166</c:v>
                </c:pt>
                <c:pt idx="66">
                  <c:v>1167.3975572303771</c:v>
                </c:pt>
                <c:pt idx="67">
                  <c:v>1195.8706683823375</c:v>
                </c:pt>
                <c:pt idx="68">
                  <c:v>1224.3437795342979</c:v>
                </c:pt>
                <c:pt idx="69">
                  <c:v>1252.8168906862584</c:v>
                </c:pt>
                <c:pt idx="70">
                  <c:v>1281.2900018382188</c:v>
                </c:pt>
                <c:pt idx="71">
                  <c:v>1309.7631129901793</c:v>
                </c:pt>
                <c:pt idx="72">
                  <c:v>1338.2362241421397</c:v>
                </c:pt>
                <c:pt idx="73">
                  <c:v>1366.7093352941001</c:v>
                </c:pt>
                <c:pt idx="74">
                  <c:v>1395.1824464460606</c:v>
                </c:pt>
                <c:pt idx="75">
                  <c:v>1423.655557598021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0-444F-AC6A-F5609F267C14}"/>
            </c:ext>
          </c:extLst>
        </c:ser>
        <c:ser>
          <c:idx val="1"/>
          <c:order val="1"/>
          <c:tx>
            <c:v>P_M_Nominal (Whitney)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1.1108006251423181E-2</c:v>
                </c:pt>
                <c:pt idx="1">
                  <c:v>11.191780123656581</c:v>
                </c:pt>
                <c:pt idx="2">
                  <c:v>21.973102606165124</c:v>
                </c:pt>
                <c:pt idx="3">
                  <c:v>32.449725567107514</c:v>
                </c:pt>
                <c:pt idx="4">
                  <c:v>42.266664727936828</c:v>
                </c:pt>
                <c:pt idx="5">
                  <c:v>51.665576194394276</c:v>
                </c:pt>
                <c:pt idx="6">
                  <c:v>61.068997162655897</c:v>
                </c:pt>
                <c:pt idx="7">
                  <c:v>70.461585443642733</c:v>
                </c:pt>
                <c:pt idx="8">
                  <c:v>79.826774531373516</c:v>
                </c:pt>
                <c:pt idx="9">
                  <c:v>89.147807125395687</c:v>
                </c:pt>
                <c:pt idx="10">
                  <c:v>98.408646031091379</c:v>
                </c:pt>
                <c:pt idx="11">
                  <c:v>107.59464078864815</c:v>
                </c:pt>
                <c:pt idx="12">
                  <c:v>116.69291536428769</c:v>
                </c:pt>
                <c:pt idx="13">
                  <c:v>125.69250947656644</c:v>
                </c:pt>
                <c:pt idx="14">
                  <c:v>133.52445682586969</c:v>
                </c:pt>
                <c:pt idx="15">
                  <c:v>141.21184326892151</c:v>
                </c:pt>
                <c:pt idx="16">
                  <c:v>148.77064466285279</c:v>
                </c:pt>
                <c:pt idx="17">
                  <c:v>156.44317054057851</c:v>
                </c:pt>
                <c:pt idx="18">
                  <c:v>164.10848745524797</c:v>
                </c:pt>
                <c:pt idx="19">
                  <c:v>171.76202039390745</c:v>
                </c:pt>
                <c:pt idx="20">
                  <c:v>179.39906385602288</c:v>
                </c:pt>
                <c:pt idx="21">
                  <c:v>187.0148252172626</c:v>
                </c:pt>
                <c:pt idx="22">
                  <c:v>194.60446796738924</c:v>
                </c:pt>
                <c:pt idx="23">
                  <c:v>202.16315358312673</c:v>
                </c:pt>
                <c:pt idx="24">
                  <c:v>209.68608104450641</c:v>
                </c:pt>
                <c:pt idx="25">
                  <c:v>217.16852301309919</c:v>
                </c:pt>
                <c:pt idx="26">
                  <c:v>237.47256544140996</c:v>
                </c:pt>
                <c:pt idx="27">
                  <c:v>257.34712465993823</c:v>
                </c:pt>
                <c:pt idx="28">
                  <c:v>276.71275218850212</c:v>
                </c:pt>
                <c:pt idx="29">
                  <c:v>295.50164558486244</c:v>
                </c:pt>
                <c:pt idx="30">
                  <c:v>313.65758664991614</c:v>
                </c:pt>
                <c:pt idx="31">
                  <c:v>331.13246256254558</c:v>
                </c:pt>
                <c:pt idx="32">
                  <c:v>345.50609599285337</c:v>
                </c:pt>
                <c:pt idx="33">
                  <c:v>358.05097344383489</c:v>
                </c:pt>
                <c:pt idx="34">
                  <c:v>370.33983414888434</c:v>
                </c:pt>
                <c:pt idx="35">
                  <c:v>386.78128525023067</c:v>
                </c:pt>
                <c:pt idx="36">
                  <c:v>404.23411567810217</c:v>
                </c:pt>
                <c:pt idx="37">
                  <c:v>421.82931826964449</c:v>
                </c:pt>
                <c:pt idx="38">
                  <c:v>439.23221708161861</c:v>
                </c:pt>
                <c:pt idx="39">
                  <c:v>456.04159983544895</c:v>
                </c:pt>
                <c:pt idx="40">
                  <c:v>466.0198415968718</c:v>
                </c:pt>
                <c:pt idx="41">
                  <c:v>472.61092081075367</c:v>
                </c:pt>
                <c:pt idx="42">
                  <c:v>477.48109531535658</c:v>
                </c:pt>
                <c:pt idx="43">
                  <c:v>477.76236893498691</c:v>
                </c:pt>
                <c:pt idx="44">
                  <c:v>477.38628644696388</c:v>
                </c:pt>
                <c:pt idx="45">
                  <c:v>476.33468849767542</c:v>
                </c:pt>
                <c:pt idx="46">
                  <c:v>474.55427678483966</c:v>
                </c:pt>
                <c:pt idx="47">
                  <c:v>471.99491030752961</c:v>
                </c:pt>
                <c:pt idx="48">
                  <c:v>468.37685860035657</c:v>
                </c:pt>
                <c:pt idx="49">
                  <c:v>464.04276656527082</c:v>
                </c:pt>
                <c:pt idx="50">
                  <c:v>458.78778892042527</c:v>
                </c:pt>
                <c:pt idx="51">
                  <c:v>452.57393718357497</c:v>
                </c:pt>
                <c:pt idx="52">
                  <c:v>445.36578997162343</c:v>
                </c:pt>
                <c:pt idx="53">
                  <c:v>437.13039072972452</c:v>
                </c:pt>
                <c:pt idx="54">
                  <c:v>427.34474493690863</c:v>
                </c:pt>
                <c:pt idx="55">
                  <c:v>416.26480467580058</c:v>
                </c:pt>
                <c:pt idx="56">
                  <c:v>404.05291822461135</c:v>
                </c:pt>
                <c:pt idx="57">
                  <c:v>390.68521849233088</c:v>
                </c:pt>
                <c:pt idx="58">
                  <c:v>376.14125942109519</c:v>
                </c:pt>
                <c:pt idx="59">
                  <c:v>360.40498674591754</c:v>
                </c:pt>
                <c:pt idx="60">
                  <c:v>343.46651387399118</c:v>
                </c:pt>
                <c:pt idx="61">
                  <c:v>325.32544607028905</c:v>
                </c:pt>
                <c:pt idx="62">
                  <c:v>305.99750901885614</c:v>
                </c:pt>
                <c:pt idx="63">
                  <c:v>285.68330354388365</c:v>
                </c:pt>
                <c:pt idx="64">
                  <c:v>264.15330134907515</c:v>
                </c:pt>
                <c:pt idx="65">
                  <c:v>242.04392428589782</c:v>
                </c:pt>
                <c:pt idx="66">
                  <c:v>219.75708450525337</c:v>
                </c:pt>
                <c:pt idx="67">
                  <c:v>197.2829630756568</c:v>
                </c:pt>
                <c:pt idx="68">
                  <c:v>174.93779787677414</c:v>
                </c:pt>
                <c:pt idx="69">
                  <c:v>152.03982048476811</c:v>
                </c:pt>
                <c:pt idx="70">
                  <c:v>128.85748477814417</c:v>
                </c:pt>
                <c:pt idx="71">
                  <c:v>105.34090951958484</c:v>
                </c:pt>
                <c:pt idx="72">
                  <c:v>81.426660545520235</c:v>
                </c:pt>
                <c:pt idx="73">
                  <c:v>57.039816844451138</c:v>
                </c:pt>
                <c:pt idx="74">
                  <c:v>29.840090393035677</c:v>
                </c:pt>
                <c:pt idx="75">
                  <c:v>1.4662703922687799E-2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31.636790168844879</c:v>
                </c:pt>
                <c:pt idx="27">
                  <c:v>63.273580337689758</c:v>
                </c:pt>
                <c:pt idx="28">
                  <c:v>94.910370506534633</c:v>
                </c:pt>
                <c:pt idx="29">
                  <c:v>126.54716067537952</c:v>
                </c:pt>
                <c:pt idx="30">
                  <c:v>158.1839508442244</c:v>
                </c:pt>
                <c:pt idx="31">
                  <c:v>189.82074101306927</c:v>
                </c:pt>
                <c:pt idx="32">
                  <c:v>221.45753118191413</c:v>
                </c:pt>
                <c:pt idx="33">
                  <c:v>253.094321350759</c:v>
                </c:pt>
                <c:pt idx="34">
                  <c:v>284.73111151960387</c:v>
                </c:pt>
                <c:pt idx="35">
                  <c:v>328.35742613369638</c:v>
                </c:pt>
                <c:pt idx="36">
                  <c:v>376.81173906555472</c:v>
                </c:pt>
                <c:pt idx="37">
                  <c:v>429.52403933291129</c:v>
                </c:pt>
                <c:pt idx="38">
                  <c:v>486.6501021792028</c:v>
                </c:pt>
                <c:pt idx="39">
                  <c:v>548.15752340183553</c:v>
                </c:pt>
                <c:pt idx="40">
                  <c:v>609.97905868418127</c:v>
                </c:pt>
                <c:pt idx="41">
                  <c:v>673.96403671930807</c:v>
                </c:pt>
                <c:pt idx="42">
                  <c:v>741.63915345492171</c:v>
                </c:pt>
                <c:pt idx="43">
                  <c:v>788.48615497736455</c:v>
                </c:pt>
                <c:pt idx="44">
                  <c:v>832.290941364996</c:v>
                </c:pt>
                <c:pt idx="45">
                  <c:v>876.09572775262745</c:v>
                </c:pt>
                <c:pt idx="46">
                  <c:v>919.90051414025891</c:v>
                </c:pt>
                <c:pt idx="47">
                  <c:v>963.70530052789036</c:v>
                </c:pt>
                <c:pt idx="48">
                  <c:v>1007.5100869155218</c:v>
                </c:pt>
                <c:pt idx="49">
                  <c:v>1051.3148733031533</c:v>
                </c:pt>
                <c:pt idx="50">
                  <c:v>1095.1196596907846</c:v>
                </c:pt>
                <c:pt idx="51">
                  <c:v>1138.9244460784162</c:v>
                </c:pt>
                <c:pt idx="52">
                  <c:v>1182.7292324660475</c:v>
                </c:pt>
                <c:pt idx="53">
                  <c:v>1226.5340188536791</c:v>
                </c:pt>
                <c:pt idx="54">
                  <c:v>1270.3388052413104</c:v>
                </c:pt>
                <c:pt idx="55">
                  <c:v>1314.1435916289417</c:v>
                </c:pt>
                <c:pt idx="56">
                  <c:v>1357.9483780165733</c:v>
                </c:pt>
                <c:pt idx="57">
                  <c:v>1401.7531644042047</c:v>
                </c:pt>
                <c:pt idx="58">
                  <c:v>1445.5579507918362</c:v>
                </c:pt>
                <c:pt idx="59">
                  <c:v>1489.3627371794676</c:v>
                </c:pt>
                <c:pt idx="60">
                  <c:v>1533.1675235670991</c:v>
                </c:pt>
                <c:pt idx="61">
                  <c:v>1576.9723099547305</c:v>
                </c:pt>
                <c:pt idx="62">
                  <c:v>1620.777096342362</c:v>
                </c:pt>
                <c:pt idx="63">
                  <c:v>1664.5818827299934</c:v>
                </c:pt>
                <c:pt idx="64">
                  <c:v>1708.3866691176249</c:v>
                </c:pt>
                <c:pt idx="65">
                  <c:v>1752.1914555052563</c:v>
                </c:pt>
                <c:pt idx="66">
                  <c:v>1795.9962418928876</c:v>
                </c:pt>
                <c:pt idx="67">
                  <c:v>1839.8010282805192</c:v>
                </c:pt>
                <c:pt idx="68">
                  <c:v>1883.6058146681505</c:v>
                </c:pt>
                <c:pt idx="69">
                  <c:v>1927.4106010557821</c:v>
                </c:pt>
                <c:pt idx="70">
                  <c:v>1971.2153874434134</c:v>
                </c:pt>
                <c:pt idx="71">
                  <c:v>2015.020173831045</c:v>
                </c:pt>
                <c:pt idx="72">
                  <c:v>2058.8249602186766</c:v>
                </c:pt>
                <c:pt idx="73">
                  <c:v>2102.6297466063079</c:v>
                </c:pt>
                <c:pt idx="74">
                  <c:v>2146.4345329939392</c:v>
                </c:pt>
                <c:pt idx="75">
                  <c:v>2190.2393193815706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0-444F-AC6A-F5609F267C14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14.142135623730951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0-444F-AC6A-F5609F267C14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195.45167071178761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1.4324541552923619E-12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0-444F-AC6A-F5609F267C14}"/>
            </c:ext>
          </c:extLst>
        </c:ser>
        <c:ser>
          <c:idx val="4"/>
          <c:order val="4"/>
          <c:tx>
            <c:v>min_e_line (Whitney)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157.32449638351721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0-444F-AC6A-F5609F267C14}"/>
            </c:ext>
          </c:extLst>
        </c:ser>
        <c:ser>
          <c:idx val="5"/>
          <c:order val="5"/>
          <c:tx>
            <c:v>P_M (PCA)</c:v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circle_section!$BI$2:$BI$102</c:f>
              <c:numCache>
                <c:formatCode>General</c:formatCode>
                <c:ptCount val="101"/>
                <c:pt idx="0">
                  <c:v>1.3912420917062849</c:v>
                </c:pt>
                <c:pt idx="1">
                  <c:v>12.999241842431653</c:v>
                </c:pt>
                <c:pt idx="2">
                  <c:v>25.965885776892659</c:v>
                </c:pt>
                <c:pt idx="3">
                  <c:v>38.819363254776228</c:v>
                </c:pt>
                <c:pt idx="4">
                  <c:v>51.554317761998426</c:v>
                </c:pt>
                <c:pt idx="5">
                  <c:v>64.165400063716405</c:v>
                </c:pt>
                <c:pt idx="6">
                  <c:v>76.647283074477414</c:v>
                </c:pt>
                <c:pt idx="7">
                  <c:v>88.994676524703252</c:v>
                </c:pt>
                <c:pt idx="8">
                  <c:v>101.20234127754333</c:v>
                </c:pt>
                <c:pt idx="9">
                  <c:v>113.26510315491016</c:v>
                </c:pt>
                <c:pt idx="10">
                  <c:v>125.17786614133145</c:v>
                </c:pt>
                <c:pt idx="11">
                  <c:v>136.93562484858828</c:v>
                </c:pt>
                <c:pt idx="12">
                  <c:v>148.53347613448514</c:v>
                </c:pt>
                <c:pt idx="13">
                  <c:v>159.96662978828664</c:v>
                </c:pt>
                <c:pt idx="14">
                  <c:v>171.23041820921597</c:v>
                </c:pt>
                <c:pt idx="15">
                  <c:v>182.32030502488317</c:v>
                </c:pt>
                <c:pt idx="16">
                  <c:v>193.23189261031439</c:v>
                </c:pt>
                <c:pt idx="17">
                  <c:v>204.16703788181582</c:v>
                </c:pt>
                <c:pt idx="18">
                  <c:v>214.69618862563769</c:v>
                </c:pt>
                <c:pt idx="19">
                  <c:v>223.43979991849756</c:v>
                </c:pt>
                <c:pt idx="20">
                  <c:v>231.8976446279637</c:v>
                </c:pt>
                <c:pt idx="21">
                  <c:v>240.25258495680109</c:v>
                </c:pt>
                <c:pt idx="22">
                  <c:v>248.50045047495624</c:v>
                </c:pt>
                <c:pt idx="23">
                  <c:v>256.63710142093572</c:v>
                </c:pt>
                <c:pt idx="24">
                  <c:v>264.6584353836115</c:v>
                </c:pt>
                <c:pt idx="25">
                  <c:v>270.23707516290597</c:v>
                </c:pt>
                <c:pt idx="26">
                  <c:v>274.95337042599192</c:v>
                </c:pt>
                <c:pt idx="27">
                  <c:v>279.47369016676828</c:v>
                </c:pt>
                <c:pt idx="28">
                  <c:v>283.78300315563411</c:v>
                </c:pt>
                <c:pt idx="29">
                  <c:v>287.86501016731501</c:v>
                </c:pt>
                <c:pt idx="30">
                  <c:v>291.70205068750306</c:v>
                </c:pt>
                <c:pt idx="31">
                  <c:v>295.12018758065966</c:v>
                </c:pt>
                <c:pt idx="32">
                  <c:v>298.22358539189219</c:v>
                </c:pt>
                <c:pt idx="33">
                  <c:v>301.01414703183087</c:v>
                </c:pt>
                <c:pt idx="34">
                  <c:v>303.46716141688927</c:v>
                </c:pt>
                <c:pt idx="35">
                  <c:v>305.55621068229431</c:v>
                </c:pt>
                <c:pt idx="36">
                  <c:v>307.25300408335124</c:v>
                </c:pt>
                <c:pt idx="37">
                  <c:v>308.52733609014501</c:v>
                </c:pt>
                <c:pt idx="38">
                  <c:v>307.84025475201946</c:v>
                </c:pt>
                <c:pt idx="39">
                  <c:v>306.62604480791487</c:v>
                </c:pt>
                <c:pt idx="40">
                  <c:v>305.11311199275679</c:v>
                </c:pt>
                <c:pt idx="41">
                  <c:v>303.27402695957846</c:v>
                </c:pt>
                <c:pt idx="42">
                  <c:v>301.0790765737126</c:v>
                </c:pt>
                <c:pt idx="43">
                  <c:v>298.39550071290796</c:v>
                </c:pt>
                <c:pt idx="44">
                  <c:v>299.22092611405441</c:v>
                </c:pt>
                <c:pt idx="45">
                  <c:v>299.89149408217997</c:v>
                </c:pt>
                <c:pt idx="46">
                  <c:v>300.40176886994016</c:v>
                </c:pt>
                <c:pt idx="47">
                  <c:v>300.74640286940183</c:v>
                </c:pt>
                <c:pt idx="48">
                  <c:v>300.9201403165593</c:v>
                </c:pt>
                <c:pt idx="49">
                  <c:v>300.91782038457836</c:v>
                </c:pt>
                <c:pt idx="50">
                  <c:v>300.73437969446735</c:v>
                </c:pt>
                <c:pt idx="51">
                  <c:v>300.36485427777694</c:v>
                </c:pt>
                <c:pt idx="52">
                  <c:v>299.80438103144701</c:v>
                </c:pt>
                <c:pt idx="53">
                  <c:v>298.96192775702508</c:v>
                </c:pt>
                <c:pt idx="54">
                  <c:v>297.97958302643292</c:v>
                </c:pt>
                <c:pt idx="55">
                  <c:v>296.79003585859954</c:v>
                </c:pt>
                <c:pt idx="56">
                  <c:v>295.38891526828979</c:v>
                </c:pt>
                <c:pt idx="57">
                  <c:v>293.77195159912901</c:v>
                </c:pt>
                <c:pt idx="58">
                  <c:v>291.93497587901447</c:v>
                </c:pt>
                <c:pt idx="59">
                  <c:v>289.87391916072016</c:v>
                </c:pt>
                <c:pt idx="60">
                  <c:v>287.58481194878789</c:v>
                </c:pt>
                <c:pt idx="61">
                  <c:v>285.06378382985753</c:v>
                </c:pt>
                <c:pt idx="62">
                  <c:v>282.30706344514141</c:v>
                </c:pt>
                <c:pt idx="63">
                  <c:v>279.1623681931224</c:v>
                </c:pt>
                <c:pt idx="64">
                  <c:v>275.66687891803758</c:v>
                </c:pt>
                <c:pt idx="65">
                  <c:v>271.91994105785204</c:v>
                </c:pt>
                <c:pt idx="66">
                  <c:v>267.91798348267361</c:v>
                </c:pt>
                <c:pt idx="67">
                  <c:v>263.65751587247451</c:v>
                </c:pt>
                <c:pt idx="68">
                  <c:v>259.13530465070329</c:v>
                </c:pt>
                <c:pt idx="69">
                  <c:v>254.34824422386936</c:v>
                </c:pt>
                <c:pt idx="70">
                  <c:v>249.29336918988358</c:v>
                </c:pt>
                <c:pt idx="71">
                  <c:v>243.96787173164262</c:v>
                </c:pt>
                <c:pt idx="72">
                  <c:v>238.36912480691177</c:v>
                </c:pt>
                <c:pt idx="73">
                  <c:v>232.49471235796693</c:v>
                </c:pt>
                <c:pt idx="74">
                  <c:v>226.34246736241749</c:v>
                </c:pt>
                <c:pt idx="75">
                  <c:v>219.91051672972412</c:v>
                </c:pt>
                <c:pt idx="76">
                  <c:v>213.19732591329043</c:v>
                </c:pt>
                <c:pt idx="77">
                  <c:v>206.20171611386857</c:v>
                </c:pt>
                <c:pt idx="78">
                  <c:v>198.92275725091099</c:v>
                </c:pt>
                <c:pt idx="79">
                  <c:v>191.49633977347003</c:v>
                </c:pt>
                <c:pt idx="80">
                  <c:v>183.61951766161414</c:v>
                </c:pt>
                <c:pt idx="81">
                  <c:v>175.39627932547106</c:v>
                </c:pt>
                <c:pt idx="82">
                  <c:v>166.99144712337434</c:v>
                </c:pt>
                <c:pt idx="83">
                  <c:v>158.54559251359643</c:v>
                </c:pt>
                <c:pt idx="84">
                  <c:v>150.05604042895476</c:v>
                </c:pt>
                <c:pt idx="85">
                  <c:v>141.51981732881225</c:v>
                </c:pt>
                <c:pt idx="86">
                  <c:v>133.14178203428159</c:v>
                </c:pt>
                <c:pt idx="87">
                  <c:v>124.51400654629474</c:v>
                </c:pt>
                <c:pt idx="88">
                  <c:v>115.82771740137352</c:v>
                </c:pt>
                <c:pt idx="89">
                  <c:v>107.0780993940641</c:v>
                </c:pt>
                <c:pt idx="90">
                  <c:v>98.259686101552219</c:v>
                </c:pt>
                <c:pt idx="91">
                  <c:v>89.366255515294924</c:v>
                </c:pt>
                <c:pt idx="92">
                  <c:v>80.39072320471918</c:v>
                </c:pt>
                <c:pt idx="93">
                  <c:v>71.325058560300022</c:v>
                </c:pt>
                <c:pt idx="94">
                  <c:v>62.160292808380611</c:v>
                </c:pt>
                <c:pt idx="95">
                  <c:v>52.886801532999542</c:v>
                </c:pt>
                <c:pt idx="96">
                  <c:v>43.495365575882602</c:v>
                </c:pt>
                <c:pt idx="97">
                  <c:v>33.507899282978457</c:v>
                </c:pt>
                <c:pt idx="98">
                  <c:v>22.835270401025149</c:v>
                </c:pt>
                <c:pt idx="99">
                  <c:v>11.795790237635613</c:v>
                </c:pt>
                <c:pt idx="100">
                  <c:v>9.9148420662837165E-3</c:v>
                </c:pt>
              </c:numCache>
            </c:numRef>
          </c:xVal>
          <c:yVal>
            <c:numRef>
              <c:f>circle_section!$BF$2:$BF$102</c:f>
              <c:numCache>
                <c:formatCode>General</c:formatCode>
                <c:ptCount val="101"/>
                <c:pt idx="0">
                  <c:v>-259.19</c:v>
                </c:pt>
                <c:pt idx="1">
                  <c:v>-242.3615444240198</c:v>
                </c:pt>
                <c:pt idx="2">
                  <c:v>-225.5330888480396</c:v>
                </c:pt>
                <c:pt idx="3">
                  <c:v>-208.7046332720594</c:v>
                </c:pt>
                <c:pt idx="4">
                  <c:v>-191.8761776960792</c:v>
                </c:pt>
                <c:pt idx="5">
                  <c:v>-175.047722120099</c:v>
                </c:pt>
                <c:pt idx="6">
                  <c:v>-158.2192665441188</c:v>
                </c:pt>
                <c:pt idx="7">
                  <c:v>-141.3908109681386</c:v>
                </c:pt>
                <c:pt idx="8">
                  <c:v>-124.56235539215839</c:v>
                </c:pt>
                <c:pt idx="9">
                  <c:v>-107.73389981617819</c:v>
                </c:pt>
                <c:pt idx="10">
                  <c:v>-90.905444240197994</c:v>
                </c:pt>
                <c:pt idx="11">
                  <c:v>-74.076988664217794</c:v>
                </c:pt>
                <c:pt idx="12">
                  <c:v>-57.248533088237593</c:v>
                </c:pt>
                <c:pt idx="13">
                  <c:v>-40.420077512257393</c:v>
                </c:pt>
                <c:pt idx="14">
                  <c:v>-23.591621936277196</c:v>
                </c:pt>
                <c:pt idx="15">
                  <c:v>-6.7631663602969994</c:v>
                </c:pt>
                <c:pt idx="16">
                  <c:v>10.065289215683197</c:v>
                </c:pt>
                <c:pt idx="17">
                  <c:v>26.893744791663394</c:v>
                </c:pt>
                <c:pt idx="18">
                  <c:v>43.722200367643595</c:v>
                </c:pt>
                <c:pt idx="19">
                  <c:v>60.550655943623795</c:v>
                </c:pt>
                <c:pt idx="20">
                  <c:v>77.379111519603995</c:v>
                </c:pt>
                <c:pt idx="21">
                  <c:v>94.207567095584196</c:v>
                </c:pt>
                <c:pt idx="22">
                  <c:v>111.0360226715644</c:v>
                </c:pt>
                <c:pt idx="23">
                  <c:v>127.8644782475446</c:v>
                </c:pt>
                <c:pt idx="24">
                  <c:v>144.69293382352478</c:v>
                </c:pt>
                <c:pt idx="25">
                  <c:v>161.52138939950498</c:v>
                </c:pt>
                <c:pt idx="26">
                  <c:v>178.34984497548518</c:v>
                </c:pt>
                <c:pt idx="27">
                  <c:v>195.17830055146538</c:v>
                </c:pt>
                <c:pt idx="28">
                  <c:v>212.00675612744558</c:v>
                </c:pt>
                <c:pt idx="29">
                  <c:v>228.83521170342578</c:v>
                </c:pt>
                <c:pt idx="30">
                  <c:v>245.66366727940598</c:v>
                </c:pt>
                <c:pt idx="31">
                  <c:v>262.49212285538619</c:v>
                </c:pt>
                <c:pt idx="32">
                  <c:v>279.32057843136636</c:v>
                </c:pt>
                <c:pt idx="33">
                  <c:v>296.14903400734653</c:v>
                </c:pt>
                <c:pt idx="34">
                  <c:v>312.9774895833267</c:v>
                </c:pt>
                <c:pt idx="35">
                  <c:v>329.80594515930687</c:v>
                </c:pt>
                <c:pt idx="36">
                  <c:v>346.63440073528704</c:v>
                </c:pt>
                <c:pt idx="37">
                  <c:v>363.46285631126722</c:v>
                </c:pt>
                <c:pt idx="38">
                  <c:v>380.29131188724739</c:v>
                </c:pt>
                <c:pt idx="39">
                  <c:v>397.11976746322756</c:v>
                </c:pt>
                <c:pt idx="40">
                  <c:v>413.94822303920773</c:v>
                </c:pt>
                <c:pt idx="41">
                  <c:v>430.7766786151879</c:v>
                </c:pt>
                <c:pt idx="42">
                  <c:v>447.60513419116808</c:v>
                </c:pt>
                <c:pt idx="43">
                  <c:v>464.43358976714825</c:v>
                </c:pt>
                <c:pt idx="44">
                  <c:v>481.26204534312842</c:v>
                </c:pt>
                <c:pt idx="45">
                  <c:v>498.09050091910859</c:v>
                </c:pt>
                <c:pt idx="46">
                  <c:v>514.91895649508876</c:v>
                </c:pt>
                <c:pt idx="47">
                  <c:v>531.74741207106899</c:v>
                </c:pt>
                <c:pt idx="48">
                  <c:v>548.57586764704922</c:v>
                </c:pt>
                <c:pt idx="49">
                  <c:v>565.40432322302945</c:v>
                </c:pt>
                <c:pt idx="50">
                  <c:v>582.23277879900968</c:v>
                </c:pt>
                <c:pt idx="51">
                  <c:v>599.06123437498991</c:v>
                </c:pt>
                <c:pt idx="52">
                  <c:v>615.88968995097014</c:v>
                </c:pt>
                <c:pt idx="53">
                  <c:v>632.71814552695037</c:v>
                </c:pt>
                <c:pt idx="54">
                  <c:v>649.54660110293059</c:v>
                </c:pt>
                <c:pt idx="55">
                  <c:v>666.37505667891082</c:v>
                </c:pt>
                <c:pt idx="56">
                  <c:v>683.20351225489105</c:v>
                </c:pt>
                <c:pt idx="57">
                  <c:v>700.03196783087128</c:v>
                </c:pt>
                <c:pt idx="58">
                  <c:v>716.86042340685151</c:v>
                </c:pt>
                <c:pt idx="59">
                  <c:v>733.68887898283174</c:v>
                </c:pt>
                <c:pt idx="60">
                  <c:v>750.51733455881197</c:v>
                </c:pt>
                <c:pt idx="61">
                  <c:v>767.3457901347922</c:v>
                </c:pt>
                <c:pt idx="62">
                  <c:v>784.17424571077242</c:v>
                </c:pt>
                <c:pt idx="63">
                  <c:v>801.00270128675265</c:v>
                </c:pt>
                <c:pt idx="64">
                  <c:v>817.83115686273288</c:v>
                </c:pt>
                <c:pt idx="65">
                  <c:v>834.65961243871311</c:v>
                </c:pt>
                <c:pt idx="66">
                  <c:v>851.48806801469334</c:v>
                </c:pt>
                <c:pt idx="67">
                  <c:v>868.31652359067357</c:v>
                </c:pt>
                <c:pt idx="68">
                  <c:v>885.1449791666538</c:v>
                </c:pt>
                <c:pt idx="69">
                  <c:v>901.97343474263403</c:v>
                </c:pt>
                <c:pt idx="70">
                  <c:v>918.80189031861426</c:v>
                </c:pt>
                <c:pt idx="71">
                  <c:v>935.63034589459448</c:v>
                </c:pt>
                <c:pt idx="72">
                  <c:v>952.45880147057471</c:v>
                </c:pt>
                <c:pt idx="73">
                  <c:v>969.28725704655494</c:v>
                </c:pt>
                <c:pt idx="74">
                  <c:v>986.11571262253517</c:v>
                </c:pt>
                <c:pt idx="75">
                  <c:v>1002.9441681985154</c:v>
                </c:pt>
                <c:pt idx="76">
                  <c:v>1019.7726237744956</c:v>
                </c:pt>
                <c:pt idx="77">
                  <c:v>1036.6010793504759</c:v>
                </c:pt>
                <c:pt idx="78">
                  <c:v>1053.429534926456</c:v>
                </c:pt>
                <c:pt idx="79">
                  <c:v>1070.2579905024361</c:v>
                </c:pt>
                <c:pt idx="80">
                  <c:v>1087.0864460784162</c:v>
                </c:pt>
                <c:pt idx="81">
                  <c:v>1103.9149016543963</c:v>
                </c:pt>
                <c:pt idx="82">
                  <c:v>1120.7433572303764</c:v>
                </c:pt>
                <c:pt idx="83">
                  <c:v>1137.5718128063565</c:v>
                </c:pt>
                <c:pt idx="84">
                  <c:v>1154.4002683823367</c:v>
                </c:pt>
                <c:pt idx="85">
                  <c:v>1171.2287239583168</c:v>
                </c:pt>
                <c:pt idx="86">
                  <c:v>1188.0571795342969</c:v>
                </c:pt>
                <c:pt idx="87">
                  <c:v>1204.885635110277</c:v>
                </c:pt>
                <c:pt idx="88">
                  <c:v>1221.7140906862571</c:v>
                </c:pt>
                <c:pt idx="89">
                  <c:v>1238.5425462622372</c:v>
                </c:pt>
                <c:pt idx="90">
                  <c:v>1255.3710018382174</c:v>
                </c:pt>
                <c:pt idx="91">
                  <c:v>1272.1994574141975</c:v>
                </c:pt>
                <c:pt idx="92">
                  <c:v>1289.0279129901776</c:v>
                </c:pt>
                <c:pt idx="93">
                  <c:v>1305.8563685661577</c:v>
                </c:pt>
                <c:pt idx="94">
                  <c:v>1322.6848241421378</c:v>
                </c:pt>
                <c:pt idx="95">
                  <c:v>1339.5132797181179</c:v>
                </c:pt>
                <c:pt idx="96">
                  <c:v>1356.341735294098</c:v>
                </c:pt>
                <c:pt idx="97">
                  <c:v>1373.1701908700782</c:v>
                </c:pt>
                <c:pt idx="98">
                  <c:v>1389.9986464460583</c:v>
                </c:pt>
                <c:pt idx="99">
                  <c:v>1406.8271020220384</c:v>
                </c:pt>
                <c:pt idx="100">
                  <c:v>1423.6555575980185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0-444F-AC6A-F5609F267C14}"/>
            </c:ext>
          </c:extLst>
        </c:ser>
        <c:ser>
          <c:idx val="6"/>
          <c:order val="6"/>
          <c:tx>
            <c:v>P_M_Nominal (PCA)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circle_section!$BM$2:$BM$102</c:f>
              <c:numCache>
                <c:formatCode>General</c:formatCode>
                <c:ptCount val="101"/>
                <c:pt idx="0">
                  <c:v>1.5458245463403164</c:v>
                </c:pt>
                <c:pt idx="1">
                  <c:v>14.44360204714628</c:v>
                </c:pt>
                <c:pt idx="2">
                  <c:v>28.850984196547397</c:v>
                </c:pt>
                <c:pt idx="3">
                  <c:v>43.132625838640251</c:v>
                </c:pt>
                <c:pt idx="4">
                  <c:v>57.28257529110936</c:v>
                </c:pt>
                <c:pt idx="5">
                  <c:v>71.294888959684897</c:v>
                </c:pt>
                <c:pt idx="6">
                  <c:v>85.16364786053046</c:v>
                </c:pt>
                <c:pt idx="7">
                  <c:v>98.882973916336937</c:v>
                </c:pt>
                <c:pt idx="8">
                  <c:v>112.44704586393702</c:v>
                </c:pt>
                <c:pt idx="9">
                  <c:v>125.85011461656684</c:v>
                </c:pt>
                <c:pt idx="10">
                  <c:v>139.08651793481272</c:v>
                </c:pt>
                <c:pt idx="11">
                  <c:v>152.15069427620918</c:v>
                </c:pt>
                <c:pt idx="12">
                  <c:v>165.03719570498347</c:v>
                </c:pt>
                <c:pt idx="13">
                  <c:v>177.74069976476292</c:v>
                </c:pt>
                <c:pt idx="14">
                  <c:v>190.25602023246219</c:v>
                </c:pt>
                <c:pt idx="15">
                  <c:v>202.57811669431462</c:v>
                </c:pt>
                <c:pt idx="16">
                  <c:v>214.7021029003493</c:v>
                </c:pt>
                <c:pt idx="17">
                  <c:v>226.85226431312867</c:v>
                </c:pt>
                <c:pt idx="18">
                  <c:v>238.55132069515298</c:v>
                </c:pt>
                <c:pt idx="19">
                  <c:v>248.26644435388616</c:v>
                </c:pt>
                <c:pt idx="20">
                  <c:v>257.66404958662633</c:v>
                </c:pt>
                <c:pt idx="21">
                  <c:v>266.94731661866786</c:v>
                </c:pt>
                <c:pt idx="22">
                  <c:v>276.11161163884026</c:v>
                </c:pt>
                <c:pt idx="23">
                  <c:v>285.15233491215082</c:v>
                </c:pt>
                <c:pt idx="24">
                  <c:v>294.0649282040128</c:v>
                </c:pt>
                <c:pt idx="25">
                  <c:v>303.84003415051217</c:v>
                </c:pt>
                <c:pt idx="26">
                  <c:v>314.01184436114886</c:v>
                </c:pt>
                <c:pt idx="27">
                  <c:v>324.30882269858881</c:v>
                </c:pt>
                <c:pt idx="28">
                  <c:v>334.71991474463584</c:v>
                </c:pt>
                <c:pt idx="29">
                  <c:v>345.23124432542295</c:v>
                </c:pt>
                <c:pt idx="30">
                  <c:v>355.82565345748702</c:v>
                </c:pt>
                <c:pt idx="31">
                  <c:v>366.39511290664535</c:v>
                </c:pt>
                <c:pt idx="32">
                  <c:v>376.98099288628447</c:v>
                </c:pt>
                <c:pt idx="33">
                  <c:v>387.56482010271054</c:v>
                </c:pt>
                <c:pt idx="34">
                  <c:v>398.1083432191574</c:v>
                </c:pt>
                <c:pt idx="35">
                  <c:v>408.56661767281275</c:v>
                </c:pt>
                <c:pt idx="36">
                  <c:v>418.88713669389693</c:v>
                </c:pt>
                <c:pt idx="37">
                  <c:v>429.00899487542364</c:v>
                </c:pt>
                <c:pt idx="38">
                  <c:v>435.361357503916</c:v>
                </c:pt>
                <c:pt idx="39">
                  <c:v>440.96797517992491</c:v>
                </c:pt>
                <c:pt idx="40">
                  <c:v>446.34356769385323</c:v>
                </c:pt>
                <c:pt idx="41">
                  <c:v>451.42892493159258</c:v>
                </c:pt>
                <c:pt idx="42">
                  <c:v>456.15624763246052</c:v>
                </c:pt>
                <c:pt idx="43">
                  <c:v>459.07000109678148</c:v>
                </c:pt>
                <c:pt idx="44">
                  <c:v>460.33988632931448</c:v>
                </c:pt>
                <c:pt idx="45">
                  <c:v>461.37152935719996</c:v>
                </c:pt>
                <c:pt idx="46">
                  <c:v>462.15656749221563</c:v>
                </c:pt>
                <c:pt idx="47">
                  <c:v>462.68677364523359</c:v>
                </c:pt>
                <c:pt idx="48">
                  <c:v>462.95406202547582</c:v>
                </c:pt>
                <c:pt idx="49">
                  <c:v>462.95049289935133</c:v>
                </c:pt>
                <c:pt idx="50">
                  <c:v>462.66827645302669</c:v>
                </c:pt>
                <c:pt idx="51">
                  <c:v>462.09977581196449</c:v>
                </c:pt>
                <c:pt idx="52">
                  <c:v>461.23750927914921</c:v>
                </c:pt>
                <c:pt idx="53">
                  <c:v>459.94142731850013</c:v>
                </c:pt>
                <c:pt idx="54">
                  <c:v>458.43012773297369</c:v>
                </c:pt>
                <c:pt idx="55">
                  <c:v>456.60005516707622</c:v>
                </c:pt>
                <c:pt idx="56">
                  <c:v>454.4444850281381</c:v>
                </c:pt>
                <c:pt idx="57">
                  <c:v>451.95684861404459</c:v>
                </c:pt>
                <c:pt idx="58">
                  <c:v>449.1307321215607</c:v>
                </c:pt>
                <c:pt idx="59">
                  <c:v>445.95987563187714</c:v>
                </c:pt>
                <c:pt idx="60">
                  <c:v>442.43817222890442</c:v>
                </c:pt>
                <c:pt idx="61">
                  <c:v>438.55966743055001</c:v>
                </c:pt>
                <c:pt idx="62">
                  <c:v>434.3185591463714</c:v>
                </c:pt>
                <c:pt idx="63">
                  <c:v>429.48056645095755</c:v>
                </c:pt>
                <c:pt idx="64">
                  <c:v>424.10289064313474</c:v>
                </c:pt>
                <c:pt idx="65">
                  <c:v>418.33837085823387</c:v>
                </c:pt>
                <c:pt idx="66">
                  <c:v>412.18151305026709</c:v>
                </c:pt>
                <c:pt idx="67">
                  <c:v>405.62694749611461</c:v>
                </c:pt>
                <c:pt idx="68">
                  <c:v>398.66969946262043</c:v>
                </c:pt>
                <c:pt idx="69">
                  <c:v>391.30499111364514</c:v>
                </c:pt>
                <c:pt idx="70">
                  <c:v>383.52826029212855</c:v>
                </c:pt>
                <c:pt idx="71">
                  <c:v>375.33518727945017</c:v>
                </c:pt>
                <c:pt idx="72">
                  <c:v>366.72173047217194</c:v>
                </c:pt>
                <c:pt idx="73">
                  <c:v>357.68417285841065</c:v>
                </c:pt>
                <c:pt idx="74">
                  <c:v>348.21918055756538</c:v>
                </c:pt>
                <c:pt idx="75">
                  <c:v>338.32387189188324</c:v>
                </c:pt>
                <c:pt idx="76">
                  <c:v>327.99588602044679</c:v>
                </c:pt>
                <c:pt idx="77">
                  <c:v>317.23340940595165</c:v>
                </c:pt>
                <c:pt idx="78">
                  <c:v>306.03501115524767</c:v>
                </c:pt>
                <c:pt idx="79">
                  <c:v>294.60975349764618</c:v>
                </c:pt>
                <c:pt idx="80">
                  <c:v>282.49156563325249</c:v>
                </c:pt>
                <c:pt idx="81">
                  <c:v>269.84042973149394</c:v>
                </c:pt>
                <c:pt idx="82">
                  <c:v>256.90991865134515</c:v>
                </c:pt>
                <c:pt idx="83">
                  <c:v>243.91629617476374</c:v>
                </c:pt>
                <c:pt idx="84">
                  <c:v>230.85544681377655</c:v>
                </c:pt>
                <c:pt idx="85">
                  <c:v>217.72279589048037</c:v>
                </c:pt>
                <c:pt idx="86">
                  <c:v>204.83351082197166</c:v>
                </c:pt>
                <c:pt idx="87">
                  <c:v>191.56001007122268</c:v>
                </c:pt>
                <c:pt idx="88">
                  <c:v>178.1964883098054</c:v>
                </c:pt>
                <c:pt idx="89">
                  <c:v>164.73553752932938</c:v>
                </c:pt>
                <c:pt idx="90">
                  <c:v>151.16874784854187</c:v>
                </c:pt>
                <c:pt idx="91">
                  <c:v>137.48654694660758</c:v>
                </c:pt>
                <c:pt idx="92">
                  <c:v>123.67803569956797</c:v>
                </c:pt>
                <c:pt idx="93">
                  <c:v>109.7308593235385</c:v>
                </c:pt>
                <c:pt idx="94">
                  <c:v>95.631219705200934</c:v>
                </c:pt>
                <c:pt idx="95">
                  <c:v>81.364310050768523</c:v>
                </c:pt>
                <c:pt idx="96">
                  <c:v>66.915947039819386</c:v>
                </c:pt>
                <c:pt idx="97">
                  <c:v>51.550614281505318</c:v>
                </c:pt>
                <c:pt idx="98">
                  <c:v>35.131185232346382</c:v>
                </c:pt>
                <c:pt idx="99">
                  <c:v>18.147369596362481</c:v>
                </c:pt>
                <c:pt idx="100">
                  <c:v>1.5253603178898024E-2</c:v>
                </c:pt>
              </c:numCache>
            </c:numRef>
          </c:xVal>
          <c:yVal>
            <c:numRef>
              <c:f>circle_section!$BJ$2:$BJ$102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-269.29060491557755</c:v>
                </c:pt>
                <c:pt idx="2">
                  <c:v>-250.59232094226621</c:v>
                </c:pt>
                <c:pt idx="3">
                  <c:v>-231.89403696895488</c:v>
                </c:pt>
                <c:pt idx="4">
                  <c:v>-213.19575299564355</c:v>
                </c:pt>
                <c:pt idx="5">
                  <c:v>-194.49746902233221</c:v>
                </c:pt>
                <c:pt idx="6">
                  <c:v>-175.79918504902088</c:v>
                </c:pt>
                <c:pt idx="7">
                  <c:v>-157.10090107570954</c:v>
                </c:pt>
                <c:pt idx="8">
                  <c:v>-138.40261710239821</c:v>
                </c:pt>
                <c:pt idx="9">
                  <c:v>-119.70433312908688</c:v>
                </c:pt>
                <c:pt idx="10">
                  <c:v>-101.00604915577554</c:v>
                </c:pt>
                <c:pt idx="11">
                  <c:v>-82.307765182464209</c:v>
                </c:pt>
                <c:pt idx="12">
                  <c:v>-63.609481209152882</c:v>
                </c:pt>
                <c:pt idx="13">
                  <c:v>-44.911197235841549</c:v>
                </c:pt>
                <c:pt idx="14">
                  <c:v>-26.212913262530218</c:v>
                </c:pt>
                <c:pt idx="15">
                  <c:v>-7.5146292892188882</c:v>
                </c:pt>
                <c:pt idx="16">
                  <c:v>11.183654684092442</c:v>
                </c:pt>
                <c:pt idx="17">
                  <c:v>29.881938657403772</c:v>
                </c:pt>
                <c:pt idx="18">
                  <c:v>48.580222630715106</c:v>
                </c:pt>
                <c:pt idx="19">
                  <c:v>67.278506604026433</c:v>
                </c:pt>
                <c:pt idx="20">
                  <c:v>85.976790577337766</c:v>
                </c:pt>
                <c:pt idx="21">
                  <c:v>104.6750745506491</c:v>
                </c:pt>
                <c:pt idx="22">
                  <c:v>123.37335852396043</c:v>
                </c:pt>
                <c:pt idx="23">
                  <c:v>142.07164249727177</c:v>
                </c:pt>
                <c:pt idx="24">
                  <c:v>160.7699264705831</c:v>
                </c:pt>
                <c:pt idx="25">
                  <c:v>181.60596373239707</c:v>
                </c:pt>
                <c:pt idx="26">
                  <c:v>203.68531462447174</c:v>
                </c:pt>
                <c:pt idx="27">
                  <c:v>226.49017455054783</c:v>
                </c:pt>
                <c:pt idx="28">
                  <c:v>250.06037199961361</c:v>
                </c:pt>
                <c:pt idx="29">
                  <c:v>274.43788613255811</c:v>
                </c:pt>
                <c:pt idx="30">
                  <c:v>299.66685093380534</c:v>
                </c:pt>
                <c:pt idx="31">
                  <c:v>325.88699464830177</c:v>
                </c:pt>
                <c:pt idx="32">
                  <c:v>353.08591992231658</c:v>
                </c:pt>
                <c:pt idx="33">
                  <c:v>381.30083991205777</c:v>
                </c:pt>
                <c:pt idx="34">
                  <c:v>410.58462227397632</c:v>
                </c:pt>
                <c:pt idx="35">
                  <c:v>440.9915255894723</c:v>
                </c:pt>
                <c:pt idx="36">
                  <c:v>472.57696319942039</c:v>
                </c:pt>
                <c:pt idx="37">
                  <c:v>505.3971445016083</c:v>
                </c:pt>
                <c:pt idx="38">
                  <c:v>537.82485959656969</c:v>
                </c:pt>
                <c:pt idx="39">
                  <c:v>571.10967162585212</c:v>
                </c:pt>
                <c:pt idx="40">
                  <c:v>605.55616736732384</c:v>
                </c:pt>
                <c:pt idx="41">
                  <c:v>641.21894928633469</c:v>
                </c:pt>
                <c:pt idx="42">
                  <c:v>678.15366234418059</c:v>
                </c:pt>
                <c:pt idx="43">
                  <c:v>714.51321502638189</c:v>
                </c:pt>
                <c:pt idx="44">
                  <c:v>740.40314668173596</c:v>
                </c:pt>
                <c:pt idx="45">
                  <c:v>766.29307833709015</c:v>
                </c:pt>
                <c:pt idx="46">
                  <c:v>792.18300999244423</c:v>
                </c:pt>
                <c:pt idx="47">
                  <c:v>818.07294164779842</c:v>
                </c:pt>
                <c:pt idx="48">
                  <c:v>843.96287330315261</c:v>
                </c:pt>
                <c:pt idx="49">
                  <c:v>869.85280495850679</c:v>
                </c:pt>
                <c:pt idx="50">
                  <c:v>895.74273661386098</c:v>
                </c:pt>
                <c:pt idx="51">
                  <c:v>921.63266826921517</c:v>
                </c:pt>
                <c:pt idx="52">
                  <c:v>947.52259992456936</c:v>
                </c:pt>
                <c:pt idx="53">
                  <c:v>973.41253157992355</c:v>
                </c:pt>
                <c:pt idx="54">
                  <c:v>999.30246323527786</c:v>
                </c:pt>
                <c:pt idx="55">
                  <c:v>1025.1923948906319</c:v>
                </c:pt>
                <c:pt idx="56">
                  <c:v>1051.0823265459862</c:v>
                </c:pt>
                <c:pt idx="57">
                  <c:v>1076.9722582013403</c:v>
                </c:pt>
                <c:pt idx="58">
                  <c:v>1102.8621898566946</c:v>
                </c:pt>
                <c:pt idx="59">
                  <c:v>1128.7521215120487</c:v>
                </c:pt>
                <c:pt idx="60">
                  <c:v>1154.642053167403</c:v>
                </c:pt>
                <c:pt idx="61">
                  <c:v>1180.5319848227573</c:v>
                </c:pt>
                <c:pt idx="62">
                  <c:v>1206.4219164781114</c:v>
                </c:pt>
                <c:pt idx="63">
                  <c:v>1232.3118481334657</c:v>
                </c:pt>
                <c:pt idx="64">
                  <c:v>1258.2017797888197</c:v>
                </c:pt>
                <c:pt idx="65">
                  <c:v>1284.0917114441741</c:v>
                </c:pt>
                <c:pt idx="66">
                  <c:v>1309.9816430995281</c:v>
                </c:pt>
                <c:pt idx="67">
                  <c:v>1335.8715747548824</c:v>
                </c:pt>
                <c:pt idx="68">
                  <c:v>1361.7615064102365</c:v>
                </c:pt>
                <c:pt idx="69">
                  <c:v>1387.6514380655908</c:v>
                </c:pt>
                <c:pt idx="70">
                  <c:v>1413.5413697209449</c:v>
                </c:pt>
                <c:pt idx="71">
                  <c:v>1439.4313013762992</c:v>
                </c:pt>
                <c:pt idx="72">
                  <c:v>1465.3212330316533</c:v>
                </c:pt>
                <c:pt idx="73">
                  <c:v>1491.2111646870076</c:v>
                </c:pt>
                <c:pt idx="74">
                  <c:v>1517.1010963423616</c:v>
                </c:pt>
                <c:pt idx="75">
                  <c:v>1542.9910279977159</c:v>
                </c:pt>
                <c:pt idx="76">
                  <c:v>1568.8809596530702</c:v>
                </c:pt>
                <c:pt idx="77">
                  <c:v>1594.7708913084243</c:v>
                </c:pt>
                <c:pt idx="78">
                  <c:v>1620.6608229637784</c:v>
                </c:pt>
                <c:pt idx="79">
                  <c:v>1646.5507546191325</c:v>
                </c:pt>
                <c:pt idx="80">
                  <c:v>1672.4406862744863</c:v>
                </c:pt>
                <c:pt idx="81">
                  <c:v>1698.3306179298404</c:v>
                </c:pt>
                <c:pt idx="82">
                  <c:v>1724.2205495851945</c:v>
                </c:pt>
                <c:pt idx="83">
                  <c:v>1750.1104812405486</c:v>
                </c:pt>
                <c:pt idx="84">
                  <c:v>1776.0004128959024</c:v>
                </c:pt>
                <c:pt idx="85">
                  <c:v>1801.8903445512565</c:v>
                </c:pt>
                <c:pt idx="86">
                  <c:v>1827.7802762066106</c:v>
                </c:pt>
                <c:pt idx="87">
                  <c:v>1853.6702078619646</c:v>
                </c:pt>
                <c:pt idx="88">
                  <c:v>1879.5601395173185</c:v>
                </c:pt>
                <c:pt idx="89">
                  <c:v>1905.4500711726726</c:v>
                </c:pt>
                <c:pt idx="90">
                  <c:v>1931.3400028280266</c:v>
                </c:pt>
                <c:pt idx="91">
                  <c:v>1957.2299344833807</c:v>
                </c:pt>
                <c:pt idx="92">
                  <c:v>1983.1198661387348</c:v>
                </c:pt>
                <c:pt idx="93">
                  <c:v>2009.0097977940886</c:v>
                </c:pt>
                <c:pt idx="94">
                  <c:v>2034.8997294494427</c:v>
                </c:pt>
                <c:pt idx="95">
                  <c:v>2060.7896611047968</c:v>
                </c:pt>
                <c:pt idx="96">
                  <c:v>2086.6795927601506</c:v>
                </c:pt>
                <c:pt idx="97">
                  <c:v>2112.5695244155049</c:v>
                </c:pt>
                <c:pt idx="98">
                  <c:v>2138.4594560708588</c:v>
                </c:pt>
                <c:pt idx="99">
                  <c:v>2164.3493877262126</c:v>
                </c:pt>
                <c:pt idx="100">
                  <c:v>2190.2393193815669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40-444F-AC6A-F5609F267C14}"/>
            </c:ext>
          </c:extLst>
        </c:ser>
        <c:ser>
          <c:idx val="7"/>
          <c:order val="7"/>
          <c:tx>
            <c:v>min_e_line (PCA)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circle_section!$BI$104:$BI$105</c:f>
              <c:numCache>
                <c:formatCode>General</c:formatCode>
                <c:ptCount val="2"/>
                <c:pt idx="0">
                  <c:v>0</c:v>
                </c:pt>
                <c:pt idx="1">
                  <c:v>157.86084715753225</c:v>
                </c:pt>
              </c:numCache>
            </c:numRef>
          </c:xVal>
          <c:yVal>
            <c:numRef>
              <c:f>circle_section!$BF$104:$BF$105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40-444F-AC6A-F5609F26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8DE4CE-2F35-4E62-B1E3-69E698A57B9F}">
  <sheetPr codeName="Chart2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38100</xdr:rowOff>
        </xdr:from>
        <xdr:to>
          <xdr:col>6</xdr:col>
          <xdr:colOff>581025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323850</xdr:colOff>
      <xdr:row>3</xdr:row>
      <xdr:rowOff>38100</xdr:rowOff>
    </xdr:from>
    <xdr:to>
      <xdr:col>33</xdr:col>
      <xdr:colOff>209550</xdr:colOff>
      <xdr:row>31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523875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CX362"/>
  <sheetViews>
    <sheetView tabSelected="1" topLeftCell="S1" zoomScale="75" zoomScaleNormal="75" workbookViewId="0">
      <selection activeCell="AL15" sqref="AL15"/>
    </sheetView>
  </sheetViews>
  <sheetFormatPr defaultColWidth="8.85546875"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1" customWidth="1"/>
    <col min="13" max="13" width="14.85546875" bestFit="1" customWidth="1"/>
    <col min="14" max="14" width="9" bestFit="1" customWidth="1"/>
    <col min="15" max="15" width="14.7109375" bestFit="1" customWidth="1"/>
    <col min="16" max="17" width="9" bestFit="1" customWidth="1"/>
    <col min="18" max="18" width="10.85546875" bestFit="1" customWidth="1"/>
    <col min="19" max="21" width="9" bestFit="1" customWidth="1"/>
    <col min="22" max="22" width="11.42578125" customWidth="1"/>
    <col min="23" max="24" width="9" bestFit="1" customWidth="1"/>
    <col min="25" max="25" width="13.85546875" bestFit="1" customWidth="1"/>
    <col min="26" max="26" width="11" bestFit="1" customWidth="1"/>
    <col min="27" max="27" width="9" bestFit="1" customWidth="1"/>
    <col min="28" max="28" width="10.85546875" bestFit="1" customWidth="1"/>
    <col min="29" max="30" width="9" bestFit="1" customWidth="1"/>
    <col min="31" max="31" width="10.7109375" bestFit="1" customWidth="1"/>
    <col min="32" max="33" width="9" bestFit="1" customWidth="1"/>
    <col min="81" max="81" width="11" customWidth="1"/>
    <col min="84" max="84" width="11" bestFit="1" customWidth="1"/>
    <col min="85" max="86" width="12" bestFit="1" customWidth="1"/>
    <col min="89" max="89" width="10" bestFit="1" customWidth="1"/>
    <col min="104" max="104" width="12" bestFit="1" customWidth="1"/>
  </cols>
  <sheetData>
    <row r="1" spans="1:102" ht="15.75" thickBot="1" x14ac:dyDescent="0.3">
      <c r="A1" s="2" t="s">
        <v>143</v>
      </c>
      <c r="B1" s="5" t="s">
        <v>144</v>
      </c>
      <c r="E1" s="2" t="s">
        <v>70</v>
      </c>
      <c r="F1" s="34">
        <v>1E-10</v>
      </c>
      <c r="L1" s="1">
        <v>1</v>
      </c>
      <c r="Z1" s="2" t="s">
        <v>83</v>
      </c>
      <c r="AA1" s="1">
        <v>127.6</v>
      </c>
      <c r="AB1" t="s">
        <v>84</v>
      </c>
      <c r="AI1">
        <v>0</v>
      </c>
      <c r="AJ1" t="s">
        <v>82</v>
      </c>
      <c r="AK1" s="1" t="s">
        <v>56</v>
      </c>
      <c r="AL1" s="1" t="s">
        <v>57</v>
      </c>
      <c r="AM1" s="1" t="s">
        <v>80</v>
      </c>
      <c r="AN1" s="1" t="s">
        <v>81</v>
      </c>
      <c r="AR1" t="s">
        <v>13</v>
      </c>
      <c r="AS1" t="s">
        <v>14</v>
      </c>
      <c r="AV1" s="1" t="s">
        <v>21</v>
      </c>
      <c r="AW1" s="1" t="s">
        <v>56</v>
      </c>
      <c r="AX1" s="1" t="s">
        <v>57</v>
      </c>
      <c r="AY1" s="1" t="s">
        <v>137</v>
      </c>
      <c r="AZ1" s="1" t="s">
        <v>139</v>
      </c>
      <c r="BA1" s="1" t="s">
        <v>135</v>
      </c>
      <c r="BB1" s="1" t="s">
        <v>136</v>
      </c>
      <c r="BC1" s="1" t="s">
        <v>138</v>
      </c>
      <c r="BF1" s="1" t="s">
        <v>21</v>
      </c>
      <c r="BG1" s="1" t="s">
        <v>56</v>
      </c>
      <c r="BH1" s="1" t="s">
        <v>57</v>
      </c>
      <c r="BI1" s="1" t="s">
        <v>137</v>
      </c>
      <c r="BJ1" s="1" t="s">
        <v>139</v>
      </c>
      <c r="BK1" s="1" t="s">
        <v>135</v>
      </c>
      <c r="BL1" s="1" t="s">
        <v>136</v>
      </c>
      <c r="BM1" s="1" t="s">
        <v>138</v>
      </c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E1" s="1"/>
      <c r="CI1" s="1"/>
    </row>
    <row r="2" spans="1:102" x14ac:dyDescent="0.25">
      <c r="A2" t="s">
        <v>129</v>
      </c>
      <c r="B2" s="5" t="s">
        <v>145</v>
      </c>
      <c r="E2" s="2" t="s">
        <v>71</v>
      </c>
      <c r="F2" s="8">
        <v>75</v>
      </c>
      <c r="G2">
        <v>34</v>
      </c>
      <c r="H2">
        <v>2</v>
      </c>
      <c r="I2" s="16" t="s">
        <v>61</v>
      </c>
      <c r="J2" s="17">
        <f ca="1">IF(ABS(L109)&lt;0.002,IF(B1="Spiral",0.75,0.65),IF(ABS(L109)&gt;0.005,0.9,IF(B1="Spiral",0.75+((ABS(L109)-0.002)*(50)),0.65+((ABS(L109)-0.002)*(250/3)))))</f>
        <v>0.9</v>
      </c>
      <c r="K2" s="18"/>
      <c r="L2" s="19" t="s">
        <v>62</v>
      </c>
      <c r="Z2" t="s">
        <v>79</v>
      </c>
      <c r="AA2" s="5">
        <v>360</v>
      </c>
      <c r="AJ2">
        <v>0</v>
      </c>
      <c r="AK2">
        <v>195.45167071178761</v>
      </c>
      <c r="AL2">
        <v>1.0658141036401503E-14</v>
      </c>
      <c r="AM2">
        <v>217.16852301309734</v>
      </c>
      <c r="AN2">
        <v>1.1842378929335002E-14</v>
      </c>
      <c r="AQ2">
        <v>0</v>
      </c>
      <c r="AR2">
        <f>$B$3*COS(RADIANS(AQ2))</f>
        <v>12</v>
      </c>
      <c r="AS2">
        <f>$B$3*SIN(RADIANS(AQ2))</f>
        <v>0</v>
      </c>
      <c r="AV2">
        <v>-259.19</v>
      </c>
      <c r="AW2">
        <v>7.0690918912670415E-3</v>
      </c>
      <c r="AX2">
        <v>7.0690918912519676E-3</v>
      </c>
      <c r="AY2">
        <f t="shared" ref="AY2:AY65" si="0">SQRT(POWER(AW2,2)+POWER(AX2,2))</f>
        <v>9.9972056262808643E-3</v>
      </c>
      <c r="AZ2">
        <v>-287.98888888888888</v>
      </c>
      <c r="BA2">
        <v>7.8545465458522683E-3</v>
      </c>
      <c r="BB2">
        <v>7.8545465458355196E-3</v>
      </c>
      <c r="BC2">
        <f t="shared" ref="BC2:BC65" si="1">SQRT(POWER(BA2,2)+POWER(BB2,2))</f>
        <v>1.1108006251423181E-2</v>
      </c>
      <c r="BF2">
        <v>-259.19</v>
      </c>
      <c r="BG2">
        <v>1.3912420917062849</v>
      </c>
      <c r="BH2">
        <v>2.2321744452824532E-11</v>
      </c>
      <c r="BI2">
        <f>SQRT(POWER(BG2,2)+POWER(BH2,2))</f>
        <v>1.3912420917062849</v>
      </c>
      <c r="BJ2">
        <v>-287.98888888888888</v>
      </c>
      <c r="BK2">
        <v>1.5458245463403164</v>
      </c>
      <c r="BL2">
        <v>2.4801938280916147E-11</v>
      </c>
      <c r="BM2">
        <f>SQRT(POWER(BK2,2)+POWER(BL2,2))</f>
        <v>1.5458245463403164</v>
      </c>
      <c r="BX2">
        <v>18.216428437633407</v>
      </c>
    </row>
    <row r="3" spans="1:102" x14ac:dyDescent="0.25">
      <c r="A3" s="2" t="s">
        <v>12</v>
      </c>
      <c r="B3" s="8">
        <v>12</v>
      </c>
      <c r="C3" t="s">
        <v>0</v>
      </c>
      <c r="E3" s="2" t="s">
        <v>87</v>
      </c>
      <c r="F3" s="8">
        <v>0</v>
      </c>
      <c r="I3" s="20" t="s">
        <v>63</v>
      </c>
      <c r="J3" s="7">
        <f ca="1">J2*IF(B2="Whitney",B112,L153)</f>
        <v>1.4324541552923619E-12</v>
      </c>
      <c r="K3" s="21" t="s">
        <v>22</v>
      </c>
      <c r="L3" s="22">
        <f ca="1">J3-J9</f>
        <v>1.4324541552923619E-12</v>
      </c>
      <c r="AJ3">
        <v>1.7453292519943295E-2</v>
      </c>
      <c r="AK3">
        <v>195.43695961238819</v>
      </c>
      <c r="AL3">
        <v>3.2716458126728445</v>
      </c>
      <c r="AM3">
        <v>217.15217734709799</v>
      </c>
      <c r="AN3">
        <v>3.6351620140809384</v>
      </c>
      <c r="AQ3">
        <v>1</v>
      </c>
      <c r="AR3">
        <f t="shared" ref="AR3:AR66" si="2">$B$3*COS(RADIANS(AQ3))</f>
        <v>11.998172341876696</v>
      </c>
      <c r="AS3">
        <f t="shared" ref="AS3:AS66" si="3">$B$3*SIN(RADIANS(AQ3))</f>
        <v>0.20942887724740214</v>
      </c>
      <c r="AV3">
        <v>-248.82239999999999</v>
      </c>
      <c r="AW3">
        <v>7.1224052571004002</v>
      </c>
      <c r="AX3">
        <v>7.122405257075096</v>
      </c>
      <c r="AY3">
        <f t="shared" si="0"/>
        <v>10.072602111290925</v>
      </c>
      <c r="AZ3">
        <v>-276.46933333333334</v>
      </c>
      <c r="BA3">
        <v>7.9137836190004442</v>
      </c>
      <c r="BB3">
        <v>7.913783618972329</v>
      </c>
      <c r="BC3">
        <f t="shared" si="1"/>
        <v>11.191780123656581</v>
      </c>
      <c r="BF3">
        <v>-242.3615444240198</v>
      </c>
      <c r="BG3">
        <v>12.999241842431653</v>
      </c>
      <c r="BH3">
        <v>2.9005491342104508E-13</v>
      </c>
      <c r="BI3">
        <f t="shared" ref="BI3:BI66" si="4">SQRT(POWER(BG3,2)+POWER(BH3,2))</f>
        <v>12.999241842431653</v>
      </c>
      <c r="BJ3">
        <v>-269.29060491557755</v>
      </c>
      <c r="BK3">
        <v>14.44360204714628</v>
      </c>
      <c r="BL3">
        <v>3.2228323713449453E-13</v>
      </c>
      <c r="BM3">
        <f t="shared" ref="BM3:BM66" si="5">SQRT(POWER(BK3,2)+POWER(BL3,2))</f>
        <v>14.44360204714628</v>
      </c>
      <c r="BX3">
        <v>4.3241157242639963</v>
      </c>
    </row>
    <row r="4" spans="1:102" x14ac:dyDescent="0.25">
      <c r="A4" s="2" t="s">
        <v>5</v>
      </c>
      <c r="B4" s="5" t="s">
        <v>156</v>
      </c>
      <c r="I4" s="20" t="s">
        <v>64</v>
      </c>
      <c r="J4" s="7">
        <f ca="1">J2*IF(B2="Whitney",(B116/12),(O153/12))</f>
        <v>195.45167071178761</v>
      </c>
      <c r="K4" s="21" t="s">
        <v>65</v>
      </c>
      <c r="L4" s="23" t="str">
        <f>IF(J10=0,J4,"")</f>
        <v/>
      </c>
      <c r="AJ4">
        <v>3.4906585039886591E-2</v>
      </c>
      <c r="AK4">
        <v>195.3927727486691</v>
      </c>
      <c r="AL4">
        <v>6.5440954336322728</v>
      </c>
      <c r="AM4">
        <v>217.10308083185456</v>
      </c>
      <c r="AN4">
        <v>7.2712171484803028</v>
      </c>
      <c r="AQ4">
        <v>2</v>
      </c>
      <c r="AR4">
        <f t="shared" si="2"/>
        <v>11.992689924229149</v>
      </c>
      <c r="AS4">
        <f t="shared" si="3"/>
        <v>0.4187939604300116</v>
      </c>
      <c r="AV4">
        <v>-238.45479999999998</v>
      </c>
      <c r="AW4">
        <v>13.983596870871292</v>
      </c>
      <c r="AX4">
        <v>13.983596870877596</v>
      </c>
      <c r="AY4">
        <f t="shared" si="0"/>
        <v>19.775792345548613</v>
      </c>
      <c r="AZ4">
        <v>-264.94977777777774</v>
      </c>
      <c r="BA4">
        <v>15.537329856523657</v>
      </c>
      <c r="BB4">
        <v>15.537329856530661</v>
      </c>
      <c r="BC4">
        <f t="shared" si="1"/>
        <v>21.973102606165124</v>
      </c>
      <c r="BF4">
        <v>-225.5330888480396</v>
      </c>
      <c r="BG4">
        <v>25.965885776892659</v>
      </c>
      <c r="BH4">
        <v>-2.6873863134824208E-13</v>
      </c>
      <c r="BI4">
        <f t="shared" si="4"/>
        <v>25.965885776892659</v>
      </c>
      <c r="BJ4">
        <v>-250.59232094226621</v>
      </c>
      <c r="BK4">
        <v>28.850984196547397</v>
      </c>
      <c r="BL4">
        <v>-2.9859847927582451E-13</v>
      </c>
      <c r="BM4">
        <f t="shared" si="5"/>
        <v>28.850984196547397</v>
      </c>
      <c r="BX4">
        <v>4.7919101386628506</v>
      </c>
    </row>
    <row r="5" spans="1:102" x14ac:dyDescent="0.25">
      <c r="A5" s="2" t="s">
        <v>1</v>
      </c>
      <c r="B5" s="3">
        <v>5</v>
      </c>
      <c r="C5" t="s">
        <v>2</v>
      </c>
      <c r="I5" s="20" t="s">
        <v>66</v>
      </c>
      <c r="J5" s="7">
        <f ca="1">J2*IF(B2="Whitney",(B117/12),(R153/12))</f>
        <v>-3.2970065025408886E-14</v>
      </c>
      <c r="K5" s="21" t="s">
        <v>65</v>
      </c>
      <c r="L5" s="23" t="str">
        <f>IF(J11=0,J5,"")</f>
        <v/>
      </c>
      <c r="AJ5">
        <v>5.235987755982989E-2</v>
      </c>
      <c r="AK5">
        <v>195.31894988015432</v>
      </c>
      <c r="AL5">
        <v>9.8181432782346487</v>
      </c>
      <c r="AM5">
        <v>217.02105542239369</v>
      </c>
      <c r="AN5">
        <v>10.909048086927386</v>
      </c>
      <c r="AQ5">
        <v>3</v>
      </c>
      <c r="AR5">
        <f t="shared" si="2"/>
        <v>11.983554417054886</v>
      </c>
      <c r="AS5">
        <f t="shared" si="3"/>
        <v>0.62803147491532596</v>
      </c>
      <c r="AV5">
        <v>-228.08719999999997</v>
      </c>
      <c r="AW5">
        <v>20.650878896528216</v>
      </c>
      <c r="AX5">
        <v>20.65087889653136</v>
      </c>
      <c r="AY5">
        <f t="shared" si="0"/>
        <v>29.204753010396761</v>
      </c>
      <c r="AZ5">
        <v>-253.43022222222217</v>
      </c>
      <c r="BA5">
        <v>22.945420996142463</v>
      </c>
      <c r="BB5">
        <v>22.945420996145955</v>
      </c>
      <c r="BC5">
        <f t="shared" si="1"/>
        <v>32.449725567107514</v>
      </c>
      <c r="BF5">
        <v>-208.7046332720594</v>
      </c>
      <c r="BG5">
        <v>38.819363254776228</v>
      </c>
      <c r="BH5">
        <v>1.0658141036401503E-14</v>
      </c>
      <c r="BI5">
        <f t="shared" si="4"/>
        <v>38.819363254776228</v>
      </c>
      <c r="BJ5">
        <v>-231.89403696895488</v>
      </c>
      <c r="BK5">
        <v>43.132625838640251</v>
      </c>
      <c r="BL5">
        <v>1.1842378929335002E-14</v>
      </c>
      <c r="BM5">
        <f t="shared" si="5"/>
        <v>43.132625838640251</v>
      </c>
      <c r="BX5">
        <v>4.7261514926038926</v>
      </c>
    </row>
    <row r="6" spans="1:102" ht="15.75" thickBot="1" x14ac:dyDescent="0.3">
      <c r="A6" s="2" t="s">
        <v>141</v>
      </c>
      <c r="B6" s="8">
        <v>145</v>
      </c>
      <c r="C6" t="s">
        <v>142</v>
      </c>
      <c r="I6" s="24" t="s">
        <v>67</v>
      </c>
      <c r="J6" s="25">
        <f ca="1">IF(AND(J4=0,J5=0),0,MOD(ATAN2(J4,J5),2*PI()))</f>
        <v>0</v>
      </c>
      <c r="K6" s="26" t="s">
        <v>17</v>
      </c>
      <c r="L6" s="27">
        <f ca="1">IF((J12-J6)=0,0,ATAN2(COS(J12-J6),SIN(J12-J6)))</f>
        <v>0.78539816339744828</v>
      </c>
      <c r="AJ6">
        <v>6.9813170079773182E-2</v>
      </c>
      <c r="AK6">
        <v>195.21522545355288</v>
      </c>
      <c r="AL6">
        <v>13.094565076012051</v>
      </c>
      <c r="AM6">
        <v>216.90580605950319</v>
      </c>
      <c r="AN6">
        <v>14.5495167511245</v>
      </c>
      <c r="AQ6">
        <v>4</v>
      </c>
      <c r="AR6">
        <f t="shared" si="2"/>
        <v>11.970768603117889</v>
      </c>
      <c r="AS6">
        <f t="shared" si="3"/>
        <v>0.83707768492950363</v>
      </c>
      <c r="AV6">
        <v>-217.71959999999996</v>
      </c>
      <c r="AW6">
        <v>26.898340722536165</v>
      </c>
      <c r="AX6">
        <v>26.898340722536144</v>
      </c>
      <c r="AY6">
        <f t="shared" si="0"/>
        <v>38.039998255143146</v>
      </c>
      <c r="AZ6">
        <v>-241.9106666666666</v>
      </c>
      <c r="BA6">
        <v>29.887045247262407</v>
      </c>
      <c r="BB6">
        <v>29.887045247262382</v>
      </c>
      <c r="BC6">
        <f t="shared" si="1"/>
        <v>42.266664727936828</v>
      </c>
      <c r="BF6">
        <v>-191.8761776960792</v>
      </c>
      <c r="BG6">
        <v>51.554317761998426</v>
      </c>
      <c r="BH6">
        <v>-2.6873863134824208E-13</v>
      </c>
      <c r="BI6">
        <f t="shared" si="4"/>
        <v>51.554317761998426</v>
      </c>
      <c r="BJ6">
        <v>-213.19575299564355</v>
      </c>
      <c r="BK6">
        <v>57.28257529110936</v>
      </c>
      <c r="BL6">
        <v>-2.9859847927582451E-13</v>
      </c>
      <c r="BM6">
        <f t="shared" si="5"/>
        <v>57.28257529110936</v>
      </c>
      <c r="BX6">
        <v>4.6564808047501645</v>
      </c>
    </row>
    <row r="7" spans="1:102" ht="15.75" thickBot="1" x14ac:dyDescent="0.3">
      <c r="A7" s="2" t="s">
        <v>3</v>
      </c>
      <c r="B7" s="4">
        <f>IF(B4="Density",(POWER(B6,1.5)*33*SQRT(1000*B5))/1000,(57000*SQRT(1000*B5))/1000)</f>
        <v>4074.2806880478911</v>
      </c>
      <c r="C7" t="s">
        <v>2</v>
      </c>
      <c r="I7" s="20" t="s">
        <v>68</v>
      </c>
      <c r="J7" s="7">
        <f ca="1">SQRT(POWER(J4,2)+POWER(J5,2))</f>
        <v>195.45167071178761</v>
      </c>
      <c r="K7" s="21" t="s">
        <v>65</v>
      </c>
      <c r="L7" s="28"/>
      <c r="AJ7">
        <v>8.7266462599716474E-2</v>
      </c>
      <c r="AK7">
        <v>195.0812308482559</v>
      </c>
      <c r="AL7">
        <v>16.374108775516142</v>
      </c>
      <c r="AM7">
        <v>216.75692316472876</v>
      </c>
      <c r="AN7">
        <v>18.193454195017935</v>
      </c>
      <c r="AQ7">
        <v>5</v>
      </c>
      <c r="AR7">
        <f t="shared" si="2"/>
        <v>11.954336377100947</v>
      </c>
      <c r="AS7">
        <f t="shared" si="3"/>
        <v>1.0458689129718981</v>
      </c>
      <c r="AV7">
        <v>-207.35199999999995</v>
      </c>
      <c r="AW7">
        <v>32.879771352868239</v>
      </c>
      <c r="AX7">
        <v>32.87977135287138</v>
      </c>
      <c r="AY7">
        <f t="shared" si="0"/>
        <v>46.499018574954853</v>
      </c>
      <c r="AZ7">
        <v>-230.39111111111106</v>
      </c>
      <c r="BA7">
        <v>36.533079280964706</v>
      </c>
      <c r="BB7">
        <v>36.533079280968202</v>
      </c>
      <c r="BC7">
        <f t="shared" si="1"/>
        <v>51.665576194394276</v>
      </c>
      <c r="BF7">
        <v>-175.047722120099</v>
      </c>
      <c r="BG7">
        <v>64.165400063716405</v>
      </c>
      <c r="BH7">
        <v>1.0658141036401503E-14</v>
      </c>
      <c r="BI7">
        <f t="shared" si="4"/>
        <v>64.165400063716405</v>
      </c>
      <c r="BJ7">
        <v>-194.49746902233221</v>
      </c>
      <c r="BK7">
        <v>71.294888959684897</v>
      </c>
      <c r="BL7">
        <v>1.1842378929335002E-14</v>
      </c>
      <c r="BM7">
        <f t="shared" si="5"/>
        <v>71.294888959684897</v>
      </c>
      <c r="BP7" s="47"/>
      <c r="BQ7" s="47"/>
      <c r="BR7" s="47"/>
      <c r="BS7" s="47"/>
      <c r="BT7" s="47"/>
      <c r="BU7" s="47"/>
      <c r="BV7" s="47"/>
      <c r="BW7" s="47"/>
      <c r="BX7" s="47">
        <v>4.6598129646558526</v>
      </c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</row>
    <row r="8" spans="1:102" x14ac:dyDescent="0.25">
      <c r="A8" s="2" t="s">
        <v>4</v>
      </c>
      <c r="B8" s="1">
        <f>IF(B5&lt;=4,0.85,IF(B5&lt;=8,0.85 - ((0.05*(B5-4))/1),0.65))</f>
        <v>0.79999999999999993</v>
      </c>
      <c r="I8" s="16" t="s">
        <v>69</v>
      </c>
      <c r="J8" s="29"/>
      <c r="K8" s="18"/>
      <c r="AJ8">
        <v>0.10471975511965977</v>
      </c>
      <c r="AK8">
        <v>194.91649750046946</v>
      </c>
      <c r="AL8">
        <v>19.657485745373545</v>
      </c>
      <c r="AM8">
        <v>216.57388611163273</v>
      </c>
      <c r="AN8">
        <v>21.841650828192829</v>
      </c>
      <c r="AQ8">
        <v>6</v>
      </c>
      <c r="AR8">
        <f t="shared" si="2"/>
        <v>11.934262744419279</v>
      </c>
      <c r="AS8">
        <f t="shared" si="3"/>
        <v>1.2543415592118417</v>
      </c>
      <c r="AV8">
        <v>-196.98439999999994</v>
      </c>
      <c r="AW8">
        <v>38.864071812580008</v>
      </c>
      <c r="AX8">
        <v>38.864071812576817</v>
      </c>
      <c r="AY8">
        <f t="shared" si="0"/>
        <v>54.962097446390302</v>
      </c>
      <c r="AZ8">
        <v>-218.87155555555549</v>
      </c>
      <c r="BA8">
        <v>43.182302013977782</v>
      </c>
      <c r="BB8">
        <v>43.182302013974244</v>
      </c>
      <c r="BC8">
        <f t="shared" si="1"/>
        <v>61.068997162655897</v>
      </c>
      <c r="BF8">
        <v>-158.2192665441188</v>
      </c>
      <c r="BG8">
        <v>76.647283074477414</v>
      </c>
      <c r="BH8">
        <v>2.9005491342104508E-13</v>
      </c>
      <c r="BI8">
        <f t="shared" si="4"/>
        <v>76.647283074477414</v>
      </c>
      <c r="BJ8">
        <v>-175.79918504902088</v>
      </c>
      <c r="BK8">
        <v>85.16364786053046</v>
      </c>
      <c r="BL8">
        <v>3.2228323713449453E-13</v>
      </c>
      <c r="BM8">
        <f t="shared" si="5"/>
        <v>85.16364786053046</v>
      </c>
      <c r="BX8">
        <v>4.6500993252927794</v>
      </c>
    </row>
    <row r="9" spans="1:102" x14ac:dyDescent="0.25">
      <c r="A9" s="2" t="s">
        <v>6</v>
      </c>
      <c r="B9" s="1">
        <f>0.85*B5</f>
        <v>4.25</v>
      </c>
      <c r="C9" t="s">
        <v>2</v>
      </c>
      <c r="I9" s="20" t="s">
        <v>21</v>
      </c>
      <c r="J9" s="30">
        <v>0</v>
      </c>
      <c r="K9" s="21" t="s">
        <v>22</v>
      </c>
      <c r="L9" s="28" t="str">
        <f>"+ Compression"</f>
        <v>+ Compression</v>
      </c>
      <c r="AJ9">
        <v>0.12217304763960306</v>
      </c>
      <c r="AK9">
        <v>194.72046080381588</v>
      </c>
      <c r="AL9">
        <v>22.945362353631015</v>
      </c>
      <c r="AM9">
        <v>216.35606755979541</v>
      </c>
      <c r="AN9">
        <v>25.494847059590015</v>
      </c>
      <c r="AQ9">
        <v>7</v>
      </c>
      <c r="AR9">
        <f t="shared" si="2"/>
        <v>11.910553819695863</v>
      </c>
      <c r="AS9">
        <f t="shared" si="3"/>
        <v>1.4624321208617697</v>
      </c>
      <c r="AV9">
        <v>-186.61679999999993</v>
      </c>
      <c r="AW9">
        <v>44.841478392320404</v>
      </c>
      <c r="AX9">
        <v>44.841478392318791</v>
      </c>
      <c r="AY9">
        <f t="shared" si="0"/>
        <v>63.415426899278465</v>
      </c>
      <c r="AZ9">
        <v>-207.35199999999992</v>
      </c>
      <c r="BA9">
        <v>49.823864880356005</v>
      </c>
      <c r="BB9">
        <v>49.823864880354208</v>
      </c>
      <c r="BC9">
        <f t="shared" si="1"/>
        <v>70.461585443642733</v>
      </c>
      <c r="BF9">
        <v>-141.3908109681386</v>
      </c>
      <c r="BG9">
        <v>88.994676524703252</v>
      </c>
      <c r="BH9">
        <v>-4.7402295422216413E-13</v>
      </c>
      <c r="BI9">
        <f t="shared" si="4"/>
        <v>88.994676524703252</v>
      </c>
      <c r="BJ9">
        <v>-157.10090107570954</v>
      </c>
      <c r="BK9">
        <v>98.882973916336937</v>
      </c>
      <c r="BL9">
        <v>-5.2669217135796011E-13</v>
      </c>
      <c r="BM9">
        <f t="shared" si="5"/>
        <v>98.882973916336937</v>
      </c>
      <c r="BX9">
        <v>4.6435675113154664</v>
      </c>
    </row>
    <row r="10" spans="1:102" x14ac:dyDescent="0.25">
      <c r="A10" s="2" t="s">
        <v>7</v>
      </c>
      <c r="B10" s="6">
        <v>6.2831853071795862</v>
      </c>
      <c r="C10" t="s">
        <v>8</v>
      </c>
      <c r="E10" t="s">
        <v>18</v>
      </c>
      <c r="F10" s="36">
        <f>B3-B11</f>
        <v>7.3584239918870242</v>
      </c>
      <c r="I10" s="20" t="s">
        <v>56</v>
      </c>
      <c r="J10" s="30">
        <v>10</v>
      </c>
      <c r="K10" s="21" t="s">
        <v>65</v>
      </c>
      <c r="L10" s="28" t="str">
        <f>"+ Puts Top of Section in Compression"</f>
        <v>+ Puts Top of Section in Compression</v>
      </c>
      <c r="AJ10">
        <v>0.13962634015954636</v>
      </c>
      <c r="AK10">
        <v>194.49246479866005</v>
      </c>
      <c r="AL10">
        <v>26.238352015685106</v>
      </c>
      <c r="AM10">
        <v>216.10273866517784</v>
      </c>
      <c r="AN10">
        <v>29.15372446187234</v>
      </c>
      <c r="AQ10">
        <v>8</v>
      </c>
      <c r="AR10">
        <f t="shared" si="2"/>
        <v>11.883216824898845</v>
      </c>
      <c r="AS10">
        <f t="shared" si="3"/>
        <v>1.6700772115207854</v>
      </c>
      <c r="AV10">
        <v>-176.24919999999992</v>
      </c>
      <c r="AW10">
        <v>50.801448232245427</v>
      </c>
      <c r="AX10">
        <v>50.801448232245406</v>
      </c>
      <c r="AY10">
        <f t="shared" si="0"/>
        <v>71.84409707823616</v>
      </c>
      <c r="AZ10">
        <v>-195.83244444444435</v>
      </c>
      <c r="BA10">
        <v>56.446053591383809</v>
      </c>
      <c r="BB10">
        <v>56.44605359138378</v>
      </c>
      <c r="BC10">
        <f t="shared" si="1"/>
        <v>79.826774531373516</v>
      </c>
      <c r="BF10">
        <v>-124.56235539215839</v>
      </c>
      <c r="BG10">
        <v>101.20234127754333</v>
      </c>
      <c r="BH10">
        <v>2.9005491342104508E-13</v>
      </c>
      <c r="BI10">
        <f t="shared" si="4"/>
        <v>101.20234127754333</v>
      </c>
      <c r="BJ10">
        <v>-138.40261710239821</v>
      </c>
      <c r="BK10">
        <v>112.44704586393702</v>
      </c>
      <c r="BL10">
        <v>3.2228323713449453E-13</v>
      </c>
      <c r="BM10">
        <f t="shared" si="5"/>
        <v>112.44704586393702</v>
      </c>
      <c r="BX10">
        <v>4.6421724318410682</v>
      </c>
    </row>
    <row r="11" spans="1:102" x14ac:dyDescent="0.25">
      <c r="A11" s="2" t="s">
        <v>9</v>
      </c>
      <c r="B11" s="6">
        <v>4.6415760081129758</v>
      </c>
      <c r="C11" t="s">
        <v>0</v>
      </c>
      <c r="E11" t="s">
        <v>77</v>
      </c>
      <c r="F11" s="9">
        <f>B3-B12</f>
        <v>8.2867391935096197</v>
      </c>
      <c r="G11" s="1"/>
      <c r="I11" s="20" t="s">
        <v>57</v>
      </c>
      <c r="J11" s="30">
        <v>10</v>
      </c>
      <c r="K11" s="21" t="s">
        <v>65</v>
      </c>
      <c r="L11" s="28" t="str">
        <f>"+ Puts Left of Section in Compression"</f>
        <v>+ Puts Left of Section in Compression</v>
      </c>
      <c r="AJ11">
        <v>0.15707963267948966</v>
      </c>
      <c r="AK11">
        <v>194.23176758038912</v>
      </c>
      <c r="AL11">
        <v>29.537007789378503</v>
      </c>
      <c r="AM11">
        <v>215.81307508932125</v>
      </c>
      <c r="AN11">
        <v>32.818897543753891</v>
      </c>
      <c r="AQ11">
        <v>9</v>
      </c>
      <c r="AR11">
        <f t="shared" si="2"/>
        <v>11.852260087141653</v>
      </c>
      <c r="AS11">
        <f t="shared" si="3"/>
        <v>1.8772135804827705</v>
      </c>
      <c r="AV11">
        <v>-165.88159999999991</v>
      </c>
      <c r="AW11">
        <v>56.733317051649159</v>
      </c>
      <c r="AX11">
        <v>56.733317051650722</v>
      </c>
      <c r="AY11">
        <f t="shared" si="0"/>
        <v>80.23302641285612</v>
      </c>
      <c r="AZ11">
        <v>-184.31288888888878</v>
      </c>
      <c r="BA11">
        <v>63.037018946276845</v>
      </c>
      <c r="BB11">
        <v>63.037018946278579</v>
      </c>
      <c r="BC11">
        <f t="shared" si="1"/>
        <v>89.147807125395687</v>
      </c>
      <c r="BF11">
        <v>-107.73389981617819</v>
      </c>
      <c r="BG11">
        <v>113.26510315491016</v>
      </c>
      <c r="BH11">
        <v>2.9005491342104508E-13</v>
      </c>
      <c r="BI11">
        <f t="shared" si="4"/>
        <v>113.26510315491016</v>
      </c>
      <c r="BJ11">
        <v>-119.70433312908688</v>
      </c>
      <c r="BK11">
        <v>125.85011461656684</v>
      </c>
      <c r="BL11">
        <v>3.2228323713449453E-13</v>
      </c>
      <c r="BM11">
        <f t="shared" si="5"/>
        <v>125.85011461656684</v>
      </c>
      <c r="BX11">
        <v>4.6415791424196966</v>
      </c>
    </row>
    <row r="12" spans="1:102" ht="15.75" thickBot="1" x14ac:dyDescent="0.3">
      <c r="A12" s="2" t="s">
        <v>10</v>
      </c>
      <c r="B12" s="7">
        <f>B11*B8</f>
        <v>3.7132608064903803</v>
      </c>
      <c r="C12" t="s">
        <v>0</v>
      </c>
      <c r="E12" t="s">
        <v>19</v>
      </c>
      <c r="F12" s="9">
        <f>IF(B11&lt;0,0,IF(F11&lt;(-1*B3),0,SQRT(POWER(B3,2)-POWER(F11,2))))</f>
        <v>8.6792830083337833</v>
      </c>
      <c r="G12" s="9">
        <f>F11</f>
        <v>8.2867391935096197</v>
      </c>
      <c r="I12" s="24" t="s">
        <v>67</v>
      </c>
      <c r="J12" s="25">
        <f>IF(AND(J10=0,J11=0),0,MOD(ATAN2(J10,J11),2*PI()))</f>
        <v>0.78539816339744828</v>
      </c>
      <c r="K12" s="26" t="s">
        <v>17</v>
      </c>
      <c r="AJ12">
        <v>0.17453292519943295</v>
      </c>
      <c r="AK12">
        <v>193.93754730431664</v>
      </c>
      <c r="AL12">
        <v>32.841815572220128</v>
      </c>
      <c r="AM12">
        <v>215.48616367146292</v>
      </c>
      <c r="AN12">
        <v>36.490906191355698</v>
      </c>
      <c r="AQ12">
        <v>10</v>
      </c>
      <c r="AR12">
        <f t="shared" si="2"/>
        <v>11.817693036146496</v>
      </c>
      <c r="AS12">
        <f t="shared" si="3"/>
        <v>2.0837781320031641</v>
      </c>
      <c r="AV12">
        <v>-155.5139999999999</v>
      </c>
      <c r="AW12">
        <v>62.626878842374225</v>
      </c>
      <c r="AX12">
        <v>62.626878842374197</v>
      </c>
      <c r="AY12">
        <f t="shared" si="0"/>
        <v>88.56778142798224</v>
      </c>
      <c r="AZ12">
        <v>-172.79333333333321</v>
      </c>
      <c r="BA12">
        <v>69.585420935971356</v>
      </c>
      <c r="BB12">
        <v>69.585420935971328</v>
      </c>
      <c r="BC12">
        <f t="shared" si="1"/>
        <v>98.408646031091379</v>
      </c>
      <c r="BF12">
        <v>-90.905444240197994</v>
      </c>
      <c r="BG12">
        <v>125.17786614133145</v>
      </c>
      <c r="BH12">
        <v>-2.6447537493368147E-13</v>
      </c>
      <c r="BI12">
        <f t="shared" si="4"/>
        <v>125.17786614133145</v>
      </c>
      <c r="BJ12">
        <v>-101.00604915577554</v>
      </c>
      <c r="BK12">
        <v>139.08651793481272</v>
      </c>
      <c r="BL12">
        <v>-2.9386152770409052E-13</v>
      </c>
      <c r="BM12">
        <f t="shared" si="5"/>
        <v>139.08651793481272</v>
      </c>
      <c r="BX12">
        <v>4.6415775468663458</v>
      </c>
    </row>
    <row r="13" spans="1:102" ht="15.75" thickBot="1" x14ac:dyDescent="0.3">
      <c r="A13" s="2" t="s">
        <v>11</v>
      </c>
      <c r="B13" s="1">
        <v>3.0000000000000001E-3</v>
      </c>
      <c r="E13" t="s">
        <v>20</v>
      </c>
      <c r="F13" s="1">
        <f>IF(B11&lt;0,0,IF(F11&lt;(-1*B3),0,-1*SQRT(POWER(B3,2)-POWER(F11,2))))</f>
        <v>-8.6792830083337833</v>
      </c>
      <c r="G13" s="9">
        <f>F11</f>
        <v>8.2867391935096197</v>
      </c>
      <c r="I13" s="31" t="s">
        <v>68</v>
      </c>
      <c r="J13" s="32">
        <f>SQRT(POWER(J10,2)+POWER(J11,2))</f>
        <v>14.142135623730951</v>
      </c>
      <c r="K13" s="33" t="s">
        <v>65</v>
      </c>
      <c r="L13">
        <f>DEGREES(J12)</f>
        <v>45</v>
      </c>
      <c r="AJ13">
        <v>0.19198621771937624</v>
      </c>
      <c r="AK13">
        <v>193.60890878473646</v>
      </c>
      <c r="AL13">
        <v>36.153187973799128</v>
      </c>
      <c r="AM13">
        <v>215.12100976081828</v>
      </c>
      <c r="AN13">
        <v>40.170208859776807</v>
      </c>
      <c r="AQ13">
        <v>11</v>
      </c>
      <c r="AR13">
        <f t="shared" si="2"/>
        <v>11.779526201371969</v>
      </c>
      <c r="AS13">
        <f t="shared" si="3"/>
        <v>2.2897079445185375</v>
      </c>
      <c r="AV13">
        <v>-145.14639999999989</v>
      </c>
      <c r="AW13">
        <v>68.47281010888544</v>
      </c>
      <c r="AX13">
        <v>68.472810108885426</v>
      </c>
      <c r="AY13">
        <f t="shared" si="0"/>
        <v>96.83517670978334</v>
      </c>
      <c r="AZ13">
        <v>-161.27377777777764</v>
      </c>
      <c r="BA13">
        <v>76.080900120983827</v>
      </c>
      <c r="BB13">
        <v>76.080900120983799</v>
      </c>
      <c r="BC13">
        <f t="shared" si="1"/>
        <v>107.59464078864815</v>
      </c>
      <c r="BF13">
        <v>-74.076988664217794</v>
      </c>
      <c r="BG13">
        <v>136.93562484858828</v>
      </c>
      <c r="BH13">
        <v>1.0658141036401503E-14</v>
      </c>
      <c r="BI13">
        <f t="shared" si="4"/>
        <v>136.93562484858828</v>
      </c>
      <c r="BJ13">
        <v>-82.307765182464209</v>
      </c>
      <c r="BK13">
        <v>152.15069427620918</v>
      </c>
      <c r="BL13">
        <v>1.1842378929335002E-14</v>
      </c>
      <c r="BM13">
        <f t="shared" si="5"/>
        <v>152.15069427620918</v>
      </c>
      <c r="BX13">
        <v>4.6415767636369365</v>
      </c>
    </row>
    <row r="14" spans="1:102" x14ac:dyDescent="0.25">
      <c r="F14" s="1">
        <f>IF(B11&lt;0,0,IF(F10&lt;(-1*B3),0,SQRT(POWER(B3,2)-POWER(F10,2))))</f>
        <v>9.4791136904048905</v>
      </c>
      <c r="G14" s="36">
        <f>F10</f>
        <v>7.3584239918870242</v>
      </c>
      <c r="AJ14">
        <v>0.20943951023931953</v>
      </c>
      <c r="AK14">
        <v>193.24489052422908</v>
      </c>
      <c r="AL14">
        <v>39.471458888875098</v>
      </c>
      <c r="AM14">
        <v>214.71654502692118</v>
      </c>
      <c r="AN14">
        <v>43.857176543194555</v>
      </c>
      <c r="AQ14">
        <v>12</v>
      </c>
      <c r="AR14">
        <f t="shared" si="2"/>
        <v>11.737771208805668</v>
      </c>
      <c r="AS14">
        <f t="shared" si="3"/>
        <v>2.4949402898131119</v>
      </c>
      <c r="AV14">
        <v>-134.77879999999988</v>
      </c>
      <c r="AW14">
        <v>74.262916593464524</v>
      </c>
      <c r="AX14">
        <v>74.262916593463714</v>
      </c>
      <c r="AY14">
        <f t="shared" si="0"/>
        <v>105.02362382785893</v>
      </c>
      <c r="AZ14">
        <v>-149.75422222222207</v>
      </c>
      <c r="BA14">
        <v>82.514351770516143</v>
      </c>
      <c r="BB14">
        <v>82.514351770515233</v>
      </c>
      <c r="BC14">
        <f t="shared" si="1"/>
        <v>116.69291536428769</v>
      </c>
      <c r="BF14">
        <v>-57.248533088237593</v>
      </c>
      <c r="BG14">
        <v>148.53347613448514</v>
      </c>
      <c r="BH14">
        <v>-5.9191052059759392E-14</v>
      </c>
      <c r="BI14">
        <f t="shared" si="4"/>
        <v>148.53347613448514</v>
      </c>
      <c r="BJ14">
        <v>-63.609481209152882</v>
      </c>
      <c r="BK14">
        <v>165.03719570498347</v>
      </c>
      <c r="BL14">
        <v>-6.5767835621954875E-14</v>
      </c>
      <c r="BM14">
        <f t="shared" si="5"/>
        <v>165.03719570498347</v>
      </c>
      <c r="BX14">
        <v>4.6415763756062027</v>
      </c>
    </row>
    <row r="15" spans="1:102" x14ac:dyDescent="0.25">
      <c r="F15" s="1">
        <f>IF(B11&lt;0,0,IF(F10&lt;(-1*B3),0,-1*SQRT(POWER(B3,2)-POWER(F10,2))))</f>
        <v>-9.4791136904048905</v>
      </c>
      <c r="G15" s="36">
        <f>F10</f>
        <v>7.3584239918870242</v>
      </c>
      <c r="J15" s="1" t="s">
        <v>34</v>
      </c>
      <c r="K15" t="s">
        <v>78</v>
      </c>
      <c r="AJ15">
        <v>0.22689280275926282</v>
      </c>
      <c r="AK15">
        <v>192.84447218861723</v>
      </c>
      <c r="AL15">
        <v>42.796878835689888</v>
      </c>
      <c r="AM15">
        <v>214.27163576513024</v>
      </c>
      <c r="AN15">
        <v>47.552087595210985</v>
      </c>
      <c r="AQ15">
        <v>13</v>
      </c>
      <c r="AR15">
        <f t="shared" si="2"/>
        <v>11.692440777422823</v>
      </c>
      <c r="AS15">
        <f t="shared" si="3"/>
        <v>2.6994126521263802</v>
      </c>
      <c r="AV15">
        <v>-124.41119999999988</v>
      </c>
      <c r="AW15">
        <v>79.990223215711879</v>
      </c>
      <c r="AX15">
        <v>79.990223215710259</v>
      </c>
      <c r="AY15">
        <f t="shared" si="0"/>
        <v>113.1232585289098</v>
      </c>
      <c r="AZ15">
        <v>-138.23466666666653</v>
      </c>
      <c r="BA15">
        <v>88.878025795235416</v>
      </c>
      <c r="BB15">
        <v>88.878025795233626</v>
      </c>
      <c r="BC15">
        <f t="shared" si="1"/>
        <v>125.69250947656644</v>
      </c>
      <c r="BF15">
        <v>-40.420077512257393</v>
      </c>
      <c r="BG15">
        <v>159.96662978828664</v>
      </c>
      <c r="BH15">
        <v>1.5035652722872329E-13</v>
      </c>
      <c r="BI15">
        <f t="shared" si="4"/>
        <v>159.96662978828664</v>
      </c>
      <c r="BJ15">
        <v>-44.911197235841549</v>
      </c>
      <c r="BK15">
        <v>177.74069976476292</v>
      </c>
      <c r="BL15">
        <v>1.6706280803191476E-13</v>
      </c>
      <c r="BM15">
        <f t="shared" si="5"/>
        <v>177.74069976476292</v>
      </c>
      <c r="BX15">
        <v>4.6415761824803088</v>
      </c>
    </row>
    <row r="16" spans="1:102" x14ac:dyDescent="0.25">
      <c r="A16" s="2" t="s">
        <v>15</v>
      </c>
      <c r="B16">
        <f>IF(B11&lt;0,0,ATAN2(F12,G12))</f>
        <v>0.76226523414134806</v>
      </c>
      <c r="C16" t="s">
        <v>17</v>
      </c>
      <c r="E16" s="1" t="s">
        <v>46</v>
      </c>
      <c r="F16" s="1" t="s">
        <v>47</v>
      </c>
      <c r="I16" s="1" t="s">
        <v>75</v>
      </c>
      <c r="J16" s="4">
        <f ca="1">((((PI()*B3*B3)-C109)*B9)+(C35*C109))*IF(B1="Spiral",0.85,0.8)*IF(B1="Spiral",0.75,0.65)</f>
        <v>1138.9324460784158</v>
      </c>
      <c r="K16" s="1">
        <f ca="1">J16/IF(B1="Spiral",0.75,0.65)</f>
        <v>1752.2037631975627</v>
      </c>
      <c r="L16">
        <f ca="1">J16/IF(B1="Spiral",0.85,0.8)</f>
        <v>1423.6655575980196</v>
      </c>
      <c r="AJ16">
        <v>0.24434609527920612</v>
      </c>
      <c r="AK16">
        <v>192.4065823552298</v>
      </c>
      <c r="AL16">
        <v>46.129611060939574</v>
      </c>
      <c r="AM16">
        <v>213.7850915058109</v>
      </c>
      <c r="AN16">
        <v>51.255123401043967</v>
      </c>
      <c r="AQ16">
        <v>14</v>
      </c>
      <c r="AR16">
        <f t="shared" si="2"/>
        <v>11.643548715311958</v>
      </c>
      <c r="AS16">
        <f t="shared" si="3"/>
        <v>2.9030627471960129</v>
      </c>
      <c r="AV16">
        <v>-114.04359999999988</v>
      </c>
      <c r="AW16">
        <v>84.97444398824058</v>
      </c>
      <c r="AX16">
        <v>84.974443988240566</v>
      </c>
      <c r="AY16">
        <f t="shared" si="0"/>
        <v>120.17201114328273</v>
      </c>
      <c r="AZ16">
        <v>-126.71511111111099</v>
      </c>
      <c r="BA16">
        <v>94.416048875822867</v>
      </c>
      <c r="BB16">
        <v>94.416048875822852</v>
      </c>
      <c r="BC16">
        <f t="shared" si="1"/>
        <v>133.52445682586969</v>
      </c>
      <c r="BF16">
        <v>-23.591621936277196</v>
      </c>
      <c r="BG16">
        <v>171.23041820921597</v>
      </c>
      <c r="BH16">
        <v>-5.9191052059759392E-14</v>
      </c>
      <c r="BI16">
        <f t="shared" si="4"/>
        <v>171.23041820921597</v>
      </c>
      <c r="BJ16">
        <v>-26.212913262530218</v>
      </c>
      <c r="BK16">
        <v>190.25602023246219</v>
      </c>
      <c r="BL16">
        <v>-6.5767835621954875E-14</v>
      </c>
      <c r="BM16">
        <f t="shared" si="5"/>
        <v>190.25602023246219</v>
      </c>
      <c r="BX16">
        <v>4.6415760861389224</v>
      </c>
    </row>
    <row r="17" spans="1:76" x14ac:dyDescent="0.25">
      <c r="A17" s="2" t="s">
        <v>16</v>
      </c>
      <c r="B17">
        <f>IF(B11&lt;0,0,IF(B16&lt;0,(2*PI())+ATAN2(F13,G13),ATAN2(F13,G13)))</f>
        <v>2.3793274194484448</v>
      </c>
      <c r="C17" t="s">
        <v>17</v>
      </c>
      <c r="E17" s="7" t="e">
        <f>IF(B2="Whitney",F12*COS(-1*$B$10)+G12*SIN(-1*$B$10),NA())</f>
        <v>#N/A</v>
      </c>
      <c r="F17" s="7">
        <f>-1*F12*SIN(-1*$B$10)+G12*COS(-1*$B$10)</f>
        <v>8.286739193509618</v>
      </c>
      <c r="G17" s="7">
        <f>F14*COS(-1*$B$10)+G14*SIN(-1*$B$10)</f>
        <v>9.4791136904048923</v>
      </c>
      <c r="H17" s="7">
        <f>-1*F14*SIN(-1*$B$10)+G14*COS(-1*$B$10)</f>
        <v>7.3584239918870216</v>
      </c>
      <c r="I17" s="1" t="s">
        <v>76</v>
      </c>
      <c r="J17" s="4">
        <f ca="1">-1*C109*C35*0.9</f>
        <v>-259.2</v>
      </c>
      <c r="K17" s="1">
        <f ca="1">J17/0.9</f>
        <v>-288</v>
      </c>
      <c r="AJ17">
        <v>0.26179938779914941</v>
      </c>
      <c r="AK17">
        <v>191.93010647165724</v>
      </c>
      <c r="AL17">
        <v>49.469728429860986</v>
      </c>
      <c r="AM17">
        <v>213.25567385739691</v>
      </c>
      <c r="AN17">
        <v>54.966364922067761</v>
      </c>
      <c r="AQ17">
        <v>15</v>
      </c>
      <c r="AR17">
        <f t="shared" si="2"/>
        <v>11.59110991546882</v>
      </c>
      <c r="AS17">
        <f t="shared" si="3"/>
        <v>3.1058285412302489</v>
      </c>
      <c r="AV17">
        <v>-103.67599999999989</v>
      </c>
      <c r="AW17">
        <v>89.866666763376102</v>
      </c>
      <c r="AX17">
        <v>89.866666763375292</v>
      </c>
      <c r="AY17">
        <f t="shared" si="0"/>
        <v>127.09065894202936</v>
      </c>
      <c r="AZ17">
        <v>-115.19555555555543</v>
      </c>
      <c r="BA17">
        <v>99.851851959306771</v>
      </c>
      <c r="BB17">
        <v>99.851851959305876</v>
      </c>
      <c r="BC17">
        <f t="shared" si="1"/>
        <v>141.21184326892151</v>
      </c>
      <c r="BF17">
        <v>-6.7631663602969994</v>
      </c>
      <c r="BG17">
        <v>182.32030502488317</v>
      </c>
      <c r="BH17">
        <v>8.4770590547122997E-14</v>
      </c>
      <c r="BI17">
        <f t="shared" si="4"/>
        <v>182.32030502488317</v>
      </c>
      <c r="BJ17">
        <v>-7.5146292892188882</v>
      </c>
      <c r="BK17">
        <v>202.57811669431462</v>
      </c>
      <c r="BL17">
        <v>9.4189545052358882E-14</v>
      </c>
      <c r="BM17">
        <f t="shared" si="5"/>
        <v>202.57811669431462</v>
      </c>
      <c r="BX17">
        <v>4.6415760380235067</v>
      </c>
    </row>
    <row r="18" spans="1:76" x14ac:dyDescent="0.25">
      <c r="C18" s="1"/>
      <c r="D18" s="1"/>
      <c r="E18" s="7" t="e">
        <f>IF(B2="Whitney",F13*COS(-1*$B$10)+G13*SIN(-1*$B$10),NA())</f>
        <v>#N/A</v>
      </c>
      <c r="F18" s="7">
        <f>-1*F13*SIN(-1*$B$10)+G13*COS(-1*$B$10)</f>
        <v>8.2867391935096215</v>
      </c>
      <c r="G18" s="7">
        <f>F15*COS(-1*$B$10)+G15*SIN(-1*$B$10)</f>
        <v>-9.4791136904048887</v>
      </c>
      <c r="H18" s="7">
        <f>-1*F15*SIN(-1*$B$10)+G15*COS(-1*$B$10)</f>
        <v>7.3584239918870269</v>
      </c>
      <c r="AJ18">
        <v>0.27925268031909273</v>
      </c>
      <c r="AK18">
        <v>191.41389496989424</v>
      </c>
      <c r="AL18">
        <v>52.817211118828801</v>
      </c>
      <c r="AM18">
        <v>212.68210552210471</v>
      </c>
      <c r="AN18">
        <v>58.685790132031997</v>
      </c>
      <c r="AQ18">
        <v>16</v>
      </c>
      <c r="AR18">
        <f t="shared" si="2"/>
        <v>11.535140351259827</v>
      </c>
      <c r="AS18">
        <f t="shared" si="3"/>
        <v>3.3076482698039902</v>
      </c>
      <c r="AV18">
        <v>-93.308399999999892</v>
      </c>
      <c r="AW18">
        <v>94.677058514338142</v>
      </c>
      <c r="AX18">
        <v>94.67705851433729</v>
      </c>
      <c r="AY18">
        <f t="shared" si="0"/>
        <v>133.89358019656751</v>
      </c>
      <c r="AZ18">
        <v>-103.67599999999987</v>
      </c>
      <c r="BA18">
        <v>105.19673168259793</v>
      </c>
      <c r="BB18">
        <v>105.19673168259699</v>
      </c>
      <c r="BC18">
        <f t="shared" si="1"/>
        <v>148.77064466285279</v>
      </c>
      <c r="BF18">
        <v>10.065289215683197</v>
      </c>
      <c r="BG18">
        <v>193.23189261031439</v>
      </c>
      <c r="BH18">
        <v>-5.9191052059759392E-14</v>
      </c>
      <c r="BI18">
        <f t="shared" si="4"/>
        <v>193.23189261031439</v>
      </c>
      <c r="BJ18">
        <v>11.183654684092442</v>
      </c>
      <c r="BK18">
        <v>214.7021029003493</v>
      </c>
      <c r="BL18">
        <v>-6.5767835621954875E-14</v>
      </c>
      <c r="BM18">
        <f t="shared" si="5"/>
        <v>214.7021029003493</v>
      </c>
      <c r="BX18">
        <v>4.6415760139796109</v>
      </c>
    </row>
    <row r="19" spans="1:76" x14ac:dyDescent="0.25">
      <c r="A19" t="s">
        <v>140</v>
      </c>
      <c r="C19">
        <f>IF(B2="Whitney",(-1*B13*MAX(K37:K108))/((C35/F35)-B13),(-1*B13*MAX(K37:K108))/((C35/F35)-B13)+50)</f>
        <v>118.27083333333334</v>
      </c>
      <c r="D19" t="s">
        <v>0</v>
      </c>
      <c r="L19">
        <f>IF(B16=0,(($B$3*$B$3*B16)/2),(($F$11*$F$11)/(2*TAN(B16)))+(($B$3*$B$3*B16)/2))</f>
        <v>90.844574196537877</v>
      </c>
      <c r="M19">
        <f>IF(B16=0,-1*POWER($B$3,3)*COS(B16)*(1/3),(POWER($F$11,3)/(3*TAN(B16)))-(POWER($B$3,3)*COS(B16)*(1/3)))</f>
        <v>-217.93666192248654</v>
      </c>
      <c r="N19">
        <f>IF(B16=0,POWER($B$3,3)*SIN(B16)*(1/3),(POWER($F$11,3)/(6*POWER(SIN(B16),2)))+(POWER($B$3,3)*SIN(B16)*(1/3)))</f>
        <v>596.64522193269261</v>
      </c>
      <c r="AJ19">
        <v>0.29670597283903605</v>
      </c>
      <c r="AK19">
        <v>190.85677139565334</v>
      </c>
      <c r="AL19">
        <v>56.17194508105473</v>
      </c>
      <c r="AM19">
        <v>212.0630793285037</v>
      </c>
      <c r="AN19">
        <v>62.413272312283034</v>
      </c>
      <c r="AQ19">
        <v>17</v>
      </c>
      <c r="AR19">
        <f t="shared" si="2"/>
        <v>11.475657071556425</v>
      </c>
      <c r="AS19">
        <f t="shared" si="3"/>
        <v>3.5084604566728412</v>
      </c>
      <c r="AV19">
        <v>-82.940799999999896</v>
      </c>
      <c r="AW19">
        <v>99.559824083609939</v>
      </c>
      <c r="AX19">
        <v>99.559824083609911</v>
      </c>
      <c r="AY19">
        <f t="shared" si="0"/>
        <v>140.79885348652064</v>
      </c>
      <c r="AZ19">
        <v>-92.156444444444332</v>
      </c>
      <c r="BA19">
        <v>110.62202675956659</v>
      </c>
      <c r="BB19">
        <v>110.62202675956657</v>
      </c>
      <c r="BC19">
        <f t="shared" si="1"/>
        <v>156.44317054057851</v>
      </c>
      <c r="BF19">
        <v>26.893744791663394</v>
      </c>
      <c r="BG19">
        <v>204.16703788181582</v>
      </c>
      <c r="BH19">
        <v>1.8954438019136434E-13</v>
      </c>
      <c r="BI19">
        <f t="shared" si="4"/>
        <v>204.16703788181582</v>
      </c>
      <c r="BJ19">
        <v>29.881938657403772</v>
      </c>
      <c r="BK19">
        <v>226.85226431312867</v>
      </c>
      <c r="BL19">
        <v>2.106048668792937E-13</v>
      </c>
      <c r="BM19">
        <f t="shared" si="5"/>
        <v>226.85226431312867</v>
      </c>
      <c r="BX19">
        <v>4.6415760081130237</v>
      </c>
    </row>
    <row r="20" spans="1:76" x14ac:dyDescent="0.25">
      <c r="L20">
        <f>IF(B17=0,(($B$3*$B$3*B17)/2),(($F$11*$F$11)/(2*TAN(B17)))+(($B$3*$B$3*B17)/2))</f>
        <v>135.35009686192723</v>
      </c>
      <c r="M20">
        <f>IF(B17=0,-1*POWER($B$3,3)*COS(B17)*(1/3),(POWER($F$11,3)/(3*TAN(B17)))-(POWER($B$3,3)*COS(B17)*(1/3)))</f>
        <v>217.93666192248654</v>
      </c>
      <c r="N20">
        <f>IF(B17=0,POWER($B$3,3)*SIN(B17)*(1/3),(POWER($F$11,3)/(6*POWER(SIN(B17),2)))+(POWER($B$3,3)*SIN(B17)*(1/3)))</f>
        <v>596.64522193269261</v>
      </c>
      <c r="AJ20">
        <v>0.31415926535897937</v>
      </c>
      <c r="AK20">
        <v>190.0194769232447</v>
      </c>
      <c r="AL20">
        <v>60.01828019538889</v>
      </c>
      <c r="AM20">
        <v>211.13275213693854</v>
      </c>
      <c r="AN20">
        <v>66.686977994876543</v>
      </c>
      <c r="AQ20">
        <v>18</v>
      </c>
      <c r="AR20">
        <f t="shared" si="2"/>
        <v>11.412678195541842</v>
      </c>
      <c r="AS20">
        <f t="shared" si="3"/>
        <v>3.7082039324993685</v>
      </c>
      <c r="AV20">
        <v>-72.5731999999999</v>
      </c>
      <c r="AW20">
        <v>104.43800189688599</v>
      </c>
      <c r="AX20">
        <v>104.43800189688598</v>
      </c>
      <c r="AY20">
        <f t="shared" si="0"/>
        <v>147.69763870972318</v>
      </c>
      <c r="AZ20">
        <v>-80.636888888888777</v>
      </c>
      <c r="BA20">
        <v>116.04222432987332</v>
      </c>
      <c r="BB20">
        <v>116.04222432987331</v>
      </c>
      <c r="BC20">
        <f t="shared" si="1"/>
        <v>164.10848745524797</v>
      </c>
      <c r="BF20">
        <v>43.722200367643595</v>
      </c>
      <c r="BG20">
        <v>214.69618862563769</v>
      </c>
      <c r="BH20">
        <v>-5.4927795645198794E-14</v>
      </c>
      <c r="BI20">
        <f t="shared" si="4"/>
        <v>214.69618862563769</v>
      </c>
      <c r="BJ20">
        <v>48.580222630715106</v>
      </c>
      <c r="BK20">
        <v>238.55132069515298</v>
      </c>
      <c r="BL20">
        <v>-6.1030884050220878E-14</v>
      </c>
      <c r="BM20">
        <f t="shared" si="5"/>
        <v>238.55132069515298</v>
      </c>
      <c r="BX20">
        <v>4.6415760081129944</v>
      </c>
    </row>
    <row r="21" spans="1:76" x14ac:dyDescent="0.25">
      <c r="L21">
        <f>L20-L19</f>
        <v>44.50552266538935</v>
      </c>
      <c r="M21">
        <f>M20-M19</f>
        <v>435.87332384497307</v>
      </c>
      <c r="N21">
        <f>N20-N19</f>
        <v>0</v>
      </c>
      <c r="AJ21">
        <v>0.33161255787892269</v>
      </c>
      <c r="AK21">
        <v>189.3428399693899</v>
      </c>
      <c r="AL21">
        <v>63.405168111198513</v>
      </c>
      <c r="AM21">
        <v>210.38093329932209</v>
      </c>
      <c r="AN21">
        <v>70.45018679022057</v>
      </c>
      <c r="AQ21">
        <v>19</v>
      </c>
      <c r="AR21">
        <f t="shared" si="2"/>
        <v>11.346222907191802</v>
      </c>
      <c r="AS21">
        <f t="shared" si="3"/>
        <v>3.9068178534858804</v>
      </c>
      <c r="AV21">
        <v>-62.205599999999905</v>
      </c>
      <c r="AW21">
        <v>109.30868043375084</v>
      </c>
      <c r="AX21">
        <v>109.30868043375041</v>
      </c>
      <c r="AY21">
        <f t="shared" si="0"/>
        <v>154.5858183545167</v>
      </c>
      <c r="AZ21">
        <v>-69.117333333333221</v>
      </c>
      <c r="BA21">
        <v>121.45408937083425</v>
      </c>
      <c r="BB21">
        <v>121.45408937083378</v>
      </c>
      <c r="BC21">
        <f t="shared" si="1"/>
        <v>171.76202039390745</v>
      </c>
      <c r="BF21">
        <v>60.550655943623795</v>
      </c>
      <c r="BG21">
        <v>223.43979991849756</v>
      </c>
      <c r="BH21">
        <v>1.0658141036401503E-14</v>
      </c>
      <c r="BI21">
        <f t="shared" si="4"/>
        <v>223.43979991849756</v>
      </c>
      <c r="BJ21">
        <v>67.278506604026433</v>
      </c>
      <c r="BK21">
        <v>248.26644435388616</v>
      </c>
      <c r="BL21">
        <v>1.1842378929335002E-14</v>
      </c>
      <c r="BM21">
        <f t="shared" si="5"/>
        <v>248.26644435388616</v>
      </c>
      <c r="BX21">
        <v>4.6415760081129802</v>
      </c>
    </row>
    <row r="22" spans="1:76" x14ac:dyDescent="0.25">
      <c r="A22" s="35" t="s">
        <v>72</v>
      </c>
      <c r="L22">
        <f>L21*B9</f>
        <v>189.14847132790473</v>
      </c>
      <c r="M22">
        <f>M21*B9</f>
        <v>1852.4616263411356</v>
      </c>
      <c r="N22">
        <f>N21*B9</f>
        <v>0</v>
      </c>
      <c r="AJ22">
        <v>0.34906585039886601</v>
      </c>
      <c r="AK22">
        <v>188.6213198679076</v>
      </c>
      <c r="AL22">
        <v>66.793557555502488</v>
      </c>
      <c r="AM22">
        <v>209.5792442976751</v>
      </c>
      <c r="AN22">
        <v>74.215063950558317</v>
      </c>
      <c r="AQ22">
        <v>20</v>
      </c>
      <c r="AR22">
        <f t="shared" si="2"/>
        <v>11.276311449430901</v>
      </c>
      <c r="AS22">
        <f t="shared" si="3"/>
        <v>4.1042417199080248</v>
      </c>
      <c r="AV22">
        <v>-51.837999999999909</v>
      </c>
      <c r="AW22">
        <v>114.16886513200062</v>
      </c>
      <c r="AX22">
        <v>114.16886513200139</v>
      </c>
      <c r="AY22">
        <f t="shared" si="0"/>
        <v>161.45915747042056</v>
      </c>
      <c r="AZ22">
        <v>-57.597777777777672</v>
      </c>
      <c r="BA22">
        <v>126.8542945911118</v>
      </c>
      <c r="BB22">
        <v>126.85429459111265</v>
      </c>
      <c r="BC22">
        <f t="shared" si="1"/>
        <v>179.39906385602288</v>
      </c>
      <c r="BF22">
        <v>77.379111519603995</v>
      </c>
      <c r="BG22">
        <v>231.8976446279637</v>
      </c>
      <c r="BH22">
        <v>-7.1980821303441188E-14</v>
      </c>
      <c r="BI22">
        <f t="shared" si="4"/>
        <v>231.8976446279637</v>
      </c>
      <c r="BJ22">
        <v>85.976790577337766</v>
      </c>
      <c r="BK22">
        <v>257.66404958662633</v>
      </c>
      <c r="BL22">
        <v>-7.9978690337156879E-14</v>
      </c>
      <c r="BM22">
        <f t="shared" si="5"/>
        <v>257.66404958662633</v>
      </c>
      <c r="BX22">
        <v>4.6415760081129731</v>
      </c>
    </row>
    <row r="23" spans="1:76" x14ac:dyDescent="0.25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0.36651914291880933</v>
      </c>
      <c r="AK23">
        <v>187.29392209923085</v>
      </c>
      <c r="AL23">
        <v>70.677650042716039</v>
      </c>
      <c r="AM23">
        <v>208.10435788803429</v>
      </c>
      <c r="AN23">
        <v>78.530722269684489</v>
      </c>
      <c r="AQ23">
        <v>21</v>
      </c>
      <c r="AR23">
        <f t="shared" si="2"/>
        <v>11.202965117966421</v>
      </c>
      <c r="AS23">
        <f t="shared" si="3"/>
        <v>4.3004153945436032</v>
      </c>
      <c r="AV23">
        <v>-41.470399999999913</v>
      </c>
      <c r="AW23">
        <v>119.01550598418861</v>
      </c>
      <c r="AX23">
        <v>119.01550598418937</v>
      </c>
      <c r="AY23">
        <f t="shared" si="0"/>
        <v>168.31334269553633</v>
      </c>
      <c r="AZ23">
        <v>-46.078222222222124</v>
      </c>
      <c r="BA23">
        <v>132.2394510935429</v>
      </c>
      <c r="BB23">
        <v>132.23945109354375</v>
      </c>
      <c r="BC23">
        <f t="shared" si="1"/>
        <v>187.0148252172626</v>
      </c>
      <c r="BF23">
        <v>94.207567095584196</v>
      </c>
      <c r="BG23">
        <v>240.25258495680109</v>
      </c>
      <c r="BH23">
        <v>4.1319481169921345E-14</v>
      </c>
      <c r="BI23">
        <f t="shared" si="4"/>
        <v>240.25258495680109</v>
      </c>
      <c r="BJ23">
        <v>104.6750745506491</v>
      </c>
      <c r="BK23">
        <v>266.94731661866786</v>
      </c>
      <c r="BL23">
        <v>4.5910534633245939E-14</v>
      </c>
      <c r="BM23">
        <f t="shared" si="5"/>
        <v>266.94731661866786</v>
      </c>
      <c r="BX23">
        <v>4.6415760081129696</v>
      </c>
    </row>
    <row r="24" spans="1:76" x14ac:dyDescent="0.25">
      <c r="A24" s="1" t="s">
        <v>23</v>
      </c>
      <c r="B24" s="1"/>
      <c r="C24" s="1"/>
      <c r="D24" s="1"/>
      <c r="E24" s="1"/>
      <c r="F24" s="1"/>
      <c r="G24" s="1"/>
      <c r="H24" s="1">
        <f>IF(F11&lt;(-1*B3),B9*POWER(B3,2)*(2*PI())*(1/2),B9*POWER(B3,2)*(B17-B16)*(1/2))</f>
        <v>494.82102870397159</v>
      </c>
      <c r="I24" s="1">
        <f>IF(F11&lt;(-1*B3),0,(1/3)*B9*POWER(B3,3)*((COS(B16)-COS(B17))))</f>
        <v>3541.1474674001824</v>
      </c>
      <c r="J24" s="1">
        <f>IF(F11&lt;(-1*B3),0,(1/3)*B9*POWER(B3,3)*((SIN(B17)-SIN(B16))))</f>
        <v>8.1534778928471476E-13</v>
      </c>
      <c r="L24">
        <f>(((POWER(B3,2)-POWER(F11,2))*TAN(B17))+((POWER(F11,2)-POWER(B3,2))*TAN(B16)))/(2*TAN(B16)*TAN(B17))</f>
        <v>78.89834233947407</v>
      </c>
      <c r="AJ24">
        <v>0.38397243543875265</v>
      </c>
      <c r="AK24">
        <v>185.75623078619429</v>
      </c>
      <c r="AL24">
        <v>74.641494607171524</v>
      </c>
      <c r="AM24">
        <v>206.39581198466033</v>
      </c>
      <c r="AN24">
        <v>82.934994007968356</v>
      </c>
      <c r="AQ24">
        <v>22</v>
      </c>
      <c r="AR24">
        <f t="shared" si="2"/>
        <v>11.126206254801449</v>
      </c>
      <c r="AS24">
        <f t="shared" si="3"/>
        <v>4.4952791209909444</v>
      </c>
      <c r="AV24">
        <v>-31.102799999999913</v>
      </c>
      <c r="AW24">
        <v>123.8455250540473</v>
      </c>
      <c r="AX24">
        <v>123.84552505404686</v>
      </c>
      <c r="AY24">
        <f t="shared" si="0"/>
        <v>175.14402117065032</v>
      </c>
      <c r="AZ24">
        <v>-34.558666666666568</v>
      </c>
      <c r="BA24">
        <v>137.60613894894144</v>
      </c>
      <c r="BB24">
        <v>137.60613894894095</v>
      </c>
      <c r="BC24">
        <f t="shared" si="1"/>
        <v>194.60446796738924</v>
      </c>
      <c r="BF24">
        <v>111.0360226715644</v>
      </c>
      <c r="BG24">
        <v>248.50045047495624</v>
      </c>
      <c r="BH24">
        <v>6.3948846218409018E-15</v>
      </c>
      <c r="BI24">
        <f t="shared" si="4"/>
        <v>248.50045047495624</v>
      </c>
      <c r="BJ24">
        <v>123.37335852396043</v>
      </c>
      <c r="BK24">
        <v>276.11161163884026</v>
      </c>
      <c r="BL24">
        <v>7.1054273576010019E-15</v>
      </c>
      <c r="BM24">
        <f t="shared" si="5"/>
        <v>276.11161163884026</v>
      </c>
      <c r="BX24">
        <v>4.6415760081129678</v>
      </c>
    </row>
    <row r="25" spans="1:76" x14ac:dyDescent="0.25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B9*L24</f>
        <v>335.3179549427648</v>
      </c>
      <c r="AJ25">
        <v>0.40142572795869597</v>
      </c>
      <c r="AK25">
        <v>184.12899743120101</v>
      </c>
      <c r="AL25">
        <v>78.569983441941602</v>
      </c>
      <c r="AM25">
        <v>204.58777492355668</v>
      </c>
      <c r="AN25">
        <v>87.299981602157331</v>
      </c>
      <c r="AQ25">
        <v>23</v>
      </c>
      <c r="AR25">
        <f t="shared" si="2"/>
        <v>11.046058241429284</v>
      </c>
      <c r="AS25">
        <f t="shared" si="3"/>
        <v>4.688773541871285</v>
      </c>
      <c r="AV25">
        <v>-20.735199999999914</v>
      </c>
      <c r="AW25">
        <v>128.65584312421765</v>
      </c>
      <c r="AX25">
        <v>128.65584312421785</v>
      </c>
      <c r="AY25">
        <f t="shared" si="0"/>
        <v>181.94683822481406</v>
      </c>
      <c r="AZ25">
        <v>-23.039111111111016</v>
      </c>
      <c r="BA25">
        <v>142.95093680468628</v>
      </c>
      <c r="BB25">
        <v>142.95093680468651</v>
      </c>
      <c r="BC25">
        <f t="shared" si="1"/>
        <v>202.16315358312673</v>
      </c>
      <c r="BF25">
        <v>127.8644782475446</v>
      </c>
      <c r="BG25">
        <v>256.63710142093572</v>
      </c>
      <c r="BH25">
        <v>6.3045035858522168E-14</v>
      </c>
      <c r="BI25">
        <f t="shared" si="4"/>
        <v>256.63710142093572</v>
      </c>
      <c r="BJ25">
        <v>142.07164249727177</v>
      </c>
      <c r="BK25">
        <v>285.15233491215082</v>
      </c>
      <c r="BL25">
        <v>7.0050039842802407E-14</v>
      </c>
      <c r="BM25">
        <f t="shared" si="5"/>
        <v>285.15233491215082</v>
      </c>
      <c r="BX25">
        <v>4.6415760081129669</v>
      </c>
    </row>
    <row r="26" spans="1:76" x14ac:dyDescent="0.25">
      <c r="A26" s="1" t="s">
        <v>25</v>
      </c>
      <c r="B26" s="1">
        <v>0</v>
      </c>
      <c r="C26" s="1">
        <v>0</v>
      </c>
      <c r="D26" s="9">
        <f>F12</f>
        <v>8.6792830083337833</v>
      </c>
      <c r="E26" s="9">
        <f>G12</f>
        <v>8.2867391935096197</v>
      </c>
      <c r="F26" s="7">
        <f>IF(AND(C26=0,E26=0,B26=0,D26=0),0,$B$9)</f>
        <v>4.25</v>
      </c>
      <c r="G26" s="7">
        <f>IF(AND(C26=0,E26=0,B26=0,D26=0),0,$B$9)</f>
        <v>4.25</v>
      </c>
      <c r="H26" s="7">
        <f>(1/6)*(E26-C26)*((F26*((2*B26)+D26))+(G26*(B26+(2*D26))))</f>
        <v>152.8362786880335</v>
      </c>
      <c r="I26" s="7">
        <f>((1/12)*(E26-C26)*(F26*B26*((3*C26)+E26)+F26*D26*(C26+E26)+G26*B26*(C26+E26)+G26*D26*(C26+(3*E26))))</f>
        <v>844.34292052952412</v>
      </c>
      <c r="J26" s="7">
        <f t="shared" ref="J26" si="6">((-1/24)*(E26-C26)*(B26*B26*((3*F26)+G26)+2*B26*D26*(F26+G26)+D26*D26*(F26+(3*G26))))</f>
        <v>-442.16977222467193</v>
      </c>
      <c r="AJ26">
        <v>0.41887902047863929</v>
      </c>
      <c r="AK26">
        <v>182.41344801492619</v>
      </c>
      <c r="AL26">
        <v>82.460156767857242</v>
      </c>
      <c r="AM26">
        <v>202.68160890547352</v>
      </c>
      <c r="AN26">
        <v>91.622396408730268</v>
      </c>
      <c r="AQ26">
        <v>24</v>
      </c>
      <c r="AR26">
        <f t="shared" si="2"/>
        <v>10.962545491711211</v>
      </c>
      <c r="AS26">
        <f t="shared" si="3"/>
        <v>4.8808397169096027</v>
      </c>
      <c r="AV26">
        <v>-10.367599999999914</v>
      </c>
      <c r="AW26">
        <v>133.44340484430234</v>
      </c>
      <c r="AX26">
        <v>133.44340484430211</v>
      </c>
      <c r="AY26">
        <f t="shared" si="0"/>
        <v>188.71747294005576</v>
      </c>
      <c r="AZ26">
        <v>-11.51955555555546</v>
      </c>
      <c r="BA26">
        <v>148.27044982700258</v>
      </c>
      <c r="BB26">
        <v>148.27044982700235</v>
      </c>
      <c r="BC26">
        <f t="shared" si="1"/>
        <v>209.68608104450641</v>
      </c>
      <c r="BF26">
        <v>144.69293382352478</v>
      </c>
      <c r="BG26">
        <v>264.6584353836115</v>
      </c>
      <c r="BH26">
        <v>-2.8529711926239543E-14</v>
      </c>
      <c r="BI26">
        <f t="shared" si="4"/>
        <v>264.6584353836115</v>
      </c>
      <c r="BJ26">
        <v>160.7699264705831</v>
      </c>
      <c r="BK26">
        <v>294.0649282040128</v>
      </c>
      <c r="BL26">
        <v>-3.1699679918043935E-14</v>
      </c>
      <c r="BM26">
        <f t="shared" si="5"/>
        <v>294.0649282040128</v>
      </c>
      <c r="BX26">
        <v>4.641576008112966</v>
      </c>
    </row>
    <row r="27" spans="1:76" x14ac:dyDescent="0.25">
      <c r="A27" s="1" t="s">
        <v>27</v>
      </c>
      <c r="B27" s="9">
        <f>D26</f>
        <v>8.6792830083337833</v>
      </c>
      <c r="C27" s="9">
        <f>E26</f>
        <v>8.2867391935096197</v>
      </c>
      <c r="D27" s="1">
        <f>F13</f>
        <v>-8.6792830083337833</v>
      </c>
      <c r="E27" s="9">
        <f>G13</f>
        <v>8.2867391935096197</v>
      </c>
      <c r="F27" s="7">
        <f>IF(AND(C27=0,E27=0,B27=0,D27=0),0,$B$9)</f>
        <v>4.25</v>
      </c>
      <c r="G27" s="7">
        <f>IF(AND(C27=0,E27=0,B27=0,D27=0),0,$B$9)</f>
        <v>4.25</v>
      </c>
      <c r="H27" s="7">
        <f t="shared" ref="H27:H28" si="7">(1/6)*(E27-C27)*((F27*((2*B27)+D27))+(G27*(B27+(2*D27))))</f>
        <v>0</v>
      </c>
      <c r="I27" s="7">
        <f t="shared" ref="I27:I28" si="8">((1/12)*(E27-C27)*(F27*B27*((3*C27)+E27)+F27*D27*(C27+E27)+G27*B27*(C27+E27)+G27*D27*(C27+(3*E27))))</f>
        <v>0</v>
      </c>
      <c r="J27" s="7">
        <f t="shared" ref="J27:J28" si="9">((-1/24)*(E27-C27)*(B27*B27*((3*F27)+G27)+2*B27*D27*(F27+G27)+D27*D27*(F27+(3*G27))))</f>
        <v>0</v>
      </c>
      <c r="AJ27">
        <v>0.43633231299858261</v>
      </c>
      <c r="AK27">
        <v>180.60559184858127</v>
      </c>
      <c r="AL27">
        <v>86.145236869342511</v>
      </c>
      <c r="AM27">
        <v>200.67287983175697</v>
      </c>
      <c r="AN27">
        <v>95.716929854825011</v>
      </c>
      <c r="AQ27">
        <v>25</v>
      </c>
      <c r="AR27">
        <f t="shared" si="2"/>
        <v>10.875693444439799</v>
      </c>
      <c r="AS27">
        <f t="shared" si="3"/>
        <v>5.0714191408883931</v>
      </c>
      <c r="AV27">
        <v>0</v>
      </c>
      <c r="AW27">
        <v>138.20520175454604</v>
      </c>
      <c r="AX27">
        <v>138.20520175454661</v>
      </c>
      <c r="AY27">
        <f t="shared" si="0"/>
        <v>195.45167071178926</v>
      </c>
      <c r="AZ27">
        <v>0</v>
      </c>
      <c r="BA27">
        <v>153.56133528282894</v>
      </c>
      <c r="BB27">
        <v>153.56133528282956</v>
      </c>
      <c r="BC27">
        <f t="shared" si="1"/>
        <v>217.16852301309919</v>
      </c>
      <c r="BF27">
        <v>161.52138939950498</v>
      </c>
      <c r="BG27">
        <v>270.23707516290597</v>
      </c>
      <c r="BH27">
        <v>6.3196079880290315E-15</v>
      </c>
      <c r="BI27">
        <f t="shared" si="4"/>
        <v>270.23707516290597</v>
      </c>
      <c r="BJ27">
        <v>181.60596373239707</v>
      </c>
      <c r="BK27">
        <v>303.84003415051217</v>
      </c>
      <c r="BL27">
        <v>7.1054273576010019E-15</v>
      </c>
      <c r="BM27">
        <f t="shared" si="5"/>
        <v>303.84003415051217</v>
      </c>
      <c r="BX27">
        <v>4.641576008112966</v>
      </c>
    </row>
    <row r="28" spans="1:76" ht="15.75" thickBot="1" x14ac:dyDescent="0.3">
      <c r="A28" s="1" t="s">
        <v>26</v>
      </c>
      <c r="B28" s="1">
        <f>D27</f>
        <v>-8.6792830083337833</v>
      </c>
      <c r="C28" s="9">
        <f>E27</f>
        <v>8.2867391935096197</v>
      </c>
      <c r="D28" s="1">
        <v>0</v>
      </c>
      <c r="E28" s="1">
        <v>0</v>
      </c>
      <c r="F28" s="7">
        <f>IF(AND(C28=0,E28=0,B28=0,D28=0),0,$B$9)</f>
        <v>4.25</v>
      </c>
      <c r="G28" s="7">
        <f>IF(AND(C28=0,E28=0,B28=0,D28=0),0,$B$9)</f>
        <v>4.25</v>
      </c>
      <c r="H28" s="11">
        <f t="shared" si="7"/>
        <v>152.8362786880335</v>
      </c>
      <c r="I28" s="11">
        <f t="shared" si="8"/>
        <v>844.34292052952412</v>
      </c>
      <c r="J28" s="11">
        <f t="shared" si="9"/>
        <v>442.16977222467193</v>
      </c>
      <c r="AJ28">
        <v>0.45378560551852593</v>
      </c>
      <c r="AK28">
        <v>178.71983044517796</v>
      </c>
      <c r="AL28">
        <v>89.051381777774111</v>
      </c>
      <c r="AM28">
        <v>198.57758938353106</v>
      </c>
      <c r="AN28">
        <v>98.945979753082341</v>
      </c>
      <c r="AQ28">
        <v>26</v>
      </c>
      <c r="AR28">
        <f t="shared" si="2"/>
        <v>10.785528555590005</v>
      </c>
      <c r="AS28">
        <f t="shared" si="3"/>
        <v>5.2604537614689288</v>
      </c>
      <c r="AV28">
        <v>28.473111151960392</v>
      </c>
      <c r="AW28">
        <v>151.12661523244807</v>
      </c>
      <c r="AX28">
        <v>151.12661523244884</v>
      </c>
      <c r="AY28">
        <f t="shared" si="0"/>
        <v>213.72530889726897</v>
      </c>
      <c r="AZ28">
        <v>31.636790168844879</v>
      </c>
      <c r="BA28">
        <v>167.91846136938673</v>
      </c>
      <c r="BB28">
        <v>167.91846136938759</v>
      </c>
      <c r="BC28">
        <f t="shared" si="1"/>
        <v>237.47256544140996</v>
      </c>
      <c r="BF28">
        <v>178.34984497548518</v>
      </c>
      <c r="BG28">
        <v>274.95337042599192</v>
      </c>
      <c r="BH28">
        <v>7.6252129022270482E-14</v>
      </c>
      <c r="BI28">
        <f t="shared" si="4"/>
        <v>274.95337042599192</v>
      </c>
      <c r="BJ28">
        <v>203.68531462447174</v>
      </c>
      <c r="BK28">
        <v>314.01184436114886</v>
      </c>
      <c r="BL28">
        <v>8.708411769475788E-14</v>
      </c>
      <c r="BM28">
        <f t="shared" si="5"/>
        <v>314.01184436114886</v>
      </c>
      <c r="BX28">
        <v>4.641576008112966</v>
      </c>
    </row>
    <row r="29" spans="1:76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305.672557376067</v>
      </c>
      <c r="I29" s="7">
        <f t="shared" ref="I29:J29" si="10">SUM(I26:I28)</f>
        <v>1688.6858410590482</v>
      </c>
      <c r="J29" s="7">
        <f t="shared" si="10"/>
        <v>0</v>
      </c>
      <c r="AJ29">
        <v>0.47123889803846924</v>
      </c>
      <c r="AK29">
        <v>176.80339360760146</v>
      </c>
      <c r="AL29">
        <v>91.924727767609397</v>
      </c>
      <c r="AM29">
        <v>196.44821511955718</v>
      </c>
      <c r="AN29">
        <v>102.13858640845488</v>
      </c>
      <c r="AQ29">
        <v>27</v>
      </c>
      <c r="AR29">
        <f t="shared" si="2"/>
        <v>10.692078290260415</v>
      </c>
      <c r="AS29">
        <f t="shared" si="3"/>
        <v>5.447885996874561</v>
      </c>
      <c r="AV29">
        <v>56.946222303920784</v>
      </c>
      <c r="AW29">
        <v>163.7747072693121</v>
      </c>
      <c r="AX29">
        <v>163.7747072693117</v>
      </c>
      <c r="AY29">
        <f t="shared" si="0"/>
        <v>231.61241219394441</v>
      </c>
      <c r="AZ29">
        <v>63.273580337689758</v>
      </c>
      <c r="BA29">
        <v>181.97189696590235</v>
      </c>
      <c r="BB29">
        <v>181.97189696590189</v>
      </c>
      <c r="BC29">
        <f t="shared" si="1"/>
        <v>257.34712465993823</v>
      </c>
      <c r="BF29">
        <v>195.17830055146538</v>
      </c>
      <c r="BG29">
        <v>279.47369016676828</v>
      </c>
      <c r="BH29">
        <v>6.1231143430415907E-15</v>
      </c>
      <c r="BI29">
        <f t="shared" si="4"/>
        <v>279.47369016676828</v>
      </c>
      <c r="BJ29">
        <v>226.49017455054783</v>
      </c>
      <c r="BK29">
        <v>324.30882269858881</v>
      </c>
      <c r="BL29">
        <v>7.1054273576010019E-15</v>
      </c>
      <c r="BM29">
        <f t="shared" si="5"/>
        <v>324.30882269858881</v>
      </c>
      <c r="BX29">
        <v>4.6415760081129651</v>
      </c>
    </row>
    <row r="30" spans="1:76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1852.4616263411342</v>
      </c>
      <c r="AJ30">
        <v>0.48869219055841256</v>
      </c>
      <c r="AK30">
        <v>174.67568056389194</v>
      </c>
      <c r="AL30">
        <v>95.236554008528017</v>
      </c>
      <c r="AM30">
        <v>194.08408951543549</v>
      </c>
      <c r="AN30">
        <v>105.8183933428089</v>
      </c>
      <c r="AQ30">
        <v>28</v>
      </c>
      <c r="AR30">
        <f t="shared" si="2"/>
        <v>10.595371114307124</v>
      </c>
      <c r="AS30">
        <f t="shared" si="3"/>
        <v>5.6336587534306899</v>
      </c>
      <c r="AV30">
        <v>85.419333455881173</v>
      </c>
      <c r="AW30">
        <v>176.09891716195432</v>
      </c>
      <c r="AX30">
        <v>176.09891716195426</v>
      </c>
      <c r="AY30">
        <f t="shared" si="0"/>
        <v>249.04147696965194</v>
      </c>
      <c r="AZ30">
        <v>94.910370506534633</v>
      </c>
      <c r="BA30">
        <v>195.66546351328256</v>
      </c>
      <c r="BB30">
        <v>195.6654635132825</v>
      </c>
      <c r="BC30">
        <f t="shared" si="1"/>
        <v>276.71275218850212</v>
      </c>
      <c r="BF30">
        <v>212.00675612744558</v>
      </c>
      <c r="BG30">
        <v>283.78300315563411</v>
      </c>
      <c r="BH30">
        <v>-5.9775529824505505E-14</v>
      </c>
      <c r="BI30">
        <f t="shared" si="4"/>
        <v>283.78300315563411</v>
      </c>
      <c r="BJ30">
        <v>250.06037199961361</v>
      </c>
      <c r="BK30">
        <v>334.71991474463584</v>
      </c>
      <c r="BL30">
        <v>-7.0504787193688872E-14</v>
      </c>
      <c r="BM30">
        <f t="shared" si="5"/>
        <v>334.71991474463584</v>
      </c>
      <c r="BX30">
        <v>4.6415760081129651</v>
      </c>
    </row>
    <row r="31" spans="1:76" x14ac:dyDescent="0.25">
      <c r="A31" s="2" t="s">
        <v>85</v>
      </c>
      <c r="B31" s="5">
        <v>8</v>
      </c>
      <c r="C31" s="1"/>
      <c r="D31" s="2" t="s">
        <v>74</v>
      </c>
      <c r="E31" s="8">
        <v>2.8124999999999991</v>
      </c>
      <c r="F31" s="1"/>
      <c r="G31" s="1" t="s">
        <v>73</v>
      </c>
      <c r="H31" s="7">
        <f>H24-H29</f>
        <v>189.14847132790459</v>
      </c>
      <c r="I31" s="7">
        <f>(I24-I29)</f>
        <v>1852.4616263411342</v>
      </c>
      <c r="J31" s="7">
        <f t="shared" ref="J31" si="11">J24-J29</f>
        <v>8.1534778928471476E-13</v>
      </c>
      <c r="L31">
        <f>(-1*(I31)*SIN(-1*B10))+((J31)*COS(-1*B10))</f>
        <v>3.6143968942684478E-13</v>
      </c>
      <c r="AJ31">
        <v>0.50614548307835583</v>
      </c>
      <c r="AK31">
        <v>172.69747129451255</v>
      </c>
      <c r="AL31">
        <v>98.002655001920346</v>
      </c>
      <c r="AM31">
        <v>191.88607921612504</v>
      </c>
      <c r="AN31">
        <v>108.8918388910226</v>
      </c>
      <c r="AQ31">
        <v>29</v>
      </c>
      <c r="AR31">
        <f t="shared" si="2"/>
        <v>10.495436485672748</v>
      </c>
      <c r="AS31">
        <f t="shared" si="3"/>
        <v>5.8177154429560449</v>
      </c>
      <c r="AV31">
        <v>113.89244460784157</v>
      </c>
      <c r="AW31">
        <v>188.05609570035605</v>
      </c>
      <c r="AX31">
        <v>188.05609570035605</v>
      </c>
      <c r="AY31">
        <f t="shared" si="0"/>
        <v>265.9514810263762</v>
      </c>
      <c r="AZ31">
        <v>126.54716067537952</v>
      </c>
      <c r="BA31">
        <v>208.95121744484004</v>
      </c>
      <c r="BB31">
        <v>208.95121744484004</v>
      </c>
      <c r="BC31">
        <f t="shared" si="1"/>
        <v>295.50164558486244</v>
      </c>
      <c r="BF31">
        <v>228.83521170342578</v>
      </c>
      <c r="BG31">
        <v>287.86501016731501</v>
      </c>
      <c r="BH31">
        <v>5.9247358173957328E-15</v>
      </c>
      <c r="BI31">
        <f t="shared" si="4"/>
        <v>287.86501016731501</v>
      </c>
      <c r="BJ31">
        <v>274.43788613255811</v>
      </c>
      <c r="BK31">
        <v>345.23124432542295</v>
      </c>
      <c r="BL31">
        <v>7.1054273576010019E-15</v>
      </c>
      <c r="BM31">
        <f t="shared" si="5"/>
        <v>345.23124432542295</v>
      </c>
      <c r="BX31">
        <v>4.6415760081129687</v>
      </c>
    </row>
    <row r="32" spans="1:76" x14ac:dyDescent="0.25">
      <c r="A32" s="2" t="s">
        <v>86</v>
      </c>
      <c r="B32" s="37">
        <f ca="1">C109/(PI()*B3*B3)</f>
        <v>1.0610329539459689E-2</v>
      </c>
      <c r="D32" t="s">
        <v>45</v>
      </c>
      <c r="E32" s="14">
        <f>360/B31</f>
        <v>45</v>
      </c>
      <c r="AJ32">
        <v>0.52359877559829915</v>
      </c>
      <c r="AK32">
        <v>170.69546023617767</v>
      </c>
      <c r="AL32">
        <v>100.73469936375398</v>
      </c>
      <c r="AM32">
        <v>189.66162248464184</v>
      </c>
      <c r="AN32">
        <v>111.92744373750442</v>
      </c>
      <c r="AQ32">
        <v>30</v>
      </c>
      <c r="AR32">
        <f t="shared" si="2"/>
        <v>10.392304845413264</v>
      </c>
      <c r="AS32">
        <f t="shared" si="3"/>
        <v>5.9999999999999991</v>
      </c>
      <c r="AV32">
        <v>142.36555575980196</v>
      </c>
      <c r="AW32">
        <v>199.61046584168676</v>
      </c>
      <c r="AX32">
        <v>199.61046584168631</v>
      </c>
      <c r="AY32">
        <f t="shared" si="0"/>
        <v>282.29182798492451</v>
      </c>
      <c r="AZ32">
        <v>158.1839508442244</v>
      </c>
      <c r="BA32">
        <v>221.78940649076307</v>
      </c>
      <c r="BB32">
        <v>221.78940649076256</v>
      </c>
      <c r="BC32">
        <f t="shared" si="1"/>
        <v>313.65758664991614</v>
      </c>
      <c r="BF32">
        <v>245.66366727940598</v>
      </c>
      <c r="BG32">
        <v>291.70205068750306</v>
      </c>
      <c r="BH32">
        <v>7.7666040885795191E-15</v>
      </c>
      <c r="BI32">
        <f t="shared" si="4"/>
        <v>291.70205068750306</v>
      </c>
      <c r="BJ32">
        <v>299.66685093380534</v>
      </c>
      <c r="BK32">
        <v>355.82565345748702</v>
      </c>
      <c r="BL32">
        <v>9.473903143468002E-15</v>
      </c>
      <c r="BM32">
        <f t="shared" si="5"/>
        <v>355.82565345748702</v>
      </c>
      <c r="BX32">
        <v>4.6415760081129678</v>
      </c>
    </row>
    <row r="33" spans="1:76" x14ac:dyDescent="0.25">
      <c r="D33" s="2" t="s">
        <v>13</v>
      </c>
      <c r="E33" s="14">
        <f>(B3-E31)*COS(RADIANS(E32))</f>
        <v>6.4965435521514054</v>
      </c>
      <c r="AJ33">
        <v>0.54105206811824247</v>
      </c>
      <c r="AK33">
        <v>168.67055992299956</v>
      </c>
      <c r="AL33">
        <v>103.43343833362216</v>
      </c>
      <c r="AM33">
        <v>187.41173324777728</v>
      </c>
      <c r="AN33">
        <v>114.92604259291352</v>
      </c>
      <c r="AQ33">
        <v>31</v>
      </c>
      <c r="AR33">
        <f t="shared" si="2"/>
        <v>10.286007608425347</v>
      </c>
      <c r="AS33">
        <f t="shared" si="3"/>
        <v>6.1804568989206494</v>
      </c>
      <c r="AV33">
        <v>170.83866691176235</v>
      </c>
      <c r="AW33">
        <v>210.73140877407889</v>
      </c>
      <c r="AX33">
        <v>210.73140877407897</v>
      </c>
      <c r="AY33">
        <f t="shared" si="0"/>
        <v>298.01921630629107</v>
      </c>
      <c r="AZ33">
        <v>189.82074101306927</v>
      </c>
      <c r="BA33">
        <v>234.14600974897652</v>
      </c>
      <c r="BB33">
        <v>234.14600974897664</v>
      </c>
      <c r="BC33">
        <f t="shared" si="1"/>
        <v>331.13246256254558</v>
      </c>
      <c r="BF33">
        <v>262.49212285538619</v>
      </c>
      <c r="BG33">
        <v>295.12018758065966</v>
      </c>
      <c r="BH33">
        <v>9.5386782408232546E-15</v>
      </c>
      <c r="BI33">
        <f t="shared" si="4"/>
        <v>295.12018758065966</v>
      </c>
      <c r="BJ33">
        <v>325.88699464830177</v>
      </c>
      <c r="BK33">
        <v>366.39511290664535</v>
      </c>
      <c r="BL33">
        <v>1.1842378929335004E-14</v>
      </c>
      <c r="BM33">
        <f t="shared" si="5"/>
        <v>366.39511290664535</v>
      </c>
      <c r="BX33">
        <v>4.6415760081129704</v>
      </c>
    </row>
    <row r="34" spans="1:76" x14ac:dyDescent="0.25">
      <c r="A34" t="s">
        <v>37</v>
      </c>
      <c r="D34" s="2" t="s">
        <v>14</v>
      </c>
      <c r="E34" s="14">
        <f>(B3-E31)*SIN(RADIANS(E32))</f>
        <v>6.4965435521514046</v>
      </c>
      <c r="Z34" t="str">
        <f>"Mx vs My @ Pu = " &amp;AI1&amp;" Kips"</f>
        <v>Mx vs My @ Pu = 0 Kips</v>
      </c>
      <c r="AJ34">
        <v>0.55850536063818579</v>
      </c>
      <c r="AK34">
        <v>166.62359723724728</v>
      </c>
      <c r="AL34">
        <v>106.0996707605763</v>
      </c>
      <c r="AM34">
        <v>185.13733026360808</v>
      </c>
      <c r="AN34">
        <v>117.88852306730701</v>
      </c>
      <c r="AQ34">
        <v>32</v>
      </c>
      <c r="AR34">
        <f t="shared" si="2"/>
        <v>10.176577153877112</v>
      </c>
      <c r="AS34">
        <f t="shared" si="3"/>
        <v>6.3590311707984588</v>
      </c>
      <c r="AV34">
        <v>199.31177806372273</v>
      </c>
      <c r="AW34">
        <v>219.87873307605318</v>
      </c>
      <c r="AX34">
        <v>219.87873307605321</v>
      </c>
      <c r="AY34">
        <f t="shared" si="0"/>
        <v>310.95548639356804</v>
      </c>
      <c r="AZ34">
        <v>221.45753118191413</v>
      </c>
      <c r="BA34">
        <v>244.30970341783686</v>
      </c>
      <c r="BB34">
        <v>244.30970341783689</v>
      </c>
      <c r="BC34">
        <f t="shared" si="1"/>
        <v>345.50609599285337</v>
      </c>
      <c r="BF34">
        <v>279.32057843136636</v>
      </c>
      <c r="BG34">
        <v>298.22358539189219</v>
      </c>
      <c r="BH34">
        <v>1.1241978042986389E-14</v>
      </c>
      <c r="BI34">
        <f t="shared" si="4"/>
        <v>298.22358539189219</v>
      </c>
      <c r="BJ34">
        <v>353.08591992231658</v>
      </c>
      <c r="BK34">
        <v>376.98099288628447</v>
      </c>
      <c r="BL34">
        <v>1.4210854715202004E-14</v>
      </c>
      <c r="BM34">
        <f t="shared" si="5"/>
        <v>376.98099288628447</v>
      </c>
      <c r="BX34">
        <v>4.6415760081129758</v>
      </c>
    </row>
    <row r="35" spans="1:76" x14ac:dyDescent="0.25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120</v>
      </c>
      <c r="X35" t="s">
        <v>121</v>
      </c>
      <c r="AJ35">
        <v>0.57595865315812911</v>
      </c>
      <c r="AK35">
        <v>164.5553087629832</v>
      </c>
      <c r="AL35">
        <v>108.73423627568431</v>
      </c>
      <c r="AM35">
        <v>182.83923195887022</v>
      </c>
      <c r="AN35">
        <v>120.81581808409368</v>
      </c>
      <c r="AQ35">
        <v>33</v>
      </c>
      <c r="AR35">
        <f t="shared" si="2"/>
        <v>10.064046815345089</v>
      </c>
      <c r="AS35">
        <f t="shared" si="3"/>
        <v>6.5356684201803255</v>
      </c>
      <c r="AV35">
        <v>227.78488921568311</v>
      </c>
      <c r="AW35">
        <v>227.86224419932208</v>
      </c>
      <c r="AX35">
        <v>227.86224419932211</v>
      </c>
      <c r="AY35">
        <f t="shared" si="0"/>
        <v>322.24587609945144</v>
      </c>
      <c r="AZ35">
        <v>253.094321350759</v>
      </c>
      <c r="BA35">
        <v>253.18027133258008</v>
      </c>
      <c r="BB35">
        <v>253.18027133258011</v>
      </c>
      <c r="BC35">
        <f t="shared" si="1"/>
        <v>358.05097344383489</v>
      </c>
      <c r="BF35">
        <v>296.14903400734653</v>
      </c>
      <c r="BG35">
        <v>301.01414703183087</v>
      </c>
      <c r="BH35">
        <v>-5.2920163535186846E-14</v>
      </c>
      <c r="BI35">
        <f t="shared" si="4"/>
        <v>301.01414703183087</v>
      </c>
      <c r="BJ35">
        <v>381.30083991205777</v>
      </c>
      <c r="BK35">
        <v>387.56482010271054</v>
      </c>
      <c r="BL35">
        <v>-6.813631140782188E-14</v>
      </c>
      <c r="BM35">
        <f t="shared" si="5"/>
        <v>387.56482010271054</v>
      </c>
      <c r="BX35">
        <v>4.6419899723238203</v>
      </c>
    </row>
    <row r="36" spans="1:76" x14ac:dyDescent="0.25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0.59341194567807243</v>
      </c>
      <c r="AK36">
        <v>162.46633667759707</v>
      </c>
      <c r="AL36">
        <v>111.33800792202852</v>
      </c>
      <c r="AM36">
        <v>180.51815186399674</v>
      </c>
      <c r="AN36">
        <v>123.70889769114279</v>
      </c>
      <c r="AQ36">
        <v>34</v>
      </c>
      <c r="AR36">
        <f t="shared" si="2"/>
        <v>9.9484508706604995</v>
      </c>
      <c r="AS36">
        <f t="shared" si="3"/>
        <v>6.7103148416489624</v>
      </c>
      <c r="AV36">
        <v>256.25800036764349</v>
      </c>
      <c r="AW36">
        <v>235.68282726315977</v>
      </c>
      <c r="AX36">
        <v>235.68282726315965</v>
      </c>
      <c r="AY36">
        <f t="shared" si="0"/>
        <v>333.3058507339959</v>
      </c>
      <c r="AZ36">
        <v>284.73111151960387</v>
      </c>
      <c r="BA36">
        <v>261.8698080701775</v>
      </c>
      <c r="BB36">
        <v>261.86980807017738</v>
      </c>
      <c r="BC36">
        <f t="shared" si="1"/>
        <v>370.33983414888434</v>
      </c>
      <c r="BF36">
        <v>312.9774895833267</v>
      </c>
      <c r="BG36">
        <v>303.46716141688927</v>
      </c>
      <c r="BH36">
        <v>9.0271233429793076E-15</v>
      </c>
      <c r="BI36">
        <f t="shared" si="4"/>
        <v>303.46716141688927</v>
      </c>
      <c r="BJ36">
        <v>410.58462227397632</v>
      </c>
      <c r="BK36">
        <v>398.1083432191574</v>
      </c>
      <c r="BL36">
        <v>1.1842378929335004E-14</v>
      </c>
      <c r="BM36">
        <f t="shared" si="5"/>
        <v>398.1083432191574</v>
      </c>
      <c r="BX36">
        <v>4.6419899723238256</v>
      </c>
    </row>
    <row r="37" spans="1:76" x14ac:dyDescent="0.25">
      <c r="A37">
        <v>1</v>
      </c>
      <c r="B37" s="5">
        <v>7</v>
      </c>
      <c r="C37" s="1">
        <f t="shared" ref="C37:C68" ca="1" si="12">IF(A37&lt;=$B$31,OFFSET($Q$36,MATCH(B37,$Q$36:$Q$47,0)-1,2),0)</f>
        <v>0.6</v>
      </c>
      <c r="D37" s="46">
        <f>IF($E$32*(A37-1)&gt;=360,0,($B$3-$E$31)*COS(RADIANS(($E$32*(A37-1)))))</f>
        <v>9.1875</v>
      </c>
      <c r="E37" s="46">
        <f>IF($E$32*(A37-1)&gt;=360,0,($B$3-$E$31)*SIN(RADIANS($E$32*(A37-1))))</f>
        <v>0</v>
      </c>
      <c r="G37">
        <f ca="1">IF(C37=0,NA(),D37)</f>
        <v>9.1875</v>
      </c>
      <c r="H37">
        <f ca="1">IF(C37=0,NA(),E37)</f>
        <v>0</v>
      </c>
      <c r="I37" s="7">
        <f>D37*COS($B$10)+E37*SIN($B$10)</f>
        <v>9.1875</v>
      </c>
      <c r="J37" s="7">
        <f>-1*D37*SIN($B$10)+E37*COS($B$10)</f>
        <v>2.2512102858945893E-15</v>
      </c>
      <c r="K37">
        <f>IF(B37=0,0,$B$3-J37)</f>
        <v>11.999999999999998</v>
      </c>
      <c r="L37" s="15">
        <f ca="1">IF($B$11&lt;=0,-1,IF(C37=0,0,(($B$11-K37)/$B$11)*$B$13)*IF($B$11&lt;0,-1,1))</f>
        <v>-4.7559863152248005E-3</v>
      </c>
      <c r="M37" s="9">
        <f t="shared" ref="M37:M68" ca="1" si="13">IF(AND(L37&gt;0,K37&lt;=$B$12),MIN((L37*F$35),C$35)-IF($B$2="Whitney",$B$9,B151),MAX(L37*F$35,-1*C$35))</f>
        <v>-60</v>
      </c>
      <c r="N37" s="7">
        <f ca="1">M37*C37</f>
        <v>-36</v>
      </c>
      <c r="O37" s="7">
        <f ca="1">N37*J37</f>
        <v>-8.1043570292205214E-14</v>
      </c>
      <c r="P37" s="7">
        <f ca="1">N37*I37</f>
        <v>-330.75</v>
      </c>
      <c r="Q37" s="1">
        <v>3</v>
      </c>
      <c r="R37" s="7">
        <v>0.375</v>
      </c>
      <c r="S37" s="7">
        <v>0.11</v>
      </c>
      <c r="U37">
        <f ca="1">IF(AND(N37&lt;0,C37&gt;0),D37,NA())</f>
        <v>9.1875</v>
      </c>
      <c r="V37">
        <f ca="1">IF(AND(N37&lt;0,C37&gt;0),E37,NA())</f>
        <v>0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10</v>
      </c>
      <c r="AA37" s="10">
        <f>J11</f>
        <v>10</v>
      </c>
      <c r="AJ37">
        <v>0.61086523819801575</v>
      </c>
      <c r="AK37">
        <v>160.35722532316512</v>
      </c>
      <c r="AL37">
        <v>113.91188432797547</v>
      </c>
      <c r="AM37">
        <v>178.17469480351681</v>
      </c>
      <c r="AN37">
        <v>126.56876036441719</v>
      </c>
      <c r="AQ37">
        <v>35</v>
      </c>
      <c r="AR37">
        <f t="shared" si="2"/>
        <v>9.8298245314679011</v>
      </c>
      <c r="AS37">
        <f t="shared" si="3"/>
        <v>6.8829172362125526</v>
      </c>
      <c r="AV37">
        <v>284.73111151960387</v>
      </c>
      <c r="AW37">
        <v>237.15841279523235</v>
      </c>
      <c r="AX37">
        <v>237.15841279523224</v>
      </c>
      <c r="AY37">
        <f t="shared" si="0"/>
        <v>335.39264380589447</v>
      </c>
      <c r="AZ37">
        <v>328.35742613369638</v>
      </c>
      <c r="BA37">
        <v>273.49566963648653</v>
      </c>
      <c r="BB37">
        <v>273.49566963648641</v>
      </c>
      <c r="BC37">
        <f t="shared" si="1"/>
        <v>386.78128525023067</v>
      </c>
      <c r="BF37">
        <v>329.80594515930687</v>
      </c>
      <c r="BG37">
        <v>305.55621068229431</v>
      </c>
      <c r="BH37">
        <v>8.8566032431196252E-15</v>
      </c>
      <c r="BI37">
        <f t="shared" si="4"/>
        <v>305.55621068229431</v>
      </c>
      <c r="BJ37">
        <v>440.9915255894723</v>
      </c>
      <c r="BK37">
        <v>408.56661767281275</v>
      </c>
      <c r="BL37">
        <v>1.1842378929335004E-14</v>
      </c>
      <c r="BM37">
        <f t="shared" si="5"/>
        <v>408.56661767281275</v>
      </c>
      <c r="BX37">
        <v>4.6419899723238238</v>
      </c>
    </row>
    <row r="38" spans="1:76" x14ac:dyDescent="0.25">
      <c r="A38">
        <v>2</v>
      </c>
      <c r="B38" s="5">
        <v>7</v>
      </c>
      <c r="C38" s="1">
        <f t="shared" ca="1" si="12"/>
        <v>0.6</v>
      </c>
      <c r="D38" s="46">
        <f t="shared" ref="D38:D101" si="14">IF($E$32*(A38-1)&gt;=360,0,($B$3-$E$31)*COS(RADIANS(($E$32*(A38-1)))))</f>
        <v>6.4965435521514054</v>
      </c>
      <c r="E38" s="46">
        <f t="shared" ref="E38:E101" si="15">IF($E$32*(A38-1)&gt;=360,0,($B$3-$E$31)*SIN(RADIANS($E$32*(A38-1))))</f>
        <v>6.4965435521514046</v>
      </c>
      <c r="G38">
        <f t="shared" ref="G38:G101" ca="1" si="16">IF(C38=0,NA(),D38)</f>
        <v>6.4965435521514054</v>
      </c>
      <c r="H38">
        <f t="shared" ref="H38:H101" ca="1" si="17">IF(C38=0,NA(),E38)</f>
        <v>6.4965435521514046</v>
      </c>
      <c r="I38" s="7">
        <f t="shared" ref="I38:I101" si="18">D38*COS($B$10)+E38*SIN($B$10)</f>
        <v>6.4965435521514037</v>
      </c>
      <c r="J38" s="7">
        <f t="shared" ref="J38:J101" si="19">-1*D38*SIN($B$10)+E38*COS($B$10)</f>
        <v>6.4965435521514063</v>
      </c>
      <c r="K38">
        <f t="shared" ref="K38:K101" si="20">IF(B38=0,0,$B$3-J38)</f>
        <v>5.5034564478485937</v>
      </c>
      <c r="L38" s="15">
        <f t="shared" ref="L38:L101" ca="1" si="21">IF($B$11&lt;=0,-1,IF(C38=0,0,(($B$11-K38)/$B$11)*$B$13)*IF($B$11&lt;0,-1,1))</f>
        <v>-5.5706107466244883E-4</v>
      </c>
      <c r="M38" s="9">
        <f t="shared" ca="1" si="13"/>
        <v>-16.154771165211017</v>
      </c>
      <c r="N38" s="7">
        <f t="shared" ref="N38:N101" ca="1" si="22">M38*C38</f>
        <v>-9.6928626991266089</v>
      </c>
      <c r="O38" s="7">
        <f t="shared" ref="O38:O101" ca="1" si="23">N38*J38</f>
        <v>-62.970104669899847</v>
      </c>
      <c r="P38" s="7">
        <f t="shared" ref="P38:P101" ca="1" si="24">N38*I38</f>
        <v>-62.970104669899825</v>
      </c>
      <c r="Q38" s="1">
        <v>4</v>
      </c>
      <c r="R38" s="7">
        <v>0.5</v>
      </c>
      <c r="S38" s="7">
        <v>0.2</v>
      </c>
      <c r="U38">
        <f t="shared" ref="U38:U101" ca="1" si="25">IF(AND(N38&lt;0,C38&gt;0),D38,NA())</f>
        <v>6.4965435521514054</v>
      </c>
      <c r="V38">
        <f t="shared" ref="V38:V101" ca="1" si="26">IF(AND(N38&lt;0,C38&gt;0),E38,NA())</f>
        <v>6.4965435521514046</v>
      </c>
      <c r="X38" t="e">
        <f t="shared" ref="X38:X101" ca="1" si="27">IF(AND(N38&gt;=0,C38&gt;0),D38,NA())</f>
        <v>#N/A</v>
      </c>
      <c r="Y38" t="e">
        <f t="shared" ref="Y38:Y101" ca="1" si="28">IF(AND(N38&gt;=0,C38&gt;0),E38,NA())</f>
        <v>#N/A</v>
      </c>
      <c r="Z38" s="10">
        <f ca="1">J4</f>
        <v>195.45167071178761</v>
      </c>
      <c r="AA38" s="10">
        <f ca="1">J5</f>
        <v>-3.2970065025408886E-14</v>
      </c>
      <c r="AJ38">
        <v>0.62831853071795907</v>
      </c>
      <c r="AK38">
        <v>158.22841848177393</v>
      </c>
      <c r="AL38">
        <v>116.45678147411468</v>
      </c>
      <c r="AM38">
        <v>175.80935386863769</v>
      </c>
      <c r="AN38">
        <v>129.39642386012741</v>
      </c>
      <c r="AQ38">
        <v>36</v>
      </c>
      <c r="AR38">
        <f t="shared" si="2"/>
        <v>9.7082039324993694</v>
      </c>
      <c r="AS38">
        <f t="shared" si="3"/>
        <v>7.0534230275096776</v>
      </c>
      <c r="AV38">
        <v>313.20422267156425</v>
      </c>
      <c r="AW38">
        <v>237.58616641080548</v>
      </c>
      <c r="AX38">
        <v>237.58616641080545</v>
      </c>
      <c r="AY38">
        <f t="shared" si="0"/>
        <v>335.99757877039218</v>
      </c>
      <c r="AZ38">
        <v>376.81173906555472</v>
      </c>
      <c r="BA38">
        <v>285.83668438293336</v>
      </c>
      <c r="BB38">
        <v>285.8366843829333</v>
      </c>
      <c r="BC38">
        <f t="shared" si="1"/>
        <v>404.23411567810217</v>
      </c>
      <c r="BF38">
        <v>346.63440073528704</v>
      </c>
      <c r="BG38">
        <v>307.25300408335124</v>
      </c>
      <c r="BH38">
        <v>5.2118189117711913E-15</v>
      </c>
      <c r="BI38">
        <f t="shared" si="4"/>
        <v>307.25300408335124</v>
      </c>
      <c r="BJ38">
        <v>472.57696319942039</v>
      </c>
      <c r="BK38">
        <v>418.88713669389693</v>
      </c>
      <c r="BL38">
        <v>7.1054273576010019E-15</v>
      </c>
      <c r="BM38">
        <f t="shared" si="5"/>
        <v>418.88713669389693</v>
      </c>
      <c r="BX38">
        <v>4.6419899723238238</v>
      </c>
    </row>
    <row r="39" spans="1:76" x14ac:dyDescent="0.25">
      <c r="A39">
        <v>3</v>
      </c>
      <c r="B39" s="5">
        <v>7</v>
      </c>
      <c r="C39" s="1">
        <f t="shared" ca="1" si="12"/>
        <v>0.6</v>
      </c>
      <c r="D39" s="46">
        <f t="shared" si="14"/>
        <v>5.6280257147364732E-16</v>
      </c>
      <c r="E39" s="46">
        <f t="shared" si="15"/>
        <v>9.1875</v>
      </c>
      <c r="G39">
        <f t="shared" ca="1" si="16"/>
        <v>5.6280257147364732E-16</v>
      </c>
      <c r="H39">
        <f t="shared" ca="1" si="17"/>
        <v>9.1875</v>
      </c>
      <c r="I39" s="7">
        <f t="shared" si="18"/>
        <v>-1.688407714420942E-15</v>
      </c>
      <c r="J39" s="7">
        <f t="shared" si="19"/>
        <v>9.1875</v>
      </c>
      <c r="K39">
        <f t="shared" si="20"/>
        <v>2.8125</v>
      </c>
      <c r="L39" s="15">
        <f t="shared" ca="1" si="21"/>
        <v>1.1821907073691872E-3</v>
      </c>
      <c r="M39" s="9">
        <f t="shared" ca="1" si="13"/>
        <v>30.831625025555887</v>
      </c>
      <c r="N39" s="7">
        <f t="shared" ca="1" si="22"/>
        <v>18.498975015333532</v>
      </c>
      <c r="O39" s="7">
        <f t="shared" ca="1" si="23"/>
        <v>169.95933295337682</v>
      </c>
      <c r="P39" s="7">
        <f t="shared" ca="1" si="24"/>
        <v>-3.1233812124769394E-14</v>
      </c>
      <c r="Q39" s="1">
        <v>5</v>
      </c>
      <c r="R39" s="7">
        <v>0.625</v>
      </c>
      <c r="S39" s="7">
        <v>0.31</v>
      </c>
      <c r="U39" t="e">
        <f t="shared" ca="1" si="25"/>
        <v>#N/A</v>
      </c>
      <c r="V39" t="e">
        <f t="shared" ca="1" si="26"/>
        <v>#N/A</v>
      </c>
      <c r="X39">
        <f t="shared" ca="1" si="27"/>
        <v>5.6280257147364732E-16</v>
      </c>
      <c r="Y39">
        <f t="shared" ca="1" si="28"/>
        <v>9.1875</v>
      </c>
      <c r="AJ39">
        <v>0.64577182323790239</v>
      </c>
      <c r="AK39">
        <v>156.08025738626858</v>
      </c>
      <c r="AL39">
        <v>118.97362411136868</v>
      </c>
      <c r="AM39">
        <v>173.42250820696509</v>
      </c>
      <c r="AN39">
        <v>132.19291567929852</v>
      </c>
      <c r="AQ39">
        <v>37</v>
      </c>
      <c r="AR39">
        <f t="shared" si="2"/>
        <v>9.583626120567514</v>
      </c>
      <c r="AS39">
        <f t="shared" si="3"/>
        <v>7.2217802778245792</v>
      </c>
      <c r="AV39">
        <v>341.67733382352463</v>
      </c>
      <c r="AW39">
        <v>237.27416712960837</v>
      </c>
      <c r="AX39">
        <v>237.27416712960823</v>
      </c>
      <c r="AY39">
        <f t="shared" si="0"/>
        <v>335.55634515547251</v>
      </c>
      <c r="AZ39">
        <v>429.52403933291129</v>
      </c>
      <c r="BA39">
        <v>298.27837145176409</v>
      </c>
      <c r="BB39">
        <v>298.27837145176392</v>
      </c>
      <c r="BC39">
        <f t="shared" si="1"/>
        <v>421.82931826964449</v>
      </c>
      <c r="BF39">
        <v>363.46285631126722</v>
      </c>
      <c r="BG39">
        <v>308.52733609014501</v>
      </c>
      <c r="BH39">
        <v>6.8132792881860367E-15</v>
      </c>
      <c r="BI39">
        <f t="shared" si="4"/>
        <v>308.52733609014501</v>
      </c>
      <c r="BJ39">
        <v>505.3971445016083</v>
      </c>
      <c r="BK39">
        <v>429.00899487542364</v>
      </c>
      <c r="BL39">
        <v>9.473903143468002E-15</v>
      </c>
      <c r="BM39">
        <f t="shared" si="5"/>
        <v>429.00899487542364</v>
      </c>
      <c r="BX39">
        <v>4.6419899723238238</v>
      </c>
    </row>
    <row r="40" spans="1:76" x14ac:dyDescent="0.25">
      <c r="A40">
        <v>4</v>
      </c>
      <c r="B40" s="5">
        <v>7</v>
      </c>
      <c r="C40" s="1">
        <f t="shared" ca="1" si="12"/>
        <v>0.6</v>
      </c>
      <c r="D40" s="46">
        <f t="shared" si="14"/>
        <v>-6.4965435521514046</v>
      </c>
      <c r="E40" s="46">
        <f t="shared" si="15"/>
        <v>6.4965435521514054</v>
      </c>
      <c r="G40">
        <f t="shared" ca="1" si="16"/>
        <v>-6.4965435521514046</v>
      </c>
      <c r="H40">
        <f t="shared" ca="1" si="17"/>
        <v>6.4965435521514054</v>
      </c>
      <c r="I40" s="7">
        <f t="shared" si="18"/>
        <v>-6.4965435521514063</v>
      </c>
      <c r="J40" s="7">
        <f t="shared" si="19"/>
        <v>6.4965435521514037</v>
      </c>
      <c r="K40">
        <f t="shared" si="20"/>
        <v>5.5034564478485963</v>
      </c>
      <c r="L40" s="15">
        <f t="shared" ca="1" si="21"/>
        <v>-5.5706107466245067E-4</v>
      </c>
      <c r="M40" s="9">
        <f t="shared" ca="1" si="13"/>
        <v>-16.15477116521107</v>
      </c>
      <c r="N40" s="7">
        <f t="shared" ca="1" si="22"/>
        <v>-9.6928626991266409</v>
      </c>
      <c r="O40" s="7">
        <f t="shared" ca="1" si="23"/>
        <v>-62.970104669900032</v>
      </c>
      <c r="P40" s="7">
        <f t="shared" ca="1" si="24"/>
        <v>62.970104669900053</v>
      </c>
      <c r="Q40" s="1">
        <v>6</v>
      </c>
      <c r="R40" s="7">
        <v>0.75</v>
      </c>
      <c r="S40" s="7">
        <v>0.44</v>
      </c>
      <c r="U40">
        <f t="shared" ca="1" si="25"/>
        <v>-6.4965435521514046</v>
      </c>
      <c r="V40">
        <f t="shared" ca="1" si="26"/>
        <v>6.4965435521514054</v>
      </c>
      <c r="X40" t="e">
        <f t="shared" ca="1" si="27"/>
        <v>#N/A</v>
      </c>
      <c r="Y40" t="e">
        <f t="shared" ca="1" si="28"/>
        <v>#N/A</v>
      </c>
      <c r="AJ40">
        <v>0.66322511575784571</v>
      </c>
      <c r="AK40">
        <v>153.91297958718218</v>
      </c>
      <c r="AL40">
        <v>121.46333695311306</v>
      </c>
      <c r="AM40">
        <v>171.01442176353575</v>
      </c>
      <c r="AN40">
        <v>134.95926328123673</v>
      </c>
      <c r="AQ40">
        <v>38</v>
      </c>
      <c r="AR40">
        <f t="shared" si="2"/>
        <v>9.4561290432806633</v>
      </c>
      <c r="AS40">
        <f t="shared" si="3"/>
        <v>7.3879377039078999</v>
      </c>
      <c r="AV40">
        <v>370.15044497548502</v>
      </c>
      <c r="AW40">
        <v>236.23304425205905</v>
      </c>
      <c r="AX40">
        <v>236.23304425205899</v>
      </c>
      <c r="AY40">
        <f t="shared" si="0"/>
        <v>334.08397506194541</v>
      </c>
      <c r="AZ40">
        <v>486.6501021792028</v>
      </c>
      <c r="BA40">
        <v>310.58407921401425</v>
      </c>
      <c r="BB40">
        <v>310.5840792140142</v>
      </c>
      <c r="BC40">
        <f t="shared" si="1"/>
        <v>439.23221708161861</v>
      </c>
      <c r="BF40">
        <v>380.29131188724739</v>
      </c>
      <c r="BG40">
        <v>307.84025475201946</v>
      </c>
      <c r="BH40">
        <v>-3.349457533280173E-15</v>
      </c>
      <c r="BI40">
        <f t="shared" si="4"/>
        <v>307.84025475201946</v>
      </c>
      <c r="BJ40">
        <v>537.82485959656969</v>
      </c>
      <c r="BK40">
        <v>435.361357503916</v>
      </c>
      <c r="BL40">
        <v>-4.736951571734001E-15</v>
      </c>
      <c r="BM40">
        <f t="shared" si="5"/>
        <v>435.361357503916</v>
      </c>
      <c r="BX40">
        <v>4.6419899723238238</v>
      </c>
    </row>
    <row r="41" spans="1:76" x14ac:dyDescent="0.25">
      <c r="A41">
        <v>5</v>
      </c>
      <c r="B41" s="5">
        <v>7</v>
      </c>
      <c r="C41" s="1">
        <f t="shared" ca="1" si="12"/>
        <v>0.6</v>
      </c>
      <c r="D41" s="46">
        <f t="shared" si="14"/>
        <v>-9.1875</v>
      </c>
      <c r="E41" s="46">
        <f t="shared" si="15"/>
        <v>1.1256051429472946E-15</v>
      </c>
      <c r="G41">
        <f t="shared" ca="1" si="16"/>
        <v>-9.1875</v>
      </c>
      <c r="H41">
        <f t="shared" ca="1" si="17"/>
        <v>1.1256051429472946E-15</v>
      </c>
      <c r="I41" s="7">
        <f t="shared" si="18"/>
        <v>-9.1875</v>
      </c>
      <c r="J41" s="7">
        <f t="shared" si="19"/>
        <v>-1.1256051429472946E-15</v>
      </c>
      <c r="K41">
        <f t="shared" si="20"/>
        <v>12.000000000000002</v>
      </c>
      <c r="L41" s="15">
        <f t="shared" ca="1" si="21"/>
        <v>-4.7559863152248022E-3</v>
      </c>
      <c r="M41" s="9">
        <f t="shared" ca="1" si="13"/>
        <v>-60</v>
      </c>
      <c r="N41" s="7">
        <f t="shared" ca="1" si="22"/>
        <v>-36</v>
      </c>
      <c r="O41" s="7">
        <f t="shared" ca="1" si="23"/>
        <v>4.0521785146102607E-14</v>
      </c>
      <c r="P41" s="7">
        <f t="shared" ca="1" si="24"/>
        <v>330.75</v>
      </c>
      <c r="Q41" s="1">
        <v>7</v>
      </c>
      <c r="R41" s="7">
        <v>0.875</v>
      </c>
      <c r="S41" s="7">
        <v>0.6</v>
      </c>
      <c r="U41">
        <f t="shared" ca="1" si="25"/>
        <v>-9.1875</v>
      </c>
      <c r="V41">
        <f t="shared" ca="1" si="26"/>
        <v>1.1256051429472946E-15</v>
      </c>
      <c r="X41" t="e">
        <f t="shared" ca="1" si="27"/>
        <v>#N/A</v>
      </c>
      <c r="Y41" t="e">
        <f t="shared" ca="1" si="28"/>
        <v>#N/A</v>
      </c>
      <c r="AJ41">
        <v>0.68067840827778903</v>
      </c>
      <c r="AK41">
        <v>151.72671861934549</v>
      </c>
      <c r="AL41">
        <v>123.92683567608266</v>
      </c>
      <c r="AM41">
        <v>168.58524291038387</v>
      </c>
      <c r="AN41">
        <v>137.69648408453628</v>
      </c>
      <c r="AQ41">
        <v>39</v>
      </c>
      <c r="AR41">
        <f t="shared" si="2"/>
        <v>9.3257515374836508</v>
      </c>
      <c r="AS41">
        <f t="shared" si="3"/>
        <v>7.5518446925980491</v>
      </c>
      <c r="AV41">
        <v>398.6235561274454</v>
      </c>
      <c r="AW41">
        <v>234.50226551137143</v>
      </c>
      <c r="AX41">
        <v>234.50226551137143</v>
      </c>
      <c r="AY41">
        <f t="shared" si="0"/>
        <v>331.63628429339798</v>
      </c>
      <c r="AZ41">
        <v>548.15752340183553</v>
      </c>
      <c r="BA41">
        <v>322.47010774680786</v>
      </c>
      <c r="BB41">
        <v>322.47010774680786</v>
      </c>
      <c r="BC41">
        <f t="shared" si="1"/>
        <v>456.04159983544895</v>
      </c>
      <c r="BF41">
        <v>397.11976746322756</v>
      </c>
      <c r="BG41">
        <v>306.62604480791487</v>
      </c>
      <c r="BH41">
        <v>-1.6469140693207831E-15</v>
      </c>
      <c r="BI41">
        <f t="shared" si="4"/>
        <v>306.62604480791487</v>
      </c>
      <c r="BJ41">
        <v>571.10967162585212</v>
      </c>
      <c r="BK41">
        <v>440.96797517992491</v>
      </c>
      <c r="BL41">
        <v>-2.3684757858670005E-15</v>
      </c>
      <c r="BM41">
        <f t="shared" si="5"/>
        <v>440.96797517992491</v>
      </c>
      <c r="BX41">
        <v>4.6419899723238238</v>
      </c>
    </row>
    <row r="42" spans="1:76" x14ac:dyDescent="0.25">
      <c r="A42">
        <v>6</v>
      </c>
      <c r="B42" s="5">
        <v>7</v>
      </c>
      <c r="C42" s="1">
        <f t="shared" ca="1" si="12"/>
        <v>0.6</v>
      </c>
      <c r="D42" s="46">
        <f t="shared" si="14"/>
        <v>-6.4965435521514072</v>
      </c>
      <c r="E42" s="46">
        <f t="shared" si="15"/>
        <v>-6.4965435521514046</v>
      </c>
      <c r="G42">
        <f t="shared" ca="1" si="16"/>
        <v>-6.4965435521514072</v>
      </c>
      <c r="H42">
        <f t="shared" ca="1" si="17"/>
        <v>-6.4965435521514046</v>
      </c>
      <c r="I42" s="7">
        <f t="shared" si="18"/>
        <v>-6.4965435521514054</v>
      </c>
      <c r="J42" s="7">
        <f t="shared" si="19"/>
        <v>-6.4965435521514063</v>
      </c>
      <c r="K42">
        <f t="shared" si="20"/>
        <v>18.496543552151408</v>
      </c>
      <c r="L42" s="15">
        <f t="shared" ca="1" si="21"/>
        <v>-8.9549115557871536E-3</v>
      </c>
      <c r="M42" s="9">
        <f t="shared" ca="1" si="13"/>
        <v>-60</v>
      </c>
      <c r="N42" s="7">
        <f t="shared" ca="1" si="22"/>
        <v>-36</v>
      </c>
      <c r="O42" s="7">
        <f t="shared" ca="1" si="23"/>
        <v>233.87556787745064</v>
      </c>
      <c r="P42" s="7">
        <f t="shared" ca="1" si="24"/>
        <v>233.87556787745061</v>
      </c>
      <c r="Q42" s="1">
        <v>8</v>
      </c>
      <c r="R42" s="7">
        <v>1</v>
      </c>
      <c r="S42" s="7">
        <v>0.79</v>
      </c>
      <c r="U42">
        <f t="shared" ca="1" si="25"/>
        <v>-6.4965435521514072</v>
      </c>
      <c r="V42">
        <f t="shared" ca="1" si="26"/>
        <v>-6.4965435521514046</v>
      </c>
      <c r="X42" t="e">
        <f t="shared" ca="1" si="27"/>
        <v>#N/A</v>
      </c>
      <c r="Y42" t="e">
        <f t="shared" ca="1" si="28"/>
        <v>#N/A</v>
      </c>
      <c r="AJ42">
        <v>0.69813170079773235</v>
      </c>
      <c r="AK42">
        <v>149.52150456607379</v>
      </c>
      <c r="AL42">
        <v>126.36501786396688</v>
      </c>
      <c r="AM42">
        <v>166.13500507341533</v>
      </c>
      <c r="AN42">
        <v>140.40557540440764</v>
      </c>
      <c r="AQ42">
        <v>40</v>
      </c>
      <c r="AR42">
        <f t="shared" si="2"/>
        <v>9.1925333174277366</v>
      </c>
      <c r="AS42">
        <f t="shared" si="3"/>
        <v>7.713451316238471</v>
      </c>
      <c r="AV42">
        <v>427.09666727940578</v>
      </c>
      <c r="AW42">
        <v>230.72819428229855</v>
      </c>
      <c r="AX42">
        <v>230.72819428229852</v>
      </c>
      <c r="AY42">
        <f t="shared" si="0"/>
        <v>326.29894157588097</v>
      </c>
      <c r="AZ42">
        <v>609.97905868418127</v>
      </c>
      <c r="BA42">
        <v>329.52579016062879</v>
      </c>
      <c r="BB42">
        <v>329.52579016062873</v>
      </c>
      <c r="BC42">
        <f t="shared" si="1"/>
        <v>466.0198415968718</v>
      </c>
      <c r="BF42">
        <v>413.94822303920773</v>
      </c>
      <c r="BG42">
        <v>305.11311199275679</v>
      </c>
      <c r="BH42">
        <v>1.6190510405227528E-15</v>
      </c>
      <c r="BI42">
        <f t="shared" si="4"/>
        <v>305.11311199275679</v>
      </c>
      <c r="BJ42">
        <v>605.55616736732384</v>
      </c>
      <c r="BK42">
        <v>446.34356769385323</v>
      </c>
      <c r="BL42">
        <v>2.3684757858670005E-15</v>
      </c>
      <c r="BM42">
        <f t="shared" si="5"/>
        <v>446.34356769385323</v>
      </c>
      <c r="BX42">
        <v>4.8179195331243667</v>
      </c>
    </row>
    <row r="43" spans="1:76" x14ac:dyDescent="0.25">
      <c r="A43">
        <v>7</v>
      </c>
      <c r="B43" s="5">
        <v>7</v>
      </c>
      <c r="C43" s="1">
        <f t="shared" ca="1" si="12"/>
        <v>0.6</v>
      </c>
      <c r="D43" s="46">
        <f t="shared" si="14"/>
        <v>-1.688407714420942E-15</v>
      </c>
      <c r="E43" s="46">
        <f t="shared" si="15"/>
        <v>-9.1875</v>
      </c>
      <c r="G43">
        <f t="shared" ca="1" si="16"/>
        <v>-1.688407714420942E-15</v>
      </c>
      <c r="H43">
        <f t="shared" ca="1" si="17"/>
        <v>-9.1875</v>
      </c>
      <c r="I43" s="7">
        <f t="shared" si="18"/>
        <v>5.6280257147364732E-16</v>
      </c>
      <c r="J43" s="7">
        <f t="shared" si="19"/>
        <v>-9.1875</v>
      </c>
      <c r="K43">
        <f t="shared" si="20"/>
        <v>21.1875</v>
      </c>
      <c r="L43" s="15">
        <f t="shared" ca="1" si="21"/>
        <v>-1.0694163337818788E-2</v>
      </c>
      <c r="M43" s="9">
        <f t="shared" ca="1" si="13"/>
        <v>-60</v>
      </c>
      <c r="N43" s="7">
        <f t="shared" ca="1" si="22"/>
        <v>-36</v>
      </c>
      <c r="O43" s="7">
        <f t="shared" ca="1" si="23"/>
        <v>330.75</v>
      </c>
      <c r="P43" s="7">
        <f t="shared" ca="1" si="24"/>
        <v>-2.0260892573051303E-14</v>
      </c>
      <c r="Q43" s="1">
        <v>9</v>
      </c>
      <c r="R43" s="7">
        <v>1.1279999999999999</v>
      </c>
      <c r="S43" s="7">
        <v>1</v>
      </c>
      <c r="U43">
        <f t="shared" ca="1" si="25"/>
        <v>-1.688407714420942E-15</v>
      </c>
      <c r="V43">
        <f t="shared" ca="1" si="26"/>
        <v>-9.1875</v>
      </c>
      <c r="X43" t="e">
        <f t="shared" ca="1" si="27"/>
        <v>#N/A</v>
      </c>
      <c r="Y43" t="e">
        <f t="shared" ca="1" si="28"/>
        <v>#N/A</v>
      </c>
      <c r="AJ43">
        <v>0.71558499331767567</v>
      </c>
      <c r="AK43">
        <v>147.29726547100401</v>
      </c>
      <c r="AL43">
        <v>128.77875394713203</v>
      </c>
      <c r="AM43">
        <v>163.66362830111555</v>
      </c>
      <c r="AN43">
        <v>143.08750438570226</v>
      </c>
      <c r="AQ43">
        <v>41</v>
      </c>
      <c r="AR43">
        <f t="shared" si="2"/>
        <v>9.0565149626732637</v>
      </c>
      <c r="AS43">
        <f t="shared" si="3"/>
        <v>7.8727083478860873</v>
      </c>
      <c r="AV43">
        <v>455.56977843136616</v>
      </c>
      <c r="AW43">
        <v>225.89516646456335</v>
      </c>
      <c r="AX43">
        <v>225.89516646456335</v>
      </c>
      <c r="AY43">
        <f t="shared" si="0"/>
        <v>319.46400808871346</v>
      </c>
      <c r="AZ43">
        <v>673.96403671930807</v>
      </c>
      <c r="BA43">
        <v>334.18638696810234</v>
      </c>
      <c r="BB43">
        <v>334.18638696810234</v>
      </c>
      <c r="BC43">
        <f t="shared" si="1"/>
        <v>472.61092081075367</v>
      </c>
      <c r="BF43">
        <v>430.7766786151879</v>
      </c>
      <c r="BG43">
        <v>303.27402695957846</v>
      </c>
      <c r="BH43">
        <v>0</v>
      </c>
      <c r="BI43">
        <f t="shared" si="4"/>
        <v>303.27402695957846</v>
      </c>
      <c r="BJ43">
        <v>641.21894928633469</v>
      </c>
      <c r="BK43">
        <v>451.42892493159258</v>
      </c>
      <c r="BL43">
        <v>0</v>
      </c>
      <c r="BM43">
        <f t="shared" si="5"/>
        <v>451.42892493159258</v>
      </c>
      <c r="BX43">
        <v>4.8179195331243667</v>
      </c>
    </row>
    <row r="44" spans="1:76" x14ac:dyDescent="0.25">
      <c r="A44">
        <v>8</v>
      </c>
      <c r="B44" s="5">
        <v>7</v>
      </c>
      <c r="C44" s="1">
        <f t="shared" ca="1" si="12"/>
        <v>0.6</v>
      </c>
      <c r="D44" s="46">
        <f t="shared" si="14"/>
        <v>6.4965435521514037</v>
      </c>
      <c r="E44" s="46">
        <f t="shared" si="15"/>
        <v>-6.4965435521514072</v>
      </c>
      <c r="G44">
        <f t="shared" ca="1" si="16"/>
        <v>6.4965435521514037</v>
      </c>
      <c r="H44">
        <f t="shared" ca="1" si="17"/>
        <v>-6.4965435521514072</v>
      </c>
      <c r="I44" s="7">
        <f t="shared" si="18"/>
        <v>6.4965435521514054</v>
      </c>
      <c r="J44" s="7">
        <f t="shared" si="19"/>
        <v>-6.4965435521514054</v>
      </c>
      <c r="K44">
        <f t="shared" si="20"/>
        <v>18.496543552151405</v>
      </c>
      <c r="L44" s="15">
        <f t="shared" ca="1" si="21"/>
        <v>-8.9549115557871518E-3</v>
      </c>
      <c r="M44" s="9">
        <f t="shared" ca="1" si="13"/>
        <v>-60</v>
      </c>
      <c r="N44" s="7">
        <f t="shared" ca="1" si="22"/>
        <v>-36</v>
      </c>
      <c r="O44" s="7">
        <f t="shared" ca="1" si="23"/>
        <v>233.87556787745061</v>
      </c>
      <c r="P44" s="7">
        <f t="shared" ca="1" si="24"/>
        <v>-233.87556787745061</v>
      </c>
      <c r="Q44" s="1">
        <v>10</v>
      </c>
      <c r="R44" s="7">
        <v>1.27</v>
      </c>
      <c r="S44" s="7">
        <v>1.27</v>
      </c>
      <c r="U44">
        <f t="shared" ca="1" si="25"/>
        <v>6.4965435521514037</v>
      </c>
      <c r="V44">
        <f t="shared" ca="1" si="26"/>
        <v>-6.4965435521514072</v>
      </c>
      <c r="X44" t="e">
        <f t="shared" ca="1" si="27"/>
        <v>#N/A</v>
      </c>
      <c r="Y44" t="e">
        <f t="shared" ca="1" si="28"/>
        <v>#N/A</v>
      </c>
      <c r="AJ44">
        <v>0.73303828583761899</v>
      </c>
      <c r="AK44">
        <v>145.05382964318073</v>
      </c>
      <c r="AL44">
        <v>131.16887826209603</v>
      </c>
      <c r="AM44">
        <v>161.17092182575638</v>
      </c>
      <c r="AN44">
        <v>145.74319806899558</v>
      </c>
      <c r="AQ44">
        <v>42</v>
      </c>
      <c r="AR44">
        <f t="shared" si="2"/>
        <v>8.9177379057287318</v>
      </c>
      <c r="AS44">
        <f t="shared" si="3"/>
        <v>8.0295672763062989</v>
      </c>
      <c r="AV44">
        <v>484.04288958332654</v>
      </c>
      <c r="AW44">
        <v>220.35980479268997</v>
      </c>
      <c r="AX44">
        <v>220.35980479268997</v>
      </c>
      <c r="AY44">
        <f t="shared" si="0"/>
        <v>311.63582453970992</v>
      </c>
      <c r="AZ44">
        <v>741.63915345492171</v>
      </c>
      <c r="BA44">
        <v>337.63012038586891</v>
      </c>
      <c r="BB44">
        <v>337.63012038586891</v>
      </c>
      <c r="BC44">
        <f t="shared" si="1"/>
        <v>477.48109531535658</v>
      </c>
      <c r="BF44">
        <v>447.60513419116808</v>
      </c>
      <c r="BG44">
        <v>301.0790765737126</v>
      </c>
      <c r="BH44">
        <v>3.1265537025839478E-15</v>
      </c>
      <c r="BI44">
        <f t="shared" si="4"/>
        <v>301.0790765737126</v>
      </c>
      <c r="BJ44">
        <v>678.15366234418059</v>
      </c>
      <c r="BK44">
        <v>456.15624763246052</v>
      </c>
      <c r="BL44">
        <v>4.736951571734001E-15</v>
      </c>
      <c r="BM44">
        <f t="shared" si="5"/>
        <v>456.15624763246052</v>
      </c>
      <c r="BX44">
        <v>4.8179195331243667</v>
      </c>
    </row>
    <row r="45" spans="1:76" x14ac:dyDescent="0.25">
      <c r="A45">
        <v>9</v>
      </c>
      <c r="B45" s="5">
        <v>7</v>
      </c>
      <c r="C45" s="1">
        <f t="shared" ca="1" si="12"/>
        <v>0</v>
      </c>
      <c r="D45" s="46">
        <f t="shared" si="14"/>
        <v>0</v>
      </c>
      <c r="E45" s="46">
        <f t="shared" si="15"/>
        <v>0</v>
      </c>
      <c r="G45" t="e">
        <f t="shared" ca="1" si="16"/>
        <v>#N/A</v>
      </c>
      <c r="H45" t="e">
        <f t="shared" ca="1" si="17"/>
        <v>#N/A</v>
      </c>
      <c r="I45" s="7">
        <f t="shared" si="18"/>
        <v>0</v>
      </c>
      <c r="J45" s="7">
        <f t="shared" si="19"/>
        <v>0</v>
      </c>
      <c r="K45">
        <f t="shared" si="20"/>
        <v>12</v>
      </c>
      <c r="L45" s="15">
        <f t="shared" ca="1" si="21"/>
        <v>0</v>
      </c>
      <c r="M45" s="9">
        <f t="shared" ca="1" si="13"/>
        <v>0</v>
      </c>
      <c r="N45" s="7">
        <f t="shared" ca="1" si="22"/>
        <v>0</v>
      </c>
      <c r="O45" s="7">
        <f t="shared" ca="1" si="23"/>
        <v>0</v>
      </c>
      <c r="P45" s="7">
        <f t="shared" ca="1" si="24"/>
        <v>0</v>
      </c>
      <c r="Q45" s="1">
        <v>11</v>
      </c>
      <c r="R45" s="7">
        <v>1.41</v>
      </c>
      <c r="S45" s="7">
        <v>1.56</v>
      </c>
      <c r="U45" t="e">
        <f t="shared" ca="1" si="25"/>
        <v>#N/A</v>
      </c>
      <c r="V45" t="e">
        <f t="shared" ca="1" si="26"/>
        <v>#N/A</v>
      </c>
      <c r="X45" t="e">
        <f t="shared" ca="1" si="27"/>
        <v>#N/A</v>
      </c>
      <c r="Y45" t="e">
        <f t="shared" ca="1" si="28"/>
        <v>#N/A</v>
      </c>
      <c r="AJ45">
        <v>0.75049157835756231</v>
      </c>
      <c r="AK45">
        <v>142.79092886327939</v>
      </c>
      <c r="AL45">
        <v>133.53618034757255</v>
      </c>
      <c r="AM45">
        <v>158.656587625866</v>
      </c>
      <c r="AN45">
        <v>148.37353371952506</v>
      </c>
      <c r="AQ45">
        <v>43</v>
      </c>
      <c r="AR45">
        <f t="shared" si="2"/>
        <v>8.7762444194300464</v>
      </c>
      <c r="AS45">
        <f t="shared" si="3"/>
        <v>8.1839803207499813</v>
      </c>
      <c r="AV45">
        <v>512.51600073528698</v>
      </c>
      <c r="AW45">
        <v>219.58885706529099</v>
      </c>
      <c r="AX45">
        <v>219.58885706529094</v>
      </c>
      <c r="AY45">
        <f t="shared" si="0"/>
        <v>310.54553980774153</v>
      </c>
      <c r="AZ45">
        <v>788.48615497736455</v>
      </c>
      <c r="BA45">
        <v>337.82901086967843</v>
      </c>
      <c r="BB45">
        <v>337.82901086967837</v>
      </c>
      <c r="BC45">
        <f t="shared" si="1"/>
        <v>477.76236893498691</v>
      </c>
      <c r="BF45">
        <v>464.43358976714825</v>
      </c>
      <c r="BG45">
        <v>298.39550071290796</v>
      </c>
      <c r="BH45">
        <v>0</v>
      </c>
      <c r="BI45">
        <f t="shared" si="4"/>
        <v>298.39550071290796</v>
      </c>
      <c r="BJ45">
        <v>714.51321502638189</v>
      </c>
      <c r="BK45">
        <v>459.07000109678148</v>
      </c>
      <c r="BL45">
        <v>0</v>
      </c>
      <c r="BM45">
        <f t="shared" si="5"/>
        <v>459.07000109678148</v>
      </c>
      <c r="BX45">
        <v>4.8179195331243667</v>
      </c>
    </row>
    <row r="46" spans="1:76" x14ac:dyDescent="0.25">
      <c r="A46">
        <v>10</v>
      </c>
      <c r="B46" s="5">
        <v>7</v>
      </c>
      <c r="C46" s="1">
        <f t="shared" ca="1" si="12"/>
        <v>0</v>
      </c>
      <c r="D46" s="46">
        <f t="shared" si="14"/>
        <v>0</v>
      </c>
      <c r="E46" s="46">
        <f t="shared" si="15"/>
        <v>0</v>
      </c>
      <c r="G46" t="e">
        <f t="shared" ca="1" si="16"/>
        <v>#N/A</v>
      </c>
      <c r="H46" t="e">
        <f t="shared" ca="1" si="17"/>
        <v>#N/A</v>
      </c>
      <c r="I46" s="7">
        <f t="shared" si="18"/>
        <v>0</v>
      </c>
      <c r="J46" s="7">
        <f t="shared" si="19"/>
        <v>0</v>
      </c>
      <c r="K46">
        <f t="shared" si="20"/>
        <v>12</v>
      </c>
      <c r="L46" s="15">
        <f t="shared" ca="1" si="21"/>
        <v>0</v>
      </c>
      <c r="M46" s="9">
        <f t="shared" ca="1" si="13"/>
        <v>0</v>
      </c>
      <c r="N46" s="7">
        <f t="shared" ca="1" si="22"/>
        <v>0</v>
      </c>
      <c r="O46" s="7">
        <f t="shared" ca="1" si="23"/>
        <v>0</v>
      </c>
      <c r="P46" s="7">
        <f t="shared" ca="1" si="24"/>
        <v>0</v>
      </c>
      <c r="Q46" s="1">
        <v>14</v>
      </c>
      <c r="R46" s="7">
        <v>1.6930000000000001</v>
      </c>
      <c r="S46" s="7">
        <v>2.25</v>
      </c>
      <c r="U46" t="e">
        <f t="shared" ca="1" si="25"/>
        <v>#N/A</v>
      </c>
      <c r="V46" t="e">
        <f t="shared" ca="1" si="26"/>
        <v>#N/A</v>
      </c>
      <c r="X46" t="e">
        <f t="shared" ca="1" si="27"/>
        <v>#N/A</v>
      </c>
      <c r="Y46" t="e">
        <f t="shared" ca="1" si="28"/>
        <v>#N/A</v>
      </c>
      <c r="AJ46">
        <v>0.76794487087750563</v>
      </c>
      <c r="AK46">
        <v>140.50820237618336</v>
      </c>
      <c r="AL46">
        <v>135.88139649661926</v>
      </c>
      <c r="AM46">
        <v>156.12022486242594</v>
      </c>
      <c r="AN46">
        <v>150.97932944068808</v>
      </c>
      <c r="AQ46">
        <v>44</v>
      </c>
      <c r="AR46">
        <f t="shared" si="2"/>
        <v>8.6320776040638147</v>
      </c>
      <c r="AS46">
        <f t="shared" si="3"/>
        <v>8.335900445507967</v>
      </c>
      <c r="AV46">
        <v>540.98911188724742</v>
      </c>
      <c r="AW46">
        <v>219.41600225487269</v>
      </c>
      <c r="AX46">
        <v>219.41600225487267</v>
      </c>
      <c r="AY46">
        <f t="shared" si="0"/>
        <v>310.30108619052652</v>
      </c>
      <c r="AZ46">
        <v>832.290941364996</v>
      </c>
      <c r="BA46">
        <v>337.56308039211183</v>
      </c>
      <c r="BB46">
        <v>337.56308039211177</v>
      </c>
      <c r="BC46">
        <f t="shared" si="1"/>
        <v>477.38628644696388</v>
      </c>
      <c r="BF46">
        <v>481.26204534312842</v>
      </c>
      <c r="BG46">
        <v>299.22092611405441</v>
      </c>
      <c r="BH46">
        <v>3.0790185216271009E-15</v>
      </c>
      <c r="BI46">
        <f t="shared" si="4"/>
        <v>299.22092611405441</v>
      </c>
      <c r="BJ46">
        <v>740.40314668173596</v>
      </c>
      <c r="BK46">
        <v>460.33988632931448</v>
      </c>
      <c r="BL46">
        <v>4.736951571734001E-15</v>
      </c>
      <c r="BM46">
        <f t="shared" si="5"/>
        <v>460.33988632931448</v>
      </c>
      <c r="BX46">
        <v>4.8179195331243667</v>
      </c>
    </row>
    <row r="47" spans="1:76" x14ac:dyDescent="0.25">
      <c r="A47">
        <v>11</v>
      </c>
      <c r="B47" s="5">
        <v>7</v>
      </c>
      <c r="C47" s="1">
        <f t="shared" ca="1" si="12"/>
        <v>0</v>
      </c>
      <c r="D47" s="46">
        <f t="shared" si="14"/>
        <v>0</v>
      </c>
      <c r="E47" s="46">
        <f t="shared" si="15"/>
        <v>0</v>
      </c>
      <c r="G47" t="e">
        <f t="shared" ca="1" si="16"/>
        <v>#N/A</v>
      </c>
      <c r="H47" t="e">
        <f t="shared" ca="1" si="17"/>
        <v>#N/A</v>
      </c>
      <c r="I47" s="7">
        <f t="shared" si="18"/>
        <v>0</v>
      </c>
      <c r="J47" s="7">
        <f t="shared" si="19"/>
        <v>0</v>
      </c>
      <c r="K47">
        <f t="shared" si="20"/>
        <v>12</v>
      </c>
      <c r="L47" s="15">
        <f t="shared" ca="1" si="21"/>
        <v>0</v>
      </c>
      <c r="M47" s="9">
        <f t="shared" ca="1" si="13"/>
        <v>0</v>
      </c>
      <c r="N47" s="7">
        <f t="shared" ca="1" si="22"/>
        <v>0</v>
      </c>
      <c r="O47" s="7">
        <f t="shared" ca="1" si="23"/>
        <v>0</v>
      </c>
      <c r="P47" s="7">
        <f t="shared" ca="1" si="24"/>
        <v>0</v>
      </c>
      <c r="Q47" s="1">
        <v>18</v>
      </c>
      <c r="R47" s="7">
        <v>2.2570000000000001</v>
      </c>
      <c r="S47" s="7">
        <v>4</v>
      </c>
      <c r="U47" t="e">
        <f t="shared" ca="1" si="25"/>
        <v>#N/A</v>
      </c>
      <c r="V47" t="e">
        <f t="shared" ca="1" si="26"/>
        <v>#N/A</v>
      </c>
      <c r="X47" t="e">
        <f t="shared" ca="1" si="27"/>
        <v>#N/A</v>
      </c>
      <c r="Y47" t="e">
        <f t="shared" ca="1" si="28"/>
        <v>#N/A</v>
      </c>
      <c r="AJ47">
        <v>0.78539816339744895</v>
      </c>
      <c r="AK47">
        <v>138.20520175454595</v>
      </c>
      <c r="AL47">
        <v>138.20520175454672</v>
      </c>
      <c r="AM47">
        <v>153.56133528282882</v>
      </c>
      <c r="AN47">
        <v>153.56133528282967</v>
      </c>
      <c r="AQ47">
        <v>45</v>
      </c>
      <c r="AR47">
        <f t="shared" si="2"/>
        <v>8.4852813742385713</v>
      </c>
      <c r="AS47">
        <f t="shared" si="3"/>
        <v>8.4852813742385695</v>
      </c>
      <c r="AV47">
        <v>569.46222303920786</v>
      </c>
      <c r="AW47">
        <v>218.93266742820725</v>
      </c>
      <c r="AX47">
        <v>218.93266742820722</v>
      </c>
      <c r="AY47">
        <f t="shared" si="0"/>
        <v>309.61754752348901</v>
      </c>
      <c r="AZ47">
        <v>876.09572775262745</v>
      </c>
      <c r="BA47">
        <v>336.81948835108807</v>
      </c>
      <c r="BB47">
        <v>336.81948835108801</v>
      </c>
      <c r="BC47">
        <f t="shared" si="1"/>
        <v>476.33468849767542</v>
      </c>
      <c r="BF47">
        <v>498.09050091910859</v>
      </c>
      <c r="BG47">
        <v>299.89149408217997</v>
      </c>
      <c r="BH47">
        <v>0</v>
      </c>
      <c r="BI47">
        <f t="shared" si="4"/>
        <v>299.89149408217997</v>
      </c>
      <c r="BJ47">
        <v>766.29307833709015</v>
      </c>
      <c r="BK47">
        <v>461.37152935719996</v>
      </c>
      <c r="BL47">
        <v>0</v>
      </c>
      <c r="BM47">
        <f t="shared" si="5"/>
        <v>461.37152935719996</v>
      </c>
    </row>
    <row r="48" spans="1:76" x14ac:dyDescent="0.25">
      <c r="A48">
        <v>12</v>
      </c>
      <c r="B48" s="5">
        <v>7</v>
      </c>
      <c r="C48" s="1">
        <f t="shared" ca="1" si="12"/>
        <v>0</v>
      </c>
      <c r="D48" s="46">
        <f t="shared" si="14"/>
        <v>0</v>
      </c>
      <c r="E48" s="46">
        <f t="shared" si="15"/>
        <v>0</v>
      </c>
      <c r="G48" t="e">
        <f t="shared" ca="1" si="16"/>
        <v>#N/A</v>
      </c>
      <c r="H48" t="e">
        <f t="shared" ca="1" si="17"/>
        <v>#N/A</v>
      </c>
      <c r="I48" s="7">
        <f t="shared" si="18"/>
        <v>0</v>
      </c>
      <c r="J48" s="7">
        <f t="shared" si="19"/>
        <v>0</v>
      </c>
      <c r="K48">
        <f t="shared" si="20"/>
        <v>12</v>
      </c>
      <c r="L48" s="15">
        <f t="shared" ca="1" si="21"/>
        <v>0</v>
      </c>
      <c r="M48" s="9">
        <f t="shared" ca="1" si="13"/>
        <v>0</v>
      </c>
      <c r="N48" s="7">
        <f t="shared" ca="1" si="22"/>
        <v>0</v>
      </c>
      <c r="O48" s="7">
        <f t="shared" ca="1" si="23"/>
        <v>0</v>
      </c>
      <c r="P48" s="7">
        <f t="shared" ca="1" si="24"/>
        <v>0</v>
      </c>
      <c r="U48" t="e">
        <f t="shared" ca="1" si="25"/>
        <v>#N/A</v>
      </c>
      <c r="V48" t="e">
        <f t="shared" ca="1" si="26"/>
        <v>#N/A</v>
      </c>
      <c r="X48" t="e">
        <f t="shared" ca="1" si="27"/>
        <v>#N/A</v>
      </c>
      <c r="Y48" t="e">
        <f t="shared" ca="1" si="28"/>
        <v>#N/A</v>
      </c>
      <c r="AJ48">
        <v>0.80285145591739226</v>
      </c>
      <c r="AK48">
        <v>135.88139649661969</v>
      </c>
      <c r="AL48">
        <v>140.50820237618296</v>
      </c>
      <c r="AM48">
        <v>150.97932944068853</v>
      </c>
      <c r="AN48">
        <v>156.12022486242552</v>
      </c>
      <c r="AQ48">
        <v>46</v>
      </c>
      <c r="AR48">
        <f t="shared" si="2"/>
        <v>8.335900445507967</v>
      </c>
      <c r="AS48">
        <f t="shared" si="3"/>
        <v>8.632077604063813</v>
      </c>
      <c r="AV48">
        <v>597.93533419116829</v>
      </c>
      <c r="AW48">
        <v>218.11435565116469</v>
      </c>
      <c r="AX48">
        <v>218.11435565116463</v>
      </c>
      <c r="AY48">
        <f t="shared" si="0"/>
        <v>308.4602799101458</v>
      </c>
      <c r="AZ48">
        <v>919.90051414025891</v>
      </c>
      <c r="BA48">
        <v>335.56054715563795</v>
      </c>
      <c r="BB48">
        <v>335.56054715563789</v>
      </c>
      <c r="BC48">
        <f t="shared" si="1"/>
        <v>474.55427678483966</v>
      </c>
      <c r="BF48">
        <v>514.91895649508876</v>
      </c>
      <c r="BG48">
        <v>300.40176886994016</v>
      </c>
      <c r="BH48">
        <v>0</v>
      </c>
      <c r="BI48">
        <f t="shared" si="4"/>
        <v>300.40176886994016</v>
      </c>
      <c r="BJ48">
        <v>792.18300999244423</v>
      </c>
      <c r="BK48">
        <v>462.15656749221563</v>
      </c>
      <c r="BL48">
        <v>0</v>
      </c>
      <c r="BM48">
        <f t="shared" si="5"/>
        <v>462.15656749221563</v>
      </c>
    </row>
    <row r="49" spans="1:65" x14ac:dyDescent="0.25">
      <c r="A49">
        <v>13</v>
      </c>
      <c r="B49" s="5">
        <v>7</v>
      </c>
      <c r="C49" s="1">
        <f t="shared" ca="1" si="12"/>
        <v>0</v>
      </c>
      <c r="D49" s="46">
        <f t="shared" si="14"/>
        <v>0</v>
      </c>
      <c r="E49" s="46">
        <f t="shared" si="15"/>
        <v>0</v>
      </c>
      <c r="G49" t="e">
        <f t="shared" ca="1" si="16"/>
        <v>#N/A</v>
      </c>
      <c r="H49" t="e">
        <f t="shared" ca="1" si="17"/>
        <v>#N/A</v>
      </c>
      <c r="I49" s="7">
        <f t="shared" si="18"/>
        <v>0</v>
      </c>
      <c r="J49" s="7">
        <f t="shared" si="19"/>
        <v>0</v>
      </c>
      <c r="K49">
        <f t="shared" si="20"/>
        <v>12</v>
      </c>
      <c r="L49" s="15">
        <f t="shared" ca="1" si="21"/>
        <v>0</v>
      </c>
      <c r="M49" s="9">
        <f t="shared" ca="1" si="13"/>
        <v>0</v>
      </c>
      <c r="N49" s="7">
        <f t="shared" ca="1" si="22"/>
        <v>0</v>
      </c>
      <c r="O49" s="7">
        <f t="shared" ca="1" si="23"/>
        <v>0</v>
      </c>
      <c r="P49" s="7">
        <f t="shared" ca="1" si="24"/>
        <v>0</v>
      </c>
      <c r="U49" t="e">
        <f t="shared" ca="1" si="25"/>
        <v>#N/A</v>
      </c>
      <c r="V49" t="e">
        <f t="shared" ca="1" si="26"/>
        <v>#N/A</v>
      </c>
      <c r="X49" t="e">
        <f t="shared" ca="1" si="27"/>
        <v>#N/A</v>
      </c>
      <c r="Y49" t="e">
        <f t="shared" ca="1" si="28"/>
        <v>#N/A</v>
      </c>
      <c r="AJ49">
        <v>0.82030474843733558</v>
      </c>
      <c r="AK49">
        <v>133.53618034757261</v>
      </c>
      <c r="AL49">
        <v>142.79092886327936</v>
      </c>
      <c r="AM49">
        <v>148.37353371952511</v>
      </c>
      <c r="AN49">
        <v>158.65658762586597</v>
      </c>
      <c r="AQ49">
        <v>47</v>
      </c>
      <c r="AR49">
        <f t="shared" si="2"/>
        <v>8.1839803207499813</v>
      </c>
      <c r="AS49">
        <f t="shared" si="3"/>
        <v>8.7762444194300464</v>
      </c>
      <c r="AV49">
        <v>626.40844534312873</v>
      </c>
      <c r="AW49">
        <v>216.93802114659385</v>
      </c>
      <c r="AX49">
        <v>216.93802114659377</v>
      </c>
      <c r="AY49">
        <f t="shared" si="0"/>
        <v>306.79669169989427</v>
      </c>
      <c r="AZ49">
        <v>963.70530052789036</v>
      </c>
      <c r="BA49">
        <v>333.75080176399052</v>
      </c>
      <c r="BB49">
        <v>333.75080176399041</v>
      </c>
      <c r="BC49">
        <f t="shared" si="1"/>
        <v>471.99491030752961</v>
      </c>
      <c r="BF49">
        <v>531.74741207106899</v>
      </c>
      <c r="BG49">
        <v>300.74640286940183</v>
      </c>
      <c r="BH49">
        <v>-7.6975463040677523E-16</v>
      </c>
      <c r="BI49">
        <f t="shared" si="4"/>
        <v>300.74640286940183</v>
      </c>
      <c r="BJ49">
        <v>818.07294164779842</v>
      </c>
      <c r="BK49">
        <v>462.68677364523359</v>
      </c>
      <c r="BL49">
        <v>-1.1842378929335002E-15</v>
      </c>
      <c r="BM49">
        <f t="shared" si="5"/>
        <v>462.68677364523359</v>
      </c>
    </row>
    <row r="50" spans="1:65" x14ac:dyDescent="0.25">
      <c r="A50">
        <v>14</v>
      </c>
      <c r="B50" s="5">
        <v>7</v>
      </c>
      <c r="C50" s="1">
        <f t="shared" ca="1" si="12"/>
        <v>0</v>
      </c>
      <c r="D50" s="46">
        <f t="shared" si="14"/>
        <v>0</v>
      </c>
      <c r="E50" s="46">
        <f t="shared" si="15"/>
        <v>0</v>
      </c>
      <c r="G50" t="e">
        <f t="shared" ca="1" si="16"/>
        <v>#N/A</v>
      </c>
      <c r="H50" t="e">
        <f t="shared" ca="1" si="17"/>
        <v>#N/A</v>
      </c>
      <c r="I50" s="7">
        <f t="shared" si="18"/>
        <v>0</v>
      </c>
      <c r="J50" s="7">
        <f t="shared" si="19"/>
        <v>0</v>
      </c>
      <c r="K50">
        <f t="shared" si="20"/>
        <v>12</v>
      </c>
      <c r="L50" s="15">
        <f t="shared" ca="1" si="21"/>
        <v>0</v>
      </c>
      <c r="M50" s="9">
        <f t="shared" ca="1" si="13"/>
        <v>0</v>
      </c>
      <c r="N50" s="7">
        <f t="shared" ca="1" si="22"/>
        <v>0</v>
      </c>
      <c r="O50" s="7">
        <f t="shared" ca="1" si="23"/>
        <v>0</v>
      </c>
      <c r="P50" s="7">
        <f t="shared" ca="1" si="24"/>
        <v>0</v>
      </c>
      <c r="U50" t="e">
        <f t="shared" ca="1" si="25"/>
        <v>#N/A</v>
      </c>
      <c r="V50" t="e">
        <f t="shared" ca="1" si="26"/>
        <v>#N/A</v>
      </c>
      <c r="X50" t="e">
        <f t="shared" ca="1" si="27"/>
        <v>#N/A</v>
      </c>
      <c r="Y50" t="e">
        <f t="shared" ca="1" si="28"/>
        <v>#N/A</v>
      </c>
      <c r="AJ50">
        <v>0.8377580409572789</v>
      </c>
      <c r="AK50">
        <v>131.16887826209577</v>
      </c>
      <c r="AL50">
        <v>145.05382964318085</v>
      </c>
      <c r="AM50">
        <v>145.7431980689953</v>
      </c>
      <c r="AN50">
        <v>161.17092182575649</v>
      </c>
      <c r="AQ50">
        <v>48</v>
      </c>
      <c r="AR50">
        <f t="shared" si="2"/>
        <v>8.0295672763062989</v>
      </c>
      <c r="AS50">
        <f t="shared" si="3"/>
        <v>8.9177379057287318</v>
      </c>
      <c r="AV50">
        <v>654.88155649508917</v>
      </c>
      <c r="AW50">
        <v>215.27509436365716</v>
      </c>
      <c r="AX50">
        <v>215.27509436365716</v>
      </c>
      <c r="AY50">
        <f t="shared" si="0"/>
        <v>304.44495809023181</v>
      </c>
      <c r="AZ50">
        <v>1007.5100869155218</v>
      </c>
      <c r="BA50">
        <v>331.19245286716483</v>
      </c>
      <c r="BB50">
        <v>331.19245286716483</v>
      </c>
      <c r="BC50">
        <f t="shared" si="1"/>
        <v>468.37685860035657</v>
      </c>
      <c r="BF50">
        <v>548.57586764704922</v>
      </c>
      <c r="BG50">
        <v>300.9201403165593</v>
      </c>
      <c r="BH50">
        <v>2.3092638912203257E-15</v>
      </c>
      <c r="BI50">
        <f t="shared" si="4"/>
        <v>300.9201403165593</v>
      </c>
      <c r="BJ50">
        <v>843.96287330315261</v>
      </c>
      <c r="BK50">
        <v>462.95406202547582</v>
      </c>
      <c r="BL50">
        <v>3.5527136788005009E-15</v>
      </c>
      <c r="BM50">
        <f t="shared" si="5"/>
        <v>462.95406202547582</v>
      </c>
    </row>
    <row r="51" spans="1:65" x14ac:dyDescent="0.25">
      <c r="A51">
        <v>15</v>
      </c>
      <c r="B51" s="5">
        <v>7</v>
      </c>
      <c r="C51" s="1">
        <f t="shared" ca="1" si="12"/>
        <v>0</v>
      </c>
      <c r="D51" s="46">
        <f t="shared" si="14"/>
        <v>0</v>
      </c>
      <c r="E51" s="46">
        <f t="shared" si="15"/>
        <v>0</v>
      </c>
      <c r="G51" t="e">
        <f t="shared" ca="1" si="16"/>
        <v>#N/A</v>
      </c>
      <c r="H51" t="e">
        <f t="shared" ca="1" si="17"/>
        <v>#N/A</v>
      </c>
      <c r="I51" s="7">
        <f t="shared" si="18"/>
        <v>0</v>
      </c>
      <c r="J51" s="7">
        <f t="shared" si="19"/>
        <v>0</v>
      </c>
      <c r="K51">
        <f t="shared" si="20"/>
        <v>12</v>
      </c>
      <c r="L51" s="15">
        <f t="shared" ca="1" si="21"/>
        <v>0</v>
      </c>
      <c r="M51" s="9">
        <f t="shared" ca="1" si="13"/>
        <v>0</v>
      </c>
      <c r="N51" s="7">
        <f t="shared" ca="1" si="22"/>
        <v>0</v>
      </c>
      <c r="O51" s="7">
        <f t="shared" ca="1" si="23"/>
        <v>0</v>
      </c>
      <c r="P51" s="7">
        <f t="shared" ca="1" si="24"/>
        <v>0</v>
      </c>
      <c r="U51" t="e">
        <f t="shared" ca="1" si="25"/>
        <v>#N/A</v>
      </c>
      <c r="V51" t="e">
        <f t="shared" ca="1" si="26"/>
        <v>#N/A</v>
      </c>
      <c r="X51" t="e">
        <f t="shared" ca="1" si="27"/>
        <v>#N/A</v>
      </c>
      <c r="Y51" t="e">
        <f t="shared" ca="1" si="28"/>
        <v>#N/A</v>
      </c>
      <c r="AJ51">
        <v>0.85521133347722222</v>
      </c>
      <c r="AK51">
        <v>128.77875394713121</v>
      </c>
      <c r="AL51">
        <v>147.29726547100472</v>
      </c>
      <c r="AM51">
        <v>143.08750438570135</v>
      </c>
      <c r="AN51">
        <v>163.66362830111635</v>
      </c>
      <c r="AQ51">
        <v>49</v>
      </c>
      <c r="AR51">
        <f t="shared" si="2"/>
        <v>7.8727083478860873</v>
      </c>
      <c r="AS51">
        <f t="shared" si="3"/>
        <v>9.0565149626732637</v>
      </c>
      <c r="AV51">
        <v>683.35466764704961</v>
      </c>
      <c r="AW51">
        <v>213.28306154926494</v>
      </c>
      <c r="AX51">
        <v>213.28306154926494</v>
      </c>
      <c r="AY51">
        <f t="shared" si="0"/>
        <v>301.62779826742604</v>
      </c>
      <c r="AZ51">
        <v>1051.3148733031533</v>
      </c>
      <c r="BA51">
        <v>328.12778699886911</v>
      </c>
      <c r="BB51">
        <v>328.12778699886911</v>
      </c>
      <c r="BC51">
        <f t="shared" si="1"/>
        <v>464.04276656527082</v>
      </c>
      <c r="BF51">
        <v>565.40432322302945</v>
      </c>
      <c r="BG51">
        <v>300.91782038457836</v>
      </c>
      <c r="BH51">
        <v>0</v>
      </c>
      <c r="BI51">
        <f t="shared" si="4"/>
        <v>300.91782038457836</v>
      </c>
      <c r="BJ51">
        <v>869.85280495850679</v>
      </c>
      <c r="BK51">
        <v>462.95049289935133</v>
      </c>
      <c r="BL51">
        <v>0</v>
      </c>
      <c r="BM51">
        <f t="shared" si="5"/>
        <v>462.95049289935133</v>
      </c>
    </row>
    <row r="52" spans="1:65" x14ac:dyDescent="0.25">
      <c r="A52">
        <v>16</v>
      </c>
      <c r="B52" s="5">
        <v>7</v>
      </c>
      <c r="C52" s="1">
        <f t="shared" ca="1" si="12"/>
        <v>0</v>
      </c>
      <c r="D52" s="46">
        <f t="shared" si="14"/>
        <v>0</v>
      </c>
      <c r="E52" s="46">
        <f t="shared" si="15"/>
        <v>0</v>
      </c>
      <c r="G52" t="e">
        <f t="shared" ca="1" si="16"/>
        <v>#N/A</v>
      </c>
      <c r="H52" t="e">
        <f t="shared" ca="1" si="17"/>
        <v>#N/A</v>
      </c>
      <c r="I52" s="7">
        <f t="shared" si="18"/>
        <v>0</v>
      </c>
      <c r="J52" s="7">
        <f t="shared" si="19"/>
        <v>0</v>
      </c>
      <c r="K52">
        <f t="shared" si="20"/>
        <v>12</v>
      </c>
      <c r="L52" s="15">
        <f t="shared" ca="1" si="21"/>
        <v>0</v>
      </c>
      <c r="M52" s="9">
        <f t="shared" ca="1" si="13"/>
        <v>0</v>
      </c>
      <c r="N52" s="7">
        <f t="shared" ca="1" si="22"/>
        <v>0</v>
      </c>
      <c r="O52" s="7">
        <f t="shared" ca="1" si="23"/>
        <v>0</v>
      </c>
      <c r="P52" s="7">
        <f t="shared" ca="1" si="24"/>
        <v>0</v>
      </c>
      <c r="U52" t="e">
        <f t="shared" ca="1" si="25"/>
        <v>#N/A</v>
      </c>
      <c r="V52" t="e">
        <f t="shared" ca="1" si="26"/>
        <v>#N/A</v>
      </c>
      <c r="X52" t="e">
        <f t="shared" ca="1" si="27"/>
        <v>#N/A</v>
      </c>
      <c r="Y52" t="e">
        <f t="shared" ca="1" si="28"/>
        <v>#N/A</v>
      </c>
      <c r="AJ52">
        <v>0.87266462599716554</v>
      </c>
      <c r="AK52">
        <v>126.36501786396634</v>
      </c>
      <c r="AL52">
        <v>149.52150456607379</v>
      </c>
      <c r="AM52">
        <v>140.40557540440705</v>
      </c>
      <c r="AN52">
        <v>166.13500507341533</v>
      </c>
      <c r="AQ52">
        <v>50</v>
      </c>
      <c r="AR52">
        <f t="shared" si="2"/>
        <v>7.7134513162384728</v>
      </c>
      <c r="AS52">
        <f t="shared" si="3"/>
        <v>9.1925333174277366</v>
      </c>
      <c r="AV52">
        <v>711.82777879901005</v>
      </c>
      <c r="AW52">
        <v>210.86777183628985</v>
      </c>
      <c r="AX52">
        <v>210.86777183628982</v>
      </c>
      <c r="AY52">
        <f t="shared" si="0"/>
        <v>298.21206279827646</v>
      </c>
      <c r="AZ52">
        <v>1095.1196596907846</v>
      </c>
      <c r="BA52">
        <v>324.41195667121514</v>
      </c>
      <c r="BB52">
        <v>324.41195667121508</v>
      </c>
      <c r="BC52">
        <f t="shared" si="1"/>
        <v>458.78778892042527</v>
      </c>
      <c r="BF52">
        <v>582.23277879900968</v>
      </c>
      <c r="BG52">
        <v>300.73437969446735</v>
      </c>
      <c r="BH52">
        <v>-7.6975463040677523E-16</v>
      </c>
      <c r="BI52">
        <f t="shared" si="4"/>
        <v>300.73437969446735</v>
      </c>
      <c r="BJ52">
        <v>895.74273661386098</v>
      </c>
      <c r="BK52">
        <v>462.66827645302669</v>
      </c>
      <c r="BL52">
        <v>-1.1842378929335002E-15</v>
      </c>
      <c r="BM52">
        <f t="shared" si="5"/>
        <v>462.66827645302669</v>
      </c>
    </row>
    <row r="53" spans="1:65" x14ac:dyDescent="0.25">
      <c r="A53">
        <v>17</v>
      </c>
      <c r="B53" s="5">
        <v>7</v>
      </c>
      <c r="C53" s="1">
        <f t="shared" ca="1" si="12"/>
        <v>0</v>
      </c>
      <c r="D53" s="46">
        <f t="shared" si="14"/>
        <v>0</v>
      </c>
      <c r="E53" s="46">
        <f t="shared" si="15"/>
        <v>0</v>
      </c>
      <c r="G53" t="e">
        <f t="shared" ca="1" si="16"/>
        <v>#N/A</v>
      </c>
      <c r="H53" t="e">
        <f t="shared" ca="1" si="17"/>
        <v>#N/A</v>
      </c>
      <c r="I53" s="7">
        <f t="shared" si="18"/>
        <v>0</v>
      </c>
      <c r="J53" s="7">
        <f t="shared" si="19"/>
        <v>0</v>
      </c>
      <c r="K53">
        <f t="shared" si="20"/>
        <v>12</v>
      </c>
      <c r="L53" s="15">
        <f t="shared" ca="1" si="21"/>
        <v>0</v>
      </c>
      <c r="M53" s="9">
        <f t="shared" ca="1" si="13"/>
        <v>0</v>
      </c>
      <c r="N53" s="7">
        <f t="shared" ca="1" si="22"/>
        <v>0</v>
      </c>
      <c r="O53" s="7">
        <f t="shared" ca="1" si="23"/>
        <v>0</v>
      </c>
      <c r="P53" s="7">
        <f t="shared" ca="1" si="24"/>
        <v>0</v>
      </c>
      <c r="U53" t="e">
        <f t="shared" ca="1" si="25"/>
        <v>#N/A</v>
      </c>
      <c r="V53" t="e">
        <f t="shared" ca="1" si="26"/>
        <v>#N/A</v>
      </c>
      <c r="X53" t="e">
        <f t="shared" ca="1" si="27"/>
        <v>#N/A</v>
      </c>
      <c r="Y53" t="e">
        <f t="shared" ca="1" si="28"/>
        <v>#N/A</v>
      </c>
      <c r="AJ53">
        <v>0.89011791851710886</v>
      </c>
      <c r="AK53">
        <v>123.92683567608107</v>
      </c>
      <c r="AL53">
        <v>151.7267186193443</v>
      </c>
      <c r="AM53">
        <v>137.69648408453452</v>
      </c>
      <c r="AN53">
        <v>168.58524291038256</v>
      </c>
      <c r="AQ53">
        <v>51</v>
      </c>
      <c r="AR53">
        <f t="shared" si="2"/>
        <v>7.55184469259805</v>
      </c>
      <c r="AS53">
        <f t="shared" si="3"/>
        <v>9.3257515374836508</v>
      </c>
      <c r="AV53">
        <v>740.30088995097049</v>
      </c>
      <c r="AW53">
        <v>208.01176498102035</v>
      </c>
      <c r="AX53">
        <v>208.01176498102029</v>
      </c>
      <c r="AY53">
        <f t="shared" si="0"/>
        <v>294.17305916932378</v>
      </c>
      <c r="AZ53">
        <v>1138.9244460784162</v>
      </c>
      <c r="BA53">
        <v>320.01809997080051</v>
      </c>
      <c r="BB53">
        <v>320.01809997080045</v>
      </c>
      <c r="BC53">
        <f t="shared" si="1"/>
        <v>452.57393718357497</v>
      </c>
      <c r="BF53">
        <v>599.06123437498991</v>
      </c>
      <c r="BG53">
        <v>300.36485427777694</v>
      </c>
      <c r="BH53">
        <v>0</v>
      </c>
      <c r="BI53">
        <f t="shared" si="4"/>
        <v>300.36485427777694</v>
      </c>
      <c r="BJ53">
        <v>921.63266826921517</v>
      </c>
      <c r="BK53">
        <v>462.09977581196449</v>
      </c>
      <c r="BL53">
        <v>0</v>
      </c>
      <c r="BM53">
        <f t="shared" si="5"/>
        <v>462.09977581196449</v>
      </c>
    </row>
    <row r="54" spans="1:65" x14ac:dyDescent="0.25">
      <c r="A54">
        <v>18</v>
      </c>
      <c r="B54" s="5">
        <v>7</v>
      </c>
      <c r="C54" s="1">
        <f t="shared" ca="1" si="12"/>
        <v>0</v>
      </c>
      <c r="D54" s="46">
        <f t="shared" si="14"/>
        <v>0</v>
      </c>
      <c r="E54" s="46">
        <f t="shared" si="15"/>
        <v>0</v>
      </c>
      <c r="G54" t="e">
        <f t="shared" ca="1" si="16"/>
        <v>#N/A</v>
      </c>
      <c r="H54" t="e">
        <f t="shared" ca="1" si="17"/>
        <v>#N/A</v>
      </c>
      <c r="I54" s="7">
        <f t="shared" si="18"/>
        <v>0</v>
      </c>
      <c r="J54" s="7">
        <f t="shared" si="19"/>
        <v>0</v>
      </c>
      <c r="K54">
        <f t="shared" si="20"/>
        <v>12</v>
      </c>
      <c r="L54" s="15">
        <f t="shared" ca="1" si="21"/>
        <v>0</v>
      </c>
      <c r="M54" s="9">
        <f t="shared" ca="1" si="13"/>
        <v>0</v>
      </c>
      <c r="N54" s="7">
        <f t="shared" ca="1" si="22"/>
        <v>0</v>
      </c>
      <c r="O54" s="7">
        <f t="shared" ca="1" si="23"/>
        <v>0</v>
      </c>
      <c r="P54" s="7">
        <f t="shared" ca="1" si="24"/>
        <v>0</v>
      </c>
      <c r="U54" t="e">
        <f t="shared" ca="1" si="25"/>
        <v>#N/A</v>
      </c>
      <c r="V54" t="e">
        <f t="shared" ca="1" si="26"/>
        <v>#N/A</v>
      </c>
      <c r="X54" t="e">
        <f t="shared" ca="1" si="27"/>
        <v>#N/A</v>
      </c>
      <c r="Y54" t="e">
        <f t="shared" ca="1" si="28"/>
        <v>#N/A</v>
      </c>
      <c r="AJ54">
        <v>0.90757121103705218</v>
      </c>
      <c r="AK54">
        <v>121.46333695311365</v>
      </c>
      <c r="AL54">
        <v>153.91297958718243</v>
      </c>
      <c r="AM54">
        <v>134.95926328123738</v>
      </c>
      <c r="AN54">
        <v>171.01442176353603</v>
      </c>
      <c r="AQ54">
        <v>52</v>
      </c>
      <c r="AR54">
        <f t="shared" si="2"/>
        <v>7.3879377039078999</v>
      </c>
      <c r="AS54">
        <f t="shared" si="3"/>
        <v>9.4561290432806651</v>
      </c>
      <c r="AV54">
        <v>768.77400110293092</v>
      </c>
      <c r="AW54">
        <v>204.69876062833512</v>
      </c>
      <c r="AX54">
        <v>204.69876062833509</v>
      </c>
      <c r="AY54">
        <f t="shared" si="0"/>
        <v>289.48776348155525</v>
      </c>
      <c r="AZ54">
        <v>1182.7292324660475</v>
      </c>
      <c r="BA54">
        <v>314.92117019743864</v>
      </c>
      <c r="BB54">
        <v>314.92117019743858</v>
      </c>
      <c r="BC54">
        <f t="shared" si="1"/>
        <v>445.36578997162343</v>
      </c>
      <c r="BF54">
        <v>615.88968995097014</v>
      </c>
      <c r="BG54">
        <v>299.80438103144701</v>
      </c>
      <c r="BH54">
        <v>-1.5395092608135505E-15</v>
      </c>
      <c r="BI54">
        <f t="shared" si="4"/>
        <v>299.80438103144701</v>
      </c>
      <c r="BJ54">
        <v>947.52259992456936</v>
      </c>
      <c r="BK54">
        <v>461.23750927914921</v>
      </c>
      <c r="BL54">
        <v>-2.3684757858670005E-15</v>
      </c>
      <c r="BM54">
        <f t="shared" si="5"/>
        <v>461.23750927914921</v>
      </c>
    </row>
    <row r="55" spans="1:65" x14ac:dyDescent="0.25">
      <c r="A55">
        <v>19</v>
      </c>
      <c r="B55" s="5">
        <v>7</v>
      </c>
      <c r="C55" s="1">
        <f t="shared" ca="1" si="12"/>
        <v>0</v>
      </c>
      <c r="D55" s="46">
        <f t="shared" si="14"/>
        <v>0</v>
      </c>
      <c r="E55" s="46">
        <f t="shared" si="15"/>
        <v>0</v>
      </c>
      <c r="G55" t="e">
        <f t="shared" ca="1" si="16"/>
        <v>#N/A</v>
      </c>
      <c r="H55" t="e">
        <f t="shared" ca="1" si="17"/>
        <v>#N/A</v>
      </c>
      <c r="I55" s="7">
        <f t="shared" si="18"/>
        <v>0</v>
      </c>
      <c r="J55" s="7">
        <f t="shared" si="19"/>
        <v>0</v>
      </c>
      <c r="K55">
        <f t="shared" si="20"/>
        <v>12</v>
      </c>
      <c r="L55" s="15">
        <f t="shared" ca="1" si="21"/>
        <v>0</v>
      </c>
      <c r="M55" s="9">
        <f t="shared" ca="1" si="13"/>
        <v>0</v>
      </c>
      <c r="N55" s="7">
        <f t="shared" ca="1" si="22"/>
        <v>0</v>
      </c>
      <c r="O55" s="7">
        <f t="shared" ca="1" si="23"/>
        <v>0</v>
      </c>
      <c r="P55" s="7">
        <f t="shared" ca="1" si="24"/>
        <v>0</v>
      </c>
      <c r="U55" t="e">
        <f t="shared" ca="1" si="25"/>
        <v>#N/A</v>
      </c>
      <c r="V55" t="e">
        <f t="shared" ca="1" si="26"/>
        <v>#N/A</v>
      </c>
      <c r="X55" t="e">
        <f t="shared" ca="1" si="27"/>
        <v>#N/A</v>
      </c>
      <c r="Y55" t="e">
        <f t="shared" ca="1" si="28"/>
        <v>#N/A</v>
      </c>
      <c r="AJ55">
        <v>0.9250245035569955</v>
      </c>
      <c r="AK55">
        <v>118.9736241113676</v>
      </c>
      <c r="AL55">
        <v>156.08025738626915</v>
      </c>
      <c r="AM55">
        <v>132.19291567929733</v>
      </c>
      <c r="AN55">
        <v>173.42250820696572</v>
      </c>
      <c r="AQ55">
        <v>53</v>
      </c>
      <c r="AR55">
        <f t="shared" si="2"/>
        <v>7.2217802778245801</v>
      </c>
      <c r="AS55">
        <f t="shared" si="3"/>
        <v>9.583626120567514</v>
      </c>
      <c r="AV55">
        <v>797.24711225489136</v>
      </c>
      <c r="AW55">
        <v>200.91361130601368</v>
      </c>
      <c r="AX55">
        <v>200.91361130601365</v>
      </c>
      <c r="AY55">
        <f t="shared" si="0"/>
        <v>284.13475397432092</v>
      </c>
      <c r="AZ55">
        <v>1226.5340188536791</v>
      </c>
      <c r="BA55">
        <v>309.09786354771336</v>
      </c>
      <c r="BB55">
        <v>309.0978635477133</v>
      </c>
      <c r="BC55">
        <f t="shared" si="1"/>
        <v>437.13039072972452</v>
      </c>
      <c r="BF55">
        <v>632.71814552695037</v>
      </c>
      <c r="BG55">
        <v>298.96192775702508</v>
      </c>
      <c r="BH55">
        <v>-5.388282412847427E-15</v>
      </c>
      <c r="BI55">
        <f t="shared" si="4"/>
        <v>298.96192775702508</v>
      </c>
      <c r="BJ55">
        <v>973.41253157992355</v>
      </c>
      <c r="BK55">
        <v>459.94142731850013</v>
      </c>
      <c r="BL55">
        <v>-8.2896652505345027E-15</v>
      </c>
      <c r="BM55">
        <f t="shared" si="5"/>
        <v>459.94142731850013</v>
      </c>
    </row>
    <row r="56" spans="1:65" x14ac:dyDescent="0.25">
      <c r="A56">
        <v>20</v>
      </c>
      <c r="B56" s="5">
        <v>7</v>
      </c>
      <c r="C56" s="1">
        <f t="shared" ca="1" si="12"/>
        <v>0</v>
      </c>
      <c r="D56" s="46">
        <f t="shared" si="14"/>
        <v>0</v>
      </c>
      <c r="E56" s="46">
        <f t="shared" si="15"/>
        <v>0</v>
      </c>
      <c r="G56" t="e">
        <f t="shared" ca="1" si="16"/>
        <v>#N/A</v>
      </c>
      <c r="H56" t="e">
        <f t="shared" ca="1" si="17"/>
        <v>#N/A</v>
      </c>
      <c r="I56" s="7">
        <f t="shared" si="18"/>
        <v>0</v>
      </c>
      <c r="J56" s="7">
        <f t="shared" si="19"/>
        <v>0</v>
      </c>
      <c r="K56">
        <f t="shared" si="20"/>
        <v>12</v>
      </c>
      <c r="L56" s="15">
        <f t="shared" ca="1" si="21"/>
        <v>0</v>
      </c>
      <c r="M56" s="9">
        <f t="shared" ca="1" si="13"/>
        <v>0</v>
      </c>
      <c r="N56" s="7">
        <f t="shared" ca="1" si="22"/>
        <v>0</v>
      </c>
      <c r="O56" s="7">
        <f t="shared" ca="1" si="23"/>
        <v>0</v>
      </c>
      <c r="P56" s="7">
        <f t="shared" ca="1" si="24"/>
        <v>0</v>
      </c>
      <c r="U56" t="e">
        <f t="shared" ca="1" si="25"/>
        <v>#N/A</v>
      </c>
      <c r="V56" t="e">
        <f t="shared" ca="1" si="26"/>
        <v>#N/A</v>
      </c>
      <c r="X56" t="e">
        <f t="shared" ca="1" si="27"/>
        <v>#N/A</v>
      </c>
      <c r="Y56" t="e">
        <f t="shared" ca="1" si="28"/>
        <v>#N/A</v>
      </c>
      <c r="AJ56">
        <v>0.94247779607693882</v>
      </c>
      <c r="AK56">
        <v>116.45678147411411</v>
      </c>
      <c r="AL56">
        <v>158.2284184817733</v>
      </c>
      <c r="AM56">
        <v>129.39642386012679</v>
      </c>
      <c r="AN56">
        <v>175.809353868637</v>
      </c>
      <c r="AQ56">
        <v>54</v>
      </c>
      <c r="AR56">
        <f t="shared" si="2"/>
        <v>7.0534230275096776</v>
      </c>
      <c r="AS56">
        <f t="shared" si="3"/>
        <v>9.7082039324993694</v>
      </c>
      <c r="AV56">
        <v>825.7202234068518</v>
      </c>
      <c r="AW56">
        <v>196.41593858206036</v>
      </c>
      <c r="AX56">
        <v>196.41593858206033</v>
      </c>
      <c r="AY56">
        <f t="shared" si="0"/>
        <v>277.77408420899059</v>
      </c>
      <c r="AZ56">
        <v>1270.3388052413104</v>
      </c>
      <c r="BA56">
        <v>302.17836704932364</v>
      </c>
      <c r="BB56">
        <v>302.17836704932358</v>
      </c>
      <c r="BC56">
        <f t="shared" si="1"/>
        <v>427.34474493690863</v>
      </c>
      <c r="BF56">
        <v>649.54660110293059</v>
      </c>
      <c r="BG56">
        <v>297.97958302643292</v>
      </c>
      <c r="BH56">
        <v>-4.6185277824406514E-15</v>
      </c>
      <c r="BI56">
        <f t="shared" si="4"/>
        <v>297.97958302643292</v>
      </c>
      <c r="BJ56">
        <v>999.30246323527786</v>
      </c>
      <c r="BK56">
        <v>458.43012773297369</v>
      </c>
      <c r="BL56">
        <v>-7.1054273576010019E-15</v>
      </c>
      <c r="BM56">
        <f t="shared" si="5"/>
        <v>458.43012773297369</v>
      </c>
    </row>
    <row r="57" spans="1:65" x14ac:dyDescent="0.25">
      <c r="A57">
        <v>21</v>
      </c>
      <c r="B57" s="5">
        <v>7</v>
      </c>
      <c r="C57" s="1">
        <f t="shared" ca="1" si="12"/>
        <v>0</v>
      </c>
      <c r="D57" s="46">
        <f t="shared" si="14"/>
        <v>0</v>
      </c>
      <c r="E57" s="46">
        <f t="shared" si="15"/>
        <v>0</v>
      </c>
      <c r="G57" t="e">
        <f t="shared" ca="1" si="16"/>
        <v>#N/A</v>
      </c>
      <c r="H57" t="e">
        <f t="shared" ca="1" si="17"/>
        <v>#N/A</v>
      </c>
      <c r="I57" s="7">
        <f t="shared" si="18"/>
        <v>0</v>
      </c>
      <c r="J57" s="7">
        <f t="shared" si="19"/>
        <v>0</v>
      </c>
      <c r="K57">
        <f t="shared" si="20"/>
        <v>12</v>
      </c>
      <c r="L57" s="15">
        <f t="shared" ca="1" si="21"/>
        <v>0</v>
      </c>
      <c r="M57" s="9">
        <f t="shared" ca="1" si="13"/>
        <v>0</v>
      </c>
      <c r="N57" s="7">
        <f t="shared" ca="1" si="22"/>
        <v>0</v>
      </c>
      <c r="O57" s="7">
        <f t="shared" ca="1" si="23"/>
        <v>0</v>
      </c>
      <c r="P57" s="7">
        <f t="shared" ca="1" si="24"/>
        <v>0</v>
      </c>
      <c r="U57" t="e">
        <f t="shared" ca="1" si="25"/>
        <v>#N/A</v>
      </c>
      <c r="V57" t="e">
        <f t="shared" ca="1" si="26"/>
        <v>#N/A</v>
      </c>
      <c r="X57" t="e">
        <f t="shared" ca="1" si="27"/>
        <v>#N/A</v>
      </c>
      <c r="Y57" t="e">
        <f t="shared" ca="1" si="28"/>
        <v>#N/A</v>
      </c>
      <c r="AJ57">
        <v>0.95993108859688214</v>
      </c>
      <c r="AK57">
        <v>113.91188432797421</v>
      </c>
      <c r="AL57">
        <v>160.35722532316407</v>
      </c>
      <c r="AM57">
        <v>126.56876036441578</v>
      </c>
      <c r="AN57">
        <v>178.17469480351562</v>
      </c>
      <c r="AQ57">
        <v>55</v>
      </c>
      <c r="AR57">
        <f t="shared" si="2"/>
        <v>6.8829172362125544</v>
      </c>
      <c r="AS57">
        <f t="shared" si="3"/>
        <v>9.8298245314679011</v>
      </c>
      <c r="AV57">
        <v>854.19333455881224</v>
      </c>
      <c r="AW57">
        <v>191.32338300110899</v>
      </c>
      <c r="AX57">
        <v>191.32338300110897</v>
      </c>
      <c r="AY57">
        <f t="shared" si="0"/>
        <v>270.57212303927042</v>
      </c>
      <c r="AZ57">
        <v>1314.1435916289417</v>
      </c>
      <c r="BA57">
        <v>294.34366615555228</v>
      </c>
      <c r="BB57">
        <v>294.34366615555223</v>
      </c>
      <c r="BC57">
        <f t="shared" si="1"/>
        <v>416.26480467580058</v>
      </c>
      <c r="BF57">
        <v>666.37505667891082</v>
      </c>
      <c r="BG57">
        <v>296.79003585859954</v>
      </c>
      <c r="BH57">
        <v>-3.4638958368304887E-15</v>
      </c>
      <c r="BI57">
        <f t="shared" si="4"/>
        <v>296.79003585859954</v>
      </c>
      <c r="BJ57">
        <v>1025.1923948906319</v>
      </c>
      <c r="BK57">
        <v>456.60005516707622</v>
      </c>
      <c r="BL57">
        <v>-5.3290705182007514E-15</v>
      </c>
      <c r="BM57">
        <f t="shared" si="5"/>
        <v>456.60005516707622</v>
      </c>
    </row>
    <row r="58" spans="1:65" x14ac:dyDescent="0.25">
      <c r="A58">
        <v>22</v>
      </c>
      <c r="B58" s="5">
        <v>7</v>
      </c>
      <c r="C58" s="1">
        <f t="shared" ca="1" si="12"/>
        <v>0</v>
      </c>
      <c r="D58" s="46">
        <f t="shared" si="14"/>
        <v>0</v>
      </c>
      <c r="E58" s="46">
        <f t="shared" si="15"/>
        <v>0</v>
      </c>
      <c r="G58" t="e">
        <f t="shared" ca="1" si="16"/>
        <v>#N/A</v>
      </c>
      <c r="H58" t="e">
        <f t="shared" ca="1" si="17"/>
        <v>#N/A</v>
      </c>
      <c r="I58" s="7">
        <f t="shared" si="18"/>
        <v>0</v>
      </c>
      <c r="J58" s="7">
        <f t="shared" si="19"/>
        <v>0</v>
      </c>
      <c r="K58">
        <f t="shared" si="20"/>
        <v>12</v>
      </c>
      <c r="L58" s="15">
        <f t="shared" ca="1" si="21"/>
        <v>0</v>
      </c>
      <c r="M58" s="9">
        <f t="shared" ca="1" si="13"/>
        <v>0</v>
      </c>
      <c r="N58" s="7">
        <f t="shared" ca="1" si="22"/>
        <v>0</v>
      </c>
      <c r="O58" s="7">
        <f t="shared" ca="1" si="23"/>
        <v>0</v>
      </c>
      <c r="P58" s="7">
        <f t="shared" ca="1" si="24"/>
        <v>0</v>
      </c>
      <c r="U58" t="e">
        <f t="shared" ca="1" si="25"/>
        <v>#N/A</v>
      </c>
      <c r="V58" t="e">
        <f t="shared" ca="1" si="26"/>
        <v>#N/A</v>
      </c>
      <c r="X58" t="e">
        <f t="shared" ca="1" si="27"/>
        <v>#N/A</v>
      </c>
      <c r="Y58" t="e">
        <f t="shared" ca="1" si="28"/>
        <v>#N/A</v>
      </c>
      <c r="AJ58">
        <v>0.97738438111682546</v>
      </c>
      <c r="AK58">
        <v>111.3380079220295</v>
      </c>
      <c r="AL58">
        <v>162.46633667759886</v>
      </c>
      <c r="AM58">
        <v>123.70889769114389</v>
      </c>
      <c r="AN58">
        <v>180.51815186399872</v>
      </c>
      <c r="AQ58">
        <v>56</v>
      </c>
      <c r="AR58">
        <f t="shared" si="2"/>
        <v>6.7103148416489615</v>
      </c>
      <c r="AS58">
        <f t="shared" si="3"/>
        <v>9.9484508706605013</v>
      </c>
      <c r="AV58">
        <v>882.66644571077268</v>
      </c>
      <c r="AW58">
        <v>185.71056298264358</v>
      </c>
      <c r="AX58">
        <v>185.71056298264355</v>
      </c>
      <c r="AY58">
        <f t="shared" si="0"/>
        <v>262.6343968459974</v>
      </c>
      <c r="AZ58">
        <v>1357.9483780165733</v>
      </c>
      <c r="BA58">
        <v>285.70855843483628</v>
      </c>
      <c r="BB58">
        <v>285.70855843483622</v>
      </c>
      <c r="BC58">
        <f t="shared" si="1"/>
        <v>404.05291822461135</v>
      </c>
      <c r="BF58">
        <v>683.20351225489105</v>
      </c>
      <c r="BG58">
        <v>295.38891526828979</v>
      </c>
      <c r="BH58">
        <v>0</v>
      </c>
      <c r="BI58">
        <f t="shared" si="4"/>
        <v>295.38891526828979</v>
      </c>
      <c r="BJ58">
        <v>1051.0823265459862</v>
      </c>
      <c r="BK58">
        <v>454.4444850281381</v>
      </c>
      <c r="BL58">
        <v>0</v>
      </c>
      <c r="BM58">
        <f t="shared" si="5"/>
        <v>454.4444850281381</v>
      </c>
    </row>
    <row r="59" spans="1:65" x14ac:dyDescent="0.25">
      <c r="A59">
        <v>23</v>
      </c>
      <c r="B59" s="5">
        <v>7</v>
      </c>
      <c r="C59" s="1">
        <f t="shared" ca="1" si="12"/>
        <v>0</v>
      </c>
      <c r="D59" s="46">
        <f t="shared" si="14"/>
        <v>0</v>
      </c>
      <c r="E59" s="46">
        <f t="shared" si="15"/>
        <v>0</v>
      </c>
      <c r="G59" t="e">
        <f t="shared" ca="1" si="16"/>
        <v>#N/A</v>
      </c>
      <c r="H59" t="e">
        <f t="shared" ca="1" si="17"/>
        <v>#N/A</v>
      </c>
      <c r="I59" s="7">
        <f t="shared" si="18"/>
        <v>0</v>
      </c>
      <c r="J59" s="7">
        <f t="shared" si="19"/>
        <v>0</v>
      </c>
      <c r="K59">
        <f t="shared" si="20"/>
        <v>12</v>
      </c>
      <c r="L59" s="15">
        <f t="shared" ca="1" si="21"/>
        <v>0</v>
      </c>
      <c r="M59" s="9">
        <f t="shared" ca="1" si="13"/>
        <v>0</v>
      </c>
      <c r="N59" s="7">
        <f t="shared" ca="1" si="22"/>
        <v>0</v>
      </c>
      <c r="O59" s="7">
        <f t="shared" ca="1" si="23"/>
        <v>0</v>
      </c>
      <c r="P59" s="7">
        <f t="shared" ca="1" si="24"/>
        <v>0</v>
      </c>
      <c r="U59" t="e">
        <f t="shared" ca="1" si="25"/>
        <v>#N/A</v>
      </c>
      <c r="V59" t="e">
        <f t="shared" ca="1" si="26"/>
        <v>#N/A</v>
      </c>
      <c r="X59" t="e">
        <f t="shared" ca="1" si="27"/>
        <v>#N/A</v>
      </c>
      <c r="Y59" t="e">
        <f t="shared" ca="1" si="28"/>
        <v>#N/A</v>
      </c>
      <c r="AJ59">
        <v>0.99483767363676878</v>
      </c>
      <c r="AK59">
        <v>108.73423627747856</v>
      </c>
      <c r="AL59">
        <v>164.55530876673569</v>
      </c>
      <c r="AM59">
        <v>120.81581808608729</v>
      </c>
      <c r="AN59">
        <v>182.83923196303965</v>
      </c>
      <c r="AQ59">
        <v>57</v>
      </c>
      <c r="AR59">
        <f t="shared" si="2"/>
        <v>6.5356684201803255</v>
      </c>
      <c r="AS59">
        <f t="shared" si="3"/>
        <v>10.064046815345089</v>
      </c>
      <c r="AV59">
        <v>911.13955686273312</v>
      </c>
      <c r="AW59">
        <v>179.56650874842884</v>
      </c>
      <c r="AX59">
        <v>179.56650874842882</v>
      </c>
      <c r="AY59">
        <f t="shared" si="0"/>
        <v>253.94539202001508</v>
      </c>
      <c r="AZ59">
        <v>1401.7531644042047</v>
      </c>
      <c r="BA59">
        <v>276.25616730527514</v>
      </c>
      <c r="BB59">
        <v>276.25616730527508</v>
      </c>
      <c r="BC59">
        <f t="shared" si="1"/>
        <v>390.68521849233088</v>
      </c>
      <c r="BF59">
        <v>700.03196783087128</v>
      </c>
      <c r="BG59">
        <v>293.77195159912901</v>
      </c>
      <c r="BH59">
        <v>-7.6975463040677523E-16</v>
      </c>
      <c r="BI59">
        <f t="shared" si="4"/>
        <v>293.77195159912901</v>
      </c>
      <c r="BJ59">
        <v>1076.9722582013403</v>
      </c>
      <c r="BK59">
        <v>451.95684861404459</v>
      </c>
      <c r="BL59">
        <v>-1.1842378929335002E-15</v>
      </c>
      <c r="BM59">
        <f t="shared" si="5"/>
        <v>451.95684861404459</v>
      </c>
    </row>
    <row r="60" spans="1:65" x14ac:dyDescent="0.25">
      <c r="A60">
        <v>24</v>
      </c>
      <c r="B60" s="5">
        <v>7</v>
      </c>
      <c r="C60" s="1">
        <f t="shared" ca="1" si="12"/>
        <v>0</v>
      </c>
      <c r="D60" s="46">
        <f t="shared" si="14"/>
        <v>0</v>
      </c>
      <c r="E60" s="46">
        <f t="shared" si="15"/>
        <v>0</v>
      </c>
      <c r="G60" t="e">
        <f t="shared" ca="1" si="16"/>
        <v>#N/A</v>
      </c>
      <c r="H60" t="e">
        <f t="shared" ca="1" si="17"/>
        <v>#N/A</v>
      </c>
      <c r="I60" s="7">
        <f t="shared" si="18"/>
        <v>0</v>
      </c>
      <c r="J60" s="7">
        <f t="shared" si="19"/>
        <v>0</v>
      </c>
      <c r="K60">
        <f t="shared" si="20"/>
        <v>12</v>
      </c>
      <c r="L60" s="15">
        <f t="shared" ca="1" si="21"/>
        <v>0</v>
      </c>
      <c r="M60" s="9">
        <f t="shared" ca="1" si="13"/>
        <v>0</v>
      </c>
      <c r="N60" s="7">
        <f t="shared" ca="1" si="22"/>
        <v>0</v>
      </c>
      <c r="O60" s="7">
        <f t="shared" ca="1" si="23"/>
        <v>0</v>
      </c>
      <c r="P60" s="7">
        <f t="shared" ca="1" si="24"/>
        <v>0</v>
      </c>
      <c r="U60" t="e">
        <f t="shared" ca="1" si="25"/>
        <v>#N/A</v>
      </c>
      <c r="V60" t="e">
        <f t="shared" ca="1" si="26"/>
        <v>#N/A</v>
      </c>
      <c r="X60" t="e">
        <f t="shared" ca="1" si="27"/>
        <v>#N/A</v>
      </c>
      <c r="Y60" t="e">
        <f t="shared" ca="1" si="28"/>
        <v>#N/A</v>
      </c>
      <c r="AJ60">
        <v>1.0122909661567121</v>
      </c>
      <c r="AK60">
        <v>106.09967076057605</v>
      </c>
      <c r="AL60">
        <v>166.6235972372474</v>
      </c>
      <c r="AM60">
        <v>117.88852306730672</v>
      </c>
      <c r="AN60">
        <v>185.13733026360822</v>
      </c>
      <c r="AQ60">
        <v>58</v>
      </c>
      <c r="AR60">
        <f t="shared" si="2"/>
        <v>6.3590311707984588</v>
      </c>
      <c r="AS60">
        <f t="shared" si="3"/>
        <v>10.176577153877112</v>
      </c>
      <c r="AV60">
        <v>939.61266801469355</v>
      </c>
      <c r="AW60">
        <v>172.88182289345812</v>
      </c>
      <c r="AX60">
        <v>172.88182289345809</v>
      </c>
      <c r="AY60">
        <f t="shared" si="0"/>
        <v>244.49181862371188</v>
      </c>
      <c r="AZ60">
        <v>1445.5579507918362</v>
      </c>
      <c r="BA60">
        <v>265.97203522070481</v>
      </c>
      <c r="BB60">
        <v>265.97203522070475</v>
      </c>
      <c r="BC60">
        <f t="shared" si="1"/>
        <v>376.14125942109519</v>
      </c>
      <c r="BF60">
        <v>716.86042340685151</v>
      </c>
      <c r="BG60">
        <v>291.93497587901447</v>
      </c>
      <c r="BH60">
        <v>-7.6975463040677523E-16</v>
      </c>
      <c r="BI60">
        <f t="shared" si="4"/>
        <v>291.93497587901447</v>
      </c>
      <c r="BJ60">
        <v>1102.8621898566946</v>
      </c>
      <c r="BK60">
        <v>449.1307321215607</v>
      </c>
      <c r="BL60">
        <v>-1.1842378929335002E-15</v>
      </c>
      <c r="BM60">
        <f t="shared" si="5"/>
        <v>449.1307321215607</v>
      </c>
    </row>
    <row r="61" spans="1:65" x14ac:dyDescent="0.25">
      <c r="A61">
        <v>25</v>
      </c>
      <c r="B61" s="5">
        <v>7</v>
      </c>
      <c r="C61" s="1">
        <f t="shared" ca="1" si="12"/>
        <v>0</v>
      </c>
      <c r="D61" s="46">
        <f t="shared" si="14"/>
        <v>0</v>
      </c>
      <c r="E61" s="46">
        <f t="shared" si="15"/>
        <v>0</v>
      </c>
      <c r="G61" t="e">
        <f t="shared" ca="1" si="16"/>
        <v>#N/A</v>
      </c>
      <c r="H61" t="e">
        <f t="shared" ca="1" si="17"/>
        <v>#N/A</v>
      </c>
      <c r="I61" s="7">
        <f t="shared" si="18"/>
        <v>0</v>
      </c>
      <c r="J61" s="7">
        <f t="shared" si="19"/>
        <v>0</v>
      </c>
      <c r="K61">
        <f t="shared" si="20"/>
        <v>12</v>
      </c>
      <c r="L61" s="15">
        <f t="shared" ca="1" si="21"/>
        <v>0</v>
      </c>
      <c r="M61" s="9">
        <f t="shared" ca="1" si="13"/>
        <v>0</v>
      </c>
      <c r="N61" s="7">
        <f t="shared" ca="1" si="22"/>
        <v>0</v>
      </c>
      <c r="O61" s="7">
        <f t="shared" ca="1" si="23"/>
        <v>0</v>
      </c>
      <c r="P61" s="7">
        <f t="shared" ca="1" si="24"/>
        <v>0</v>
      </c>
      <c r="U61" t="e">
        <f t="shared" ca="1" si="25"/>
        <v>#N/A</v>
      </c>
      <c r="V61" t="e">
        <f t="shared" ca="1" si="26"/>
        <v>#N/A</v>
      </c>
      <c r="X61" t="e">
        <f t="shared" ca="1" si="27"/>
        <v>#N/A</v>
      </c>
      <c r="Y61" t="e">
        <f t="shared" ca="1" si="28"/>
        <v>#N/A</v>
      </c>
      <c r="AJ61">
        <v>1.0297442586766554</v>
      </c>
      <c r="AK61">
        <v>103.43343833362167</v>
      </c>
      <c r="AL61">
        <v>168.67055992299888</v>
      </c>
      <c r="AM61">
        <v>114.92604259291296</v>
      </c>
      <c r="AN61">
        <v>187.41173324777654</v>
      </c>
      <c r="AQ61">
        <v>59</v>
      </c>
      <c r="AR61">
        <f t="shared" si="2"/>
        <v>6.1804568989206494</v>
      </c>
      <c r="AS61">
        <f t="shared" si="3"/>
        <v>10.286007608425347</v>
      </c>
      <c r="AV61">
        <v>968.08577916665399</v>
      </c>
      <c r="AW61">
        <v>165.64912656596599</v>
      </c>
      <c r="AX61">
        <v>165.64912656596593</v>
      </c>
      <c r="AY61">
        <f t="shared" si="0"/>
        <v>234.2632413848464</v>
      </c>
      <c r="AZ61">
        <v>1489.3627371794676</v>
      </c>
      <c r="BA61">
        <v>254.84481010148613</v>
      </c>
      <c r="BB61">
        <v>254.84481010148605</v>
      </c>
      <c r="BC61">
        <f t="shared" si="1"/>
        <v>360.40498674591754</v>
      </c>
      <c r="BF61">
        <v>733.68887898283174</v>
      </c>
      <c r="BG61">
        <v>289.87391916072016</v>
      </c>
      <c r="BH61">
        <v>-3.8487731520338765E-15</v>
      </c>
      <c r="BI61">
        <f t="shared" si="4"/>
        <v>289.87391916072016</v>
      </c>
      <c r="BJ61">
        <v>1128.7521215120487</v>
      </c>
      <c r="BK61">
        <v>445.95987563187714</v>
      </c>
      <c r="BL61">
        <v>-5.9211894646675018E-15</v>
      </c>
      <c r="BM61">
        <f t="shared" si="5"/>
        <v>445.95987563187714</v>
      </c>
    </row>
    <row r="62" spans="1:65" x14ac:dyDescent="0.25">
      <c r="A62">
        <v>26</v>
      </c>
      <c r="B62" s="5">
        <v>7</v>
      </c>
      <c r="C62" s="1">
        <f t="shared" ca="1" si="12"/>
        <v>0</v>
      </c>
      <c r="D62" s="46">
        <f t="shared" si="14"/>
        <v>0</v>
      </c>
      <c r="E62" s="46">
        <f t="shared" si="15"/>
        <v>0</v>
      </c>
      <c r="G62" t="e">
        <f t="shared" ca="1" si="16"/>
        <v>#N/A</v>
      </c>
      <c r="H62" t="e">
        <f t="shared" ca="1" si="17"/>
        <v>#N/A</v>
      </c>
      <c r="I62" s="7">
        <f t="shared" si="18"/>
        <v>0</v>
      </c>
      <c r="J62" s="7">
        <f t="shared" si="19"/>
        <v>0</v>
      </c>
      <c r="K62">
        <f t="shared" si="20"/>
        <v>12</v>
      </c>
      <c r="L62" s="15">
        <f t="shared" ca="1" si="21"/>
        <v>0</v>
      </c>
      <c r="M62" s="9">
        <f t="shared" ca="1" si="13"/>
        <v>0</v>
      </c>
      <c r="N62" s="7">
        <f t="shared" ca="1" si="22"/>
        <v>0</v>
      </c>
      <c r="O62" s="7">
        <f t="shared" ca="1" si="23"/>
        <v>0</v>
      </c>
      <c r="P62" s="7">
        <f t="shared" ca="1" si="24"/>
        <v>0</v>
      </c>
      <c r="U62" t="e">
        <f t="shared" ca="1" si="25"/>
        <v>#N/A</v>
      </c>
      <c r="V62" t="e">
        <f t="shared" ca="1" si="26"/>
        <v>#N/A</v>
      </c>
      <c r="X62" t="e">
        <f t="shared" ca="1" si="27"/>
        <v>#N/A</v>
      </c>
      <c r="Y62" t="e">
        <f t="shared" ca="1" si="28"/>
        <v>#N/A</v>
      </c>
      <c r="AJ62">
        <v>1.0471975511965987</v>
      </c>
      <c r="AK62">
        <v>100.73469936375329</v>
      </c>
      <c r="AL62">
        <v>170.69546023617715</v>
      </c>
      <c r="AM62">
        <v>111.92744373750365</v>
      </c>
      <c r="AN62">
        <v>189.66162248464127</v>
      </c>
      <c r="AQ62">
        <v>60</v>
      </c>
      <c r="AR62">
        <f t="shared" si="2"/>
        <v>6.0000000000000018</v>
      </c>
      <c r="AS62">
        <f t="shared" si="3"/>
        <v>10.392304845413264</v>
      </c>
      <c r="AV62">
        <v>996.55889031861443</v>
      </c>
      <c r="AW62">
        <v>157.86387569602169</v>
      </c>
      <c r="AX62">
        <v>157.86387569602167</v>
      </c>
      <c r="AY62">
        <f t="shared" si="0"/>
        <v>223.25323401809428</v>
      </c>
      <c r="AZ62">
        <v>1533.1675235670991</v>
      </c>
      <c r="BA62">
        <v>242.8675010708026</v>
      </c>
      <c r="BB62">
        <v>242.86750107080255</v>
      </c>
      <c r="BC62">
        <f t="shared" si="1"/>
        <v>343.46651387399118</v>
      </c>
      <c r="BF62">
        <v>750.51733455881197</v>
      </c>
      <c r="BG62">
        <v>287.58481194878789</v>
      </c>
      <c r="BH62">
        <v>-5.1958437552457331E-15</v>
      </c>
      <c r="BI62">
        <f t="shared" si="4"/>
        <v>287.58481194878789</v>
      </c>
      <c r="BJ62">
        <v>1154.642053167403</v>
      </c>
      <c r="BK62">
        <v>442.43817222890442</v>
      </c>
      <c r="BL62">
        <v>-7.9936057773011271E-15</v>
      </c>
      <c r="BM62">
        <f t="shared" si="5"/>
        <v>442.43817222890442</v>
      </c>
    </row>
    <row r="63" spans="1:65" x14ac:dyDescent="0.25">
      <c r="A63">
        <v>27</v>
      </c>
      <c r="B63" s="5">
        <v>0</v>
      </c>
      <c r="C63" s="1">
        <f t="shared" ca="1" si="12"/>
        <v>0</v>
      </c>
      <c r="D63" s="46">
        <f t="shared" si="14"/>
        <v>0</v>
      </c>
      <c r="E63" s="46">
        <f t="shared" si="15"/>
        <v>0</v>
      </c>
      <c r="G63" t="e">
        <f t="shared" ca="1" si="16"/>
        <v>#N/A</v>
      </c>
      <c r="H63" t="e">
        <f t="shared" ca="1" si="17"/>
        <v>#N/A</v>
      </c>
      <c r="I63" s="7">
        <f t="shared" si="18"/>
        <v>0</v>
      </c>
      <c r="J63" s="7">
        <f t="shared" si="19"/>
        <v>0</v>
      </c>
      <c r="K63">
        <f t="shared" si="20"/>
        <v>0</v>
      </c>
      <c r="L63" s="15">
        <f t="shared" ca="1" si="21"/>
        <v>0</v>
      </c>
      <c r="M63" s="9">
        <f t="shared" ca="1" si="13"/>
        <v>0</v>
      </c>
      <c r="N63" s="7">
        <f t="shared" ca="1" si="22"/>
        <v>0</v>
      </c>
      <c r="O63" s="7">
        <f t="shared" ca="1" si="23"/>
        <v>0</v>
      </c>
      <c r="P63" s="7">
        <f t="shared" ca="1" si="24"/>
        <v>0</v>
      </c>
      <c r="U63" t="e">
        <f t="shared" ca="1" si="25"/>
        <v>#N/A</v>
      </c>
      <c r="V63" t="e">
        <f t="shared" ca="1" si="26"/>
        <v>#N/A</v>
      </c>
      <c r="X63" t="e">
        <f t="shared" ca="1" si="27"/>
        <v>#N/A</v>
      </c>
      <c r="Y63" t="e">
        <f t="shared" ca="1" si="28"/>
        <v>#N/A</v>
      </c>
      <c r="AJ63">
        <v>1.0646508437165421</v>
      </c>
      <c r="AK63">
        <v>98.002655001056752</v>
      </c>
      <c r="AL63">
        <v>172.69747129202884</v>
      </c>
      <c r="AM63">
        <v>108.89183889006306</v>
      </c>
      <c r="AN63">
        <v>191.88607921336538</v>
      </c>
      <c r="AQ63">
        <v>61</v>
      </c>
      <c r="AR63">
        <f t="shared" si="2"/>
        <v>5.8177154429560449</v>
      </c>
      <c r="AS63">
        <f t="shared" si="3"/>
        <v>10.495436485672748</v>
      </c>
      <c r="AV63">
        <v>1025.0320014705749</v>
      </c>
      <c r="AW63">
        <v>149.52588885574593</v>
      </c>
      <c r="AX63">
        <v>149.5258888557459</v>
      </c>
      <c r="AY63">
        <f t="shared" si="0"/>
        <v>211.46153994568792</v>
      </c>
      <c r="AZ63">
        <v>1576.9723099547305</v>
      </c>
      <c r="BA63">
        <v>230.03982900883989</v>
      </c>
      <c r="BB63">
        <v>230.03982900883983</v>
      </c>
      <c r="BC63">
        <f t="shared" si="1"/>
        <v>325.32544607028905</v>
      </c>
      <c r="BF63">
        <v>767.3457901347922</v>
      </c>
      <c r="BG63">
        <v>285.06378382985753</v>
      </c>
      <c r="BH63">
        <v>-3.4638958368304887E-15</v>
      </c>
      <c r="BI63">
        <f t="shared" si="4"/>
        <v>285.06378382985753</v>
      </c>
      <c r="BJ63">
        <v>1180.5319848227573</v>
      </c>
      <c r="BK63">
        <v>438.55966743055001</v>
      </c>
      <c r="BL63">
        <v>-5.3290705182007514E-15</v>
      </c>
      <c r="BM63">
        <f t="shared" si="5"/>
        <v>438.55966743055001</v>
      </c>
    </row>
    <row r="64" spans="1:65" x14ac:dyDescent="0.25">
      <c r="A64">
        <v>28</v>
      </c>
      <c r="B64" s="5">
        <v>0</v>
      </c>
      <c r="C64" s="1">
        <f t="shared" ca="1" si="12"/>
        <v>0</v>
      </c>
      <c r="D64" s="46">
        <f t="shared" si="14"/>
        <v>0</v>
      </c>
      <c r="E64" s="46">
        <f t="shared" si="15"/>
        <v>0</v>
      </c>
      <c r="G64" t="e">
        <f t="shared" ca="1" si="16"/>
        <v>#N/A</v>
      </c>
      <c r="H64" t="e">
        <f t="shared" ca="1" si="17"/>
        <v>#N/A</v>
      </c>
      <c r="I64" s="7">
        <f t="shared" si="18"/>
        <v>0</v>
      </c>
      <c r="J64" s="7">
        <f t="shared" si="19"/>
        <v>0</v>
      </c>
      <c r="K64">
        <f t="shared" si="20"/>
        <v>0</v>
      </c>
      <c r="L64" s="15">
        <f t="shared" ca="1" si="21"/>
        <v>0</v>
      </c>
      <c r="M64" s="9">
        <f t="shared" ca="1" si="13"/>
        <v>0</v>
      </c>
      <c r="N64" s="7">
        <f t="shared" ca="1" si="22"/>
        <v>0</v>
      </c>
      <c r="O64" s="7">
        <f t="shared" ca="1" si="23"/>
        <v>0</v>
      </c>
      <c r="P64" s="7">
        <f t="shared" ca="1" si="24"/>
        <v>0</v>
      </c>
      <c r="U64" t="e">
        <f t="shared" ca="1" si="25"/>
        <v>#N/A</v>
      </c>
      <c r="V64" t="e">
        <f t="shared" ca="1" si="26"/>
        <v>#N/A</v>
      </c>
      <c r="X64" t="e">
        <f t="shared" ca="1" si="27"/>
        <v>#N/A</v>
      </c>
      <c r="Y64" t="e">
        <f t="shared" ca="1" si="28"/>
        <v>#N/A</v>
      </c>
      <c r="AJ64">
        <v>1.0821041362364854</v>
      </c>
      <c r="AK64">
        <v>95.236554008527563</v>
      </c>
      <c r="AL64">
        <v>174.67568056389106</v>
      </c>
      <c r="AM64">
        <v>105.81839334280841</v>
      </c>
      <c r="AN64">
        <v>194.0840895154345</v>
      </c>
      <c r="AQ64">
        <v>62</v>
      </c>
      <c r="AR64">
        <f t="shared" si="2"/>
        <v>5.6336587534306908</v>
      </c>
      <c r="AS64">
        <f t="shared" si="3"/>
        <v>10.595371114307122</v>
      </c>
      <c r="AV64">
        <v>1053.5051126225353</v>
      </c>
      <c r="AW64">
        <v>140.6423938747262</v>
      </c>
      <c r="AX64">
        <v>140.6423938747262</v>
      </c>
      <c r="AY64">
        <f t="shared" si="0"/>
        <v>198.89838086225649</v>
      </c>
      <c r="AZ64">
        <v>1620.777096342362</v>
      </c>
      <c r="BA64">
        <v>216.37291365342492</v>
      </c>
      <c r="BB64">
        <v>216.37291365342492</v>
      </c>
      <c r="BC64">
        <f t="shared" si="1"/>
        <v>305.99750901885614</v>
      </c>
      <c r="BF64">
        <v>784.17424571077242</v>
      </c>
      <c r="BG64">
        <v>282.30706344514141</v>
      </c>
      <c r="BH64">
        <v>-3.8487731520338765E-15</v>
      </c>
      <c r="BI64">
        <f t="shared" si="4"/>
        <v>282.30706344514141</v>
      </c>
      <c r="BJ64">
        <v>1206.4219164781114</v>
      </c>
      <c r="BK64">
        <v>434.3185591463714</v>
      </c>
      <c r="BL64">
        <v>-5.9211894646675018E-15</v>
      </c>
      <c r="BM64">
        <f t="shared" si="5"/>
        <v>434.3185591463714</v>
      </c>
    </row>
    <row r="65" spans="1:65" x14ac:dyDescent="0.25">
      <c r="A65">
        <v>29</v>
      </c>
      <c r="B65" s="5">
        <v>0</v>
      </c>
      <c r="C65" s="1">
        <f t="shared" ca="1" si="12"/>
        <v>0</v>
      </c>
      <c r="D65" s="46">
        <f t="shared" si="14"/>
        <v>0</v>
      </c>
      <c r="E65" s="46">
        <f t="shared" si="15"/>
        <v>0</v>
      </c>
      <c r="G65" t="e">
        <f t="shared" ca="1" si="16"/>
        <v>#N/A</v>
      </c>
      <c r="H65" t="e">
        <f t="shared" ca="1" si="17"/>
        <v>#N/A</v>
      </c>
      <c r="I65" s="7">
        <f t="shared" si="18"/>
        <v>0</v>
      </c>
      <c r="J65" s="7">
        <f t="shared" si="19"/>
        <v>0</v>
      </c>
      <c r="K65">
        <f t="shared" si="20"/>
        <v>0</v>
      </c>
      <c r="L65" s="15">
        <f t="shared" ca="1" si="21"/>
        <v>0</v>
      </c>
      <c r="M65" s="9">
        <f t="shared" ca="1" si="13"/>
        <v>0</v>
      </c>
      <c r="N65" s="7">
        <f t="shared" ca="1" si="22"/>
        <v>0</v>
      </c>
      <c r="O65" s="7">
        <f t="shared" ca="1" si="23"/>
        <v>0</v>
      </c>
      <c r="P65" s="7">
        <f t="shared" ca="1" si="24"/>
        <v>0</v>
      </c>
      <c r="U65" t="e">
        <f t="shared" ca="1" si="25"/>
        <v>#N/A</v>
      </c>
      <c r="V65" t="e">
        <f t="shared" ca="1" si="26"/>
        <v>#N/A</v>
      </c>
      <c r="X65" t="e">
        <f t="shared" ca="1" si="27"/>
        <v>#N/A</v>
      </c>
      <c r="Y65" t="e">
        <f t="shared" ca="1" si="28"/>
        <v>#N/A</v>
      </c>
      <c r="AJ65">
        <v>1.0995574287564287</v>
      </c>
      <c r="AK65">
        <v>91.924727767610079</v>
      </c>
      <c r="AL65">
        <v>176.803393607602</v>
      </c>
      <c r="AM65">
        <v>102.13858640845564</v>
      </c>
      <c r="AN65">
        <v>196.44821511955777</v>
      </c>
      <c r="AQ65">
        <v>63</v>
      </c>
      <c r="AR65">
        <f t="shared" si="2"/>
        <v>5.4478859968745619</v>
      </c>
      <c r="AS65">
        <f t="shared" si="3"/>
        <v>10.692078290260413</v>
      </c>
      <c r="AV65">
        <v>1081.9782237744957</v>
      </c>
      <c r="AW65">
        <v>131.30559078497575</v>
      </c>
      <c r="AX65">
        <v>131.30559078497572</v>
      </c>
      <c r="AY65">
        <f t="shared" si="0"/>
        <v>185.69414730352437</v>
      </c>
      <c r="AZ65">
        <v>1664.5818827299934</v>
      </c>
      <c r="BA65">
        <v>202.008601207655</v>
      </c>
      <c r="BB65">
        <v>202.00860120765495</v>
      </c>
      <c r="BC65">
        <f t="shared" si="1"/>
        <v>285.68330354388365</v>
      </c>
      <c r="BF65">
        <v>801.00270128675265</v>
      </c>
      <c r="BG65">
        <v>279.1623681931224</v>
      </c>
      <c r="BH65">
        <v>-3.9449924808347227E-15</v>
      </c>
      <c r="BI65">
        <f t="shared" si="4"/>
        <v>279.1623681931224</v>
      </c>
      <c r="BJ65">
        <v>1232.3118481334657</v>
      </c>
      <c r="BK65">
        <v>429.48056645095755</v>
      </c>
      <c r="BL65">
        <v>-6.0692192012841888E-15</v>
      </c>
      <c r="BM65">
        <f t="shared" si="5"/>
        <v>429.48056645095755</v>
      </c>
    </row>
    <row r="66" spans="1:65" x14ac:dyDescent="0.25">
      <c r="A66">
        <v>30</v>
      </c>
      <c r="B66" s="5">
        <v>0</v>
      </c>
      <c r="C66" s="1">
        <f t="shared" ca="1" si="12"/>
        <v>0</v>
      </c>
      <c r="D66" s="46">
        <f t="shared" si="14"/>
        <v>0</v>
      </c>
      <c r="E66" s="46">
        <f t="shared" si="15"/>
        <v>0</v>
      </c>
      <c r="G66" t="e">
        <f t="shared" ca="1" si="16"/>
        <v>#N/A</v>
      </c>
      <c r="H66" t="e">
        <f t="shared" ca="1" si="17"/>
        <v>#N/A</v>
      </c>
      <c r="I66" s="7">
        <f t="shared" si="18"/>
        <v>0</v>
      </c>
      <c r="J66" s="7">
        <f t="shared" si="19"/>
        <v>0</v>
      </c>
      <c r="K66">
        <f t="shared" si="20"/>
        <v>0</v>
      </c>
      <c r="L66" s="15">
        <f t="shared" ca="1" si="21"/>
        <v>0</v>
      </c>
      <c r="M66" s="9">
        <f t="shared" ca="1" si="13"/>
        <v>0</v>
      </c>
      <c r="N66" s="7">
        <f t="shared" ca="1" si="22"/>
        <v>0</v>
      </c>
      <c r="O66" s="7">
        <f t="shared" ca="1" si="23"/>
        <v>0</v>
      </c>
      <c r="P66" s="7">
        <f t="shared" ca="1" si="24"/>
        <v>0</v>
      </c>
      <c r="U66" t="e">
        <f t="shared" ca="1" si="25"/>
        <v>#N/A</v>
      </c>
      <c r="V66" t="e">
        <f t="shared" ca="1" si="26"/>
        <v>#N/A</v>
      </c>
      <c r="X66" t="e">
        <f t="shared" ca="1" si="27"/>
        <v>#N/A</v>
      </c>
      <c r="Y66" t="e">
        <f t="shared" ca="1" si="28"/>
        <v>#N/A</v>
      </c>
      <c r="AJ66">
        <v>1.117010721276372</v>
      </c>
      <c r="AK66">
        <v>89.051381778661792</v>
      </c>
      <c r="AL66">
        <v>178.71983044871851</v>
      </c>
      <c r="AM66">
        <v>98.945979754068659</v>
      </c>
      <c r="AN66">
        <v>198.577589387465</v>
      </c>
      <c r="AQ66">
        <v>64</v>
      </c>
      <c r="AR66">
        <f t="shared" si="2"/>
        <v>5.2604537614689297</v>
      </c>
      <c r="AS66">
        <f t="shared" si="3"/>
        <v>10.785528555590005</v>
      </c>
      <c r="AV66">
        <v>1110.4513349264562</v>
      </c>
      <c r="AW66">
        <v>121.40998392688402</v>
      </c>
      <c r="AX66">
        <v>121.40998392688401</v>
      </c>
      <c r="AY66">
        <f t="shared" ref="AY66:AY77" si="29">SQRT(POWER(AW66,2)+POWER(AX66,2))</f>
        <v>171.69964587689887</v>
      </c>
      <c r="AZ66">
        <v>1708.3866691176249</v>
      </c>
      <c r="BA66">
        <v>186.78459065674465</v>
      </c>
      <c r="BB66">
        <v>186.78459065674463</v>
      </c>
      <c r="BC66">
        <f t="shared" ref="BC66:BC77" si="30">SQRT(POWER(BA66,2)+POWER(BB66,2))</f>
        <v>264.15330134907515</v>
      </c>
      <c r="BF66">
        <v>817.83115686273288</v>
      </c>
      <c r="BG66">
        <v>275.66687891803758</v>
      </c>
      <c r="BH66">
        <v>-2.6460315420232896E-15</v>
      </c>
      <c r="BI66">
        <f t="shared" si="4"/>
        <v>275.66687891803758</v>
      </c>
      <c r="BJ66">
        <v>1258.2017797888197</v>
      </c>
      <c r="BK66">
        <v>424.10289064313474</v>
      </c>
      <c r="BL66">
        <v>-4.0708177569589071E-15</v>
      </c>
      <c r="BM66">
        <f t="shared" si="5"/>
        <v>424.10289064313474</v>
      </c>
    </row>
    <row r="67" spans="1:65" x14ac:dyDescent="0.25">
      <c r="A67">
        <v>31</v>
      </c>
      <c r="B67" s="5">
        <v>0</v>
      </c>
      <c r="C67" s="1">
        <f t="shared" ca="1" si="12"/>
        <v>0</v>
      </c>
      <c r="D67" s="46">
        <f t="shared" si="14"/>
        <v>0</v>
      </c>
      <c r="E67" s="46">
        <f t="shared" si="15"/>
        <v>0</v>
      </c>
      <c r="G67" t="e">
        <f t="shared" ca="1" si="16"/>
        <v>#N/A</v>
      </c>
      <c r="H67" t="e">
        <f t="shared" ca="1" si="17"/>
        <v>#N/A</v>
      </c>
      <c r="I67" s="7">
        <f t="shared" si="18"/>
        <v>0</v>
      </c>
      <c r="J67" s="7">
        <f t="shared" si="19"/>
        <v>0</v>
      </c>
      <c r="K67">
        <f t="shared" si="20"/>
        <v>0</v>
      </c>
      <c r="L67" s="15">
        <f t="shared" ca="1" si="21"/>
        <v>0</v>
      </c>
      <c r="M67" s="9">
        <f t="shared" ca="1" si="13"/>
        <v>0</v>
      </c>
      <c r="N67" s="7">
        <f t="shared" ca="1" si="22"/>
        <v>0</v>
      </c>
      <c r="O67" s="7">
        <f t="shared" ca="1" si="23"/>
        <v>0</v>
      </c>
      <c r="P67" s="7">
        <f t="shared" ca="1" si="24"/>
        <v>0</v>
      </c>
      <c r="U67" t="e">
        <f t="shared" ca="1" si="25"/>
        <v>#N/A</v>
      </c>
      <c r="V67" t="e">
        <f t="shared" ca="1" si="26"/>
        <v>#N/A</v>
      </c>
      <c r="X67" t="e">
        <f t="shared" ca="1" si="27"/>
        <v>#N/A</v>
      </c>
      <c r="Y67" t="e">
        <f t="shared" ca="1" si="28"/>
        <v>#N/A</v>
      </c>
      <c r="AJ67">
        <v>1.1344640137963153</v>
      </c>
      <c r="AK67">
        <v>86.145236868634271</v>
      </c>
      <c r="AL67">
        <v>180.60559184539736</v>
      </c>
      <c r="AM67">
        <v>95.716929854038071</v>
      </c>
      <c r="AN67">
        <v>200.67287982821927</v>
      </c>
      <c r="AQ67">
        <v>65</v>
      </c>
      <c r="AR67">
        <f t="shared" ref="AR67:AR130" si="31">$B$3*COS(RADIANS(AQ67))</f>
        <v>5.0714191408883931</v>
      </c>
      <c r="AS67">
        <f t="shared" ref="AS67:AS130" si="32">$B$3*SIN(RADIANS(AQ67))</f>
        <v>10.875693444439799</v>
      </c>
      <c r="AV67">
        <v>1138.9244460784166</v>
      </c>
      <c r="AW67">
        <v>111.24808513491507</v>
      </c>
      <c r="AX67">
        <v>111.24808513491504</v>
      </c>
      <c r="AY67">
        <f t="shared" si="29"/>
        <v>157.32855078583358</v>
      </c>
      <c r="AZ67">
        <v>1752.1914555052563</v>
      </c>
      <c r="BA67">
        <v>171.15090020756165</v>
      </c>
      <c r="BB67">
        <v>171.15090020756159</v>
      </c>
      <c r="BC67">
        <f t="shared" si="30"/>
        <v>242.04392428589782</v>
      </c>
      <c r="BF67">
        <v>834.65961243871311</v>
      </c>
      <c r="BG67">
        <v>271.91994105785204</v>
      </c>
      <c r="BH67">
        <v>-2.8399736266374966E-15</v>
      </c>
      <c r="BI67">
        <f t="shared" ref="BI67:BI102" si="33">SQRT(POWER(BG67,2)+POWER(BH67,2))</f>
        <v>271.91994105785204</v>
      </c>
      <c r="BJ67">
        <v>1284.0917114441741</v>
      </c>
      <c r="BK67">
        <v>418.33837085823387</v>
      </c>
      <c r="BL67">
        <v>-4.3691901948269179E-15</v>
      </c>
      <c r="BM67">
        <f t="shared" ref="BM67:BM102" si="34">SQRT(POWER(BK67,2)+POWER(BL67,2))</f>
        <v>418.33837085823387</v>
      </c>
    </row>
    <row r="68" spans="1:65" x14ac:dyDescent="0.25">
      <c r="A68">
        <v>32</v>
      </c>
      <c r="B68" s="5">
        <v>0</v>
      </c>
      <c r="C68" s="1">
        <f t="shared" ca="1" si="12"/>
        <v>0</v>
      </c>
      <c r="D68" s="46">
        <f t="shared" si="14"/>
        <v>0</v>
      </c>
      <c r="E68" s="46">
        <f t="shared" si="15"/>
        <v>0</v>
      </c>
      <c r="G68" t="e">
        <f t="shared" ca="1" si="16"/>
        <v>#N/A</v>
      </c>
      <c r="H68" t="e">
        <f t="shared" ca="1" si="17"/>
        <v>#N/A</v>
      </c>
      <c r="I68" s="7">
        <f t="shared" si="18"/>
        <v>0</v>
      </c>
      <c r="J68" s="7">
        <f t="shared" si="19"/>
        <v>0</v>
      </c>
      <c r="K68">
        <f t="shared" si="20"/>
        <v>0</v>
      </c>
      <c r="L68" s="15">
        <f t="shared" ca="1" si="21"/>
        <v>0</v>
      </c>
      <c r="M68" s="9">
        <f t="shared" ca="1" si="13"/>
        <v>0</v>
      </c>
      <c r="N68" s="7">
        <f t="shared" ca="1" si="22"/>
        <v>0</v>
      </c>
      <c r="O68" s="7">
        <f t="shared" ca="1" si="23"/>
        <v>0</v>
      </c>
      <c r="P68" s="7">
        <f t="shared" ca="1" si="24"/>
        <v>0</v>
      </c>
      <c r="U68" t="e">
        <f t="shared" ca="1" si="25"/>
        <v>#N/A</v>
      </c>
      <c r="V68" t="e">
        <f t="shared" ca="1" si="26"/>
        <v>#N/A</v>
      </c>
      <c r="X68" t="e">
        <f t="shared" ca="1" si="27"/>
        <v>#N/A</v>
      </c>
      <c r="Y68" t="e">
        <f t="shared" ca="1" si="28"/>
        <v>#N/A</v>
      </c>
      <c r="AJ68">
        <v>1.1519173063162587</v>
      </c>
      <c r="AK68">
        <v>82.460156769361802</v>
      </c>
      <c r="AL68">
        <v>182.41344801823976</v>
      </c>
      <c r="AM68">
        <v>91.622396410402004</v>
      </c>
      <c r="AN68">
        <v>202.68160890915527</v>
      </c>
      <c r="AQ68">
        <v>66</v>
      </c>
      <c r="AR68">
        <f t="shared" si="31"/>
        <v>4.8808397169096027</v>
      </c>
      <c r="AS68">
        <f t="shared" si="32"/>
        <v>10.962545491711211</v>
      </c>
      <c r="AV68">
        <v>1167.3975572303771</v>
      </c>
      <c r="AW68">
        <v>101.0046210338424</v>
      </c>
      <c r="AX68">
        <v>101.0046210338424</v>
      </c>
      <c r="AY68">
        <f t="shared" si="29"/>
        <v>142.8421049284147</v>
      </c>
      <c r="AZ68">
        <v>1795.9962418928876</v>
      </c>
      <c r="BA68">
        <v>155.39172466744984</v>
      </c>
      <c r="BB68">
        <v>155.39172466744984</v>
      </c>
      <c r="BC68">
        <f t="shared" si="30"/>
        <v>219.75708450525337</v>
      </c>
      <c r="BF68">
        <v>851.48806801469334</v>
      </c>
      <c r="BG68">
        <v>267.91798348267361</v>
      </c>
      <c r="BH68">
        <v>-4.5223084536398044E-15</v>
      </c>
      <c r="BI68">
        <f t="shared" si="33"/>
        <v>267.91798348267361</v>
      </c>
      <c r="BJ68">
        <v>1309.9816430995281</v>
      </c>
      <c r="BK68">
        <v>412.18151305026709</v>
      </c>
      <c r="BL68">
        <v>-6.9573976209843141E-15</v>
      </c>
      <c r="BM68">
        <f t="shared" si="34"/>
        <v>412.18151305026709</v>
      </c>
    </row>
    <row r="69" spans="1:65" x14ac:dyDescent="0.25">
      <c r="A69">
        <v>33</v>
      </c>
      <c r="B69" s="5">
        <v>0</v>
      </c>
      <c r="C69" s="1">
        <f t="shared" ref="C69:C100" ca="1" si="35">IF(A69&lt;=$B$31,OFFSET($Q$36,MATCH(B69,$Q$36:$Q$47,0)-1,2),0)</f>
        <v>0</v>
      </c>
      <c r="D69" s="46">
        <f t="shared" si="14"/>
        <v>0</v>
      </c>
      <c r="E69" s="46">
        <f t="shared" si="15"/>
        <v>0</v>
      </c>
      <c r="G69" t="e">
        <f t="shared" ca="1" si="16"/>
        <v>#N/A</v>
      </c>
      <c r="H69" t="e">
        <f t="shared" ca="1" si="17"/>
        <v>#N/A</v>
      </c>
      <c r="I69" s="7">
        <f t="shared" si="18"/>
        <v>0</v>
      </c>
      <c r="J69" s="7">
        <f t="shared" si="19"/>
        <v>0</v>
      </c>
      <c r="K69">
        <f t="shared" si="20"/>
        <v>0</v>
      </c>
      <c r="L69" s="15">
        <f t="shared" ca="1" si="21"/>
        <v>0</v>
      </c>
      <c r="M69" s="9">
        <f t="shared" ref="M69:M100" ca="1" si="36">IF(AND(L69&gt;0,K69&lt;=$B$12),MIN((L69*F$35),C$35)-IF($B$2="Whitney",$B$9,B183),MAX(L69*F$35,-1*C$35))</f>
        <v>0</v>
      </c>
      <c r="N69" s="7">
        <f t="shared" ca="1" si="22"/>
        <v>0</v>
      </c>
      <c r="O69" s="7">
        <f t="shared" ca="1" si="23"/>
        <v>0</v>
      </c>
      <c r="P69" s="7">
        <f t="shared" ca="1" si="24"/>
        <v>0</v>
      </c>
      <c r="U69" t="e">
        <f t="shared" ca="1" si="25"/>
        <v>#N/A</v>
      </c>
      <c r="V69" t="e">
        <f t="shared" ca="1" si="26"/>
        <v>#N/A</v>
      </c>
      <c r="X69" t="e">
        <f t="shared" ca="1" si="27"/>
        <v>#N/A</v>
      </c>
      <c r="Y69" t="e">
        <f t="shared" ca="1" si="28"/>
        <v>#N/A</v>
      </c>
      <c r="AJ69">
        <v>1.169370598836202</v>
      </c>
      <c r="AK69">
        <v>78.569983441941034</v>
      </c>
      <c r="AL69">
        <v>184.12899743120124</v>
      </c>
      <c r="AM69">
        <v>87.299981602156706</v>
      </c>
      <c r="AN69">
        <v>204.58777492355694</v>
      </c>
      <c r="AQ69">
        <v>67</v>
      </c>
      <c r="AR69">
        <f t="shared" si="31"/>
        <v>4.688773541871285</v>
      </c>
      <c r="AS69">
        <f t="shared" si="32"/>
        <v>11.046058241429284</v>
      </c>
      <c r="AV69">
        <v>1195.8706683823375</v>
      </c>
      <c r="AW69">
        <v>90.675078652191928</v>
      </c>
      <c r="AX69">
        <v>90.675078652191928</v>
      </c>
      <c r="AY69">
        <f t="shared" si="29"/>
        <v>128.23392599917693</v>
      </c>
      <c r="AZ69">
        <v>1839.8010282805192</v>
      </c>
      <c r="BA69">
        <v>139.50012100337219</v>
      </c>
      <c r="BB69">
        <v>139.50012100337219</v>
      </c>
      <c r="BC69">
        <f t="shared" si="30"/>
        <v>197.2829630756568</v>
      </c>
      <c r="BF69">
        <v>868.31652359067357</v>
      </c>
      <c r="BG69">
        <v>263.65751587247451</v>
      </c>
      <c r="BH69">
        <v>-3.1752378504279479E-15</v>
      </c>
      <c r="BI69">
        <f t="shared" si="33"/>
        <v>263.65751587247451</v>
      </c>
      <c r="BJ69">
        <v>1335.8715747548824</v>
      </c>
      <c r="BK69">
        <v>405.62694749611461</v>
      </c>
      <c r="BL69">
        <v>-4.8849813083506888E-15</v>
      </c>
      <c r="BM69">
        <f t="shared" si="34"/>
        <v>405.62694749611461</v>
      </c>
    </row>
    <row r="70" spans="1:65" x14ac:dyDescent="0.25">
      <c r="A70">
        <v>34</v>
      </c>
      <c r="B70" s="5">
        <v>0</v>
      </c>
      <c r="C70" s="1">
        <f t="shared" ca="1" si="35"/>
        <v>0</v>
      </c>
      <c r="D70" s="46">
        <f t="shared" si="14"/>
        <v>0</v>
      </c>
      <c r="E70" s="46">
        <f t="shared" si="15"/>
        <v>0</v>
      </c>
      <c r="G70" t="e">
        <f t="shared" ca="1" si="16"/>
        <v>#N/A</v>
      </c>
      <c r="H70" t="e">
        <f t="shared" ca="1" si="17"/>
        <v>#N/A</v>
      </c>
      <c r="I70" s="7">
        <f t="shared" si="18"/>
        <v>0</v>
      </c>
      <c r="J70" s="7">
        <f t="shared" si="19"/>
        <v>0</v>
      </c>
      <c r="K70">
        <f t="shared" si="20"/>
        <v>0</v>
      </c>
      <c r="L70" s="15">
        <f t="shared" ca="1" si="21"/>
        <v>0</v>
      </c>
      <c r="M70" s="9">
        <f t="shared" ca="1" si="36"/>
        <v>0</v>
      </c>
      <c r="N70" s="7">
        <f t="shared" ca="1" si="22"/>
        <v>0</v>
      </c>
      <c r="O70" s="7">
        <f t="shared" ca="1" si="23"/>
        <v>0</v>
      </c>
      <c r="P70" s="7">
        <f t="shared" ca="1" si="24"/>
        <v>0</v>
      </c>
      <c r="U70" t="e">
        <f t="shared" ca="1" si="25"/>
        <v>#N/A</v>
      </c>
      <c r="V70" t="e">
        <f t="shared" ca="1" si="26"/>
        <v>#N/A</v>
      </c>
      <c r="X70" t="e">
        <f t="shared" ca="1" si="27"/>
        <v>#N/A</v>
      </c>
      <c r="Y70" t="e">
        <f t="shared" ca="1" si="28"/>
        <v>#N/A</v>
      </c>
      <c r="AJ70">
        <v>1.1868238913561453</v>
      </c>
      <c r="AK70">
        <v>74.641494607170728</v>
      </c>
      <c r="AL70">
        <v>185.75623078619438</v>
      </c>
      <c r="AM70">
        <v>82.934994007967475</v>
      </c>
      <c r="AN70">
        <v>206.39581198466041</v>
      </c>
      <c r="AQ70">
        <v>68</v>
      </c>
      <c r="AR70">
        <f t="shared" si="31"/>
        <v>4.4952791209909435</v>
      </c>
      <c r="AS70">
        <f t="shared" si="32"/>
        <v>11.126206254801449</v>
      </c>
      <c r="AV70">
        <v>1224.3437795342979</v>
      </c>
      <c r="AW70">
        <v>80.404807056930608</v>
      </c>
      <c r="AX70">
        <v>80.404807056930593</v>
      </c>
      <c r="AY70">
        <f t="shared" si="29"/>
        <v>113.70956861990319</v>
      </c>
      <c r="AZ70">
        <v>1883.6058146681505</v>
      </c>
      <c r="BA70">
        <v>123.69970316450862</v>
      </c>
      <c r="BB70">
        <v>123.69970316450861</v>
      </c>
      <c r="BC70">
        <f t="shared" si="30"/>
        <v>174.93779787677414</v>
      </c>
      <c r="BF70">
        <v>885.1449791666538</v>
      </c>
      <c r="BG70">
        <v>259.13530465070329</v>
      </c>
      <c r="BH70">
        <v>-2.3092638912203257E-15</v>
      </c>
      <c r="BI70">
        <f t="shared" si="33"/>
        <v>259.13530465070329</v>
      </c>
      <c r="BJ70">
        <v>1361.7615064102365</v>
      </c>
      <c r="BK70">
        <v>398.66969946262043</v>
      </c>
      <c r="BL70">
        <v>-3.5527136788005009E-15</v>
      </c>
      <c r="BM70">
        <f t="shared" si="34"/>
        <v>398.66969946262043</v>
      </c>
    </row>
    <row r="71" spans="1:65" x14ac:dyDescent="0.25">
      <c r="A71">
        <v>35</v>
      </c>
      <c r="B71" s="5">
        <v>0</v>
      </c>
      <c r="C71" s="1">
        <f t="shared" ca="1" si="35"/>
        <v>0</v>
      </c>
      <c r="D71" s="46">
        <f t="shared" si="14"/>
        <v>0</v>
      </c>
      <c r="E71" s="46">
        <f t="shared" si="15"/>
        <v>0</v>
      </c>
      <c r="G71" t="e">
        <f t="shared" ca="1" si="16"/>
        <v>#N/A</v>
      </c>
      <c r="H71" t="e">
        <f t="shared" ca="1" si="17"/>
        <v>#N/A</v>
      </c>
      <c r="I71" s="7">
        <f t="shared" si="18"/>
        <v>0</v>
      </c>
      <c r="J71" s="7">
        <f t="shared" si="19"/>
        <v>0</v>
      </c>
      <c r="K71">
        <f t="shared" si="20"/>
        <v>0</v>
      </c>
      <c r="L71" s="15">
        <f t="shared" ca="1" si="21"/>
        <v>0</v>
      </c>
      <c r="M71" s="9">
        <f t="shared" ca="1" si="36"/>
        <v>0</v>
      </c>
      <c r="N71" s="7">
        <f t="shared" ca="1" si="22"/>
        <v>0</v>
      </c>
      <c r="O71" s="7">
        <f t="shared" ca="1" si="23"/>
        <v>0</v>
      </c>
      <c r="P71" s="7">
        <f t="shared" ca="1" si="24"/>
        <v>0</v>
      </c>
      <c r="U71" t="e">
        <f t="shared" ca="1" si="25"/>
        <v>#N/A</v>
      </c>
      <c r="V71" t="e">
        <f t="shared" ca="1" si="26"/>
        <v>#N/A</v>
      </c>
      <c r="X71" t="e">
        <f t="shared" ca="1" si="27"/>
        <v>#N/A</v>
      </c>
      <c r="Y71" t="e">
        <f t="shared" ca="1" si="28"/>
        <v>#N/A</v>
      </c>
      <c r="AJ71">
        <v>1.2042771838760886</v>
      </c>
      <c r="AK71">
        <v>70.677650042715769</v>
      </c>
      <c r="AL71">
        <v>187.29392209923182</v>
      </c>
      <c r="AM71">
        <v>78.53072226968419</v>
      </c>
      <c r="AN71">
        <v>208.10435788803534</v>
      </c>
      <c r="AQ71">
        <v>69</v>
      </c>
      <c r="AR71">
        <f t="shared" si="31"/>
        <v>4.3004153945436041</v>
      </c>
      <c r="AS71">
        <f t="shared" si="32"/>
        <v>11.202965117966421</v>
      </c>
      <c r="AV71">
        <v>1252.8168906862584</v>
      </c>
      <c r="AW71">
        <v>69.880452248857182</v>
      </c>
      <c r="AX71">
        <v>69.880452248857168</v>
      </c>
      <c r="AY71">
        <f t="shared" si="29"/>
        <v>98.825883315099261</v>
      </c>
      <c r="AZ71">
        <v>1927.4106010557821</v>
      </c>
      <c r="BA71">
        <v>107.50838807516489</v>
      </c>
      <c r="BB71">
        <v>107.50838807516487</v>
      </c>
      <c r="BC71">
        <f t="shared" si="30"/>
        <v>152.03982048476811</v>
      </c>
      <c r="BF71">
        <v>901.97343474263403</v>
      </c>
      <c r="BG71">
        <v>254.34824422386936</v>
      </c>
      <c r="BH71">
        <v>-3.6563344944321818E-15</v>
      </c>
      <c r="BI71">
        <f t="shared" si="33"/>
        <v>254.34824422386936</v>
      </c>
      <c r="BJ71">
        <v>1387.6514380655908</v>
      </c>
      <c r="BK71">
        <v>391.30499111364514</v>
      </c>
      <c r="BL71">
        <v>-5.6251299914341254E-15</v>
      </c>
      <c r="BM71">
        <f t="shared" si="34"/>
        <v>391.30499111364514</v>
      </c>
    </row>
    <row r="72" spans="1:65" x14ac:dyDescent="0.25">
      <c r="A72">
        <v>36</v>
      </c>
      <c r="B72" s="5">
        <v>0</v>
      </c>
      <c r="C72" s="1">
        <f t="shared" ca="1" si="35"/>
        <v>0</v>
      </c>
      <c r="D72" s="46">
        <f t="shared" si="14"/>
        <v>0</v>
      </c>
      <c r="E72" s="46">
        <f t="shared" si="15"/>
        <v>0</v>
      </c>
      <c r="G72" t="e">
        <f t="shared" ca="1" si="16"/>
        <v>#N/A</v>
      </c>
      <c r="H72" t="e">
        <f t="shared" ca="1" si="17"/>
        <v>#N/A</v>
      </c>
      <c r="I72" s="7">
        <f t="shared" si="18"/>
        <v>0</v>
      </c>
      <c r="J72" s="7">
        <f t="shared" si="19"/>
        <v>0</v>
      </c>
      <c r="K72">
        <f t="shared" si="20"/>
        <v>0</v>
      </c>
      <c r="L72" s="15">
        <f t="shared" ca="1" si="21"/>
        <v>0</v>
      </c>
      <c r="M72" s="9">
        <f t="shared" ca="1" si="36"/>
        <v>0</v>
      </c>
      <c r="N72" s="7">
        <f t="shared" ca="1" si="22"/>
        <v>0</v>
      </c>
      <c r="O72" s="7">
        <f t="shared" ca="1" si="23"/>
        <v>0</v>
      </c>
      <c r="P72" s="7">
        <f t="shared" ca="1" si="24"/>
        <v>0</v>
      </c>
      <c r="U72" t="e">
        <f t="shared" ca="1" si="25"/>
        <v>#N/A</v>
      </c>
      <c r="V72" t="e">
        <f t="shared" ca="1" si="26"/>
        <v>#N/A</v>
      </c>
      <c r="X72" t="e">
        <f t="shared" ca="1" si="27"/>
        <v>#N/A</v>
      </c>
      <c r="Y72" t="e">
        <f t="shared" ca="1" si="28"/>
        <v>#N/A</v>
      </c>
      <c r="AJ72">
        <v>1.2217304763960319</v>
      </c>
      <c r="AK72">
        <v>66.793557559107697</v>
      </c>
      <c r="AL72">
        <v>188.62131987357509</v>
      </c>
      <c r="AM72">
        <v>74.215063954564101</v>
      </c>
      <c r="AN72">
        <v>209.5792443039723</v>
      </c>
      <c r="AQ72">
        <v>70</v>
      </c>
      <c r="AR72">
        <f t="shared" si="31"/>
        <v>4.1042417199080257</v>
      </c>
      <c r="AS72">
        <f t="shared" si="32"/>
        <v>11.276311449430899</v>
      </c>
      <c r="AV72">
        <v>1281.2900018382188</v>
      </c>
      <c r="AW72">
        <v>59.225400840624246</v>
      </c>
      <c r="AX72">
        <v>59.225400840624246</v>
      </c>
      <c r="AY72">
        <f t="shared" si="29"/>
        <v>83.75736510579371</v>
      </c>
      <c r="AZ72">
        <v>1971.2153874434134</v>
      </c>
      <c r="BA72">
        <v>91.11600129326807</v>
      </c>
      <c r="BB72">
        <v>91.11600129326807</v>
      </c>
      <c r="BC72">
        <f t="shared" si="30"/>
        <v>128.85748477814417</v>
      </c>
      <c r="BF72">
        <v>918.80189031861426</v>
      </c>
      <c r="BG72">
        <v>249.29336918988358</v>
      </c>
      <c r="BH72">
        <v>-4.0412118096355696E-15</v>
      </c>
      <c r="BI72">
        <f t="shared" si="33"/>
        <v>249.29336918988358</v>
      </c>
      <c r="BJ72">
        <v>1413.5413697209449</v>
      </c>
      <c r="BK72">
        <v>383.52826029212855</v>
      </c>
      <c r="BL72">
        <v>-6.2172489379008758E-15</v>
      </c>
      <c r="BM72">
        <f t="shared" si="34"/>
        <v>383.52826029212855</v>
      </c>
    </row>
    <row r="73" spans="1:65" x14ac:dyDescent="0.25">
      <c r="A73">
        <v>37</v>
      </c>
      <c r="B73" s="5">
        <v>0</v>
      </c>
      <c r="C73" s="1">
        <f t="shared" ca="1" si="35"/>
        <v>0</v>
      </c>
      <c r="D73" s="46">
        <f t="shared" si="14"/>
        <v>0</v>
      </c>
      <c r="E73" s="46">
        <f t="shared" si="15"/>
        <v>0</v>
      </c>
      <c r="G73" t="e">
        <f t="shared" ca="1" si="16"/>
        <v>#N/A</v>
      </c>
      <c r="H73" t="e">
        <f t="shared" ca="1" si="17"/>
        <v>#N/A</v>
      </c>
      <c r="I73" s="7">
        <f t="shared" si="18"/>
        <v>0</v>
      </c>
      <c r="J73" s="7">
        <f t="shared" si="19"/>
        <v>0</v>
      </c>
      <c r="K73">
        <f t="shared" si="20"/>
        <v>0</v>
      </c>
      <c r="L73" s="15">
        <f t="shared" ca="1" si="21"/>
        <v>0</v>
      </c>
      <c r="M73" s="9">
        <f t="shared" ca="1" si="36"/>
        <v>0</v>
      </c>
      <c r="N73" s="7">
        <f t="shared" ca="1" si="22"/>
        <v>0</v>
      </c>
      <c r="O73" s="7">
        <f t="shared" ca="1" si="23"/>
        <v>0</v>
      </c>
      <c r="P73" s="7">
        <f t="shared" ca="1" si="24"/>
        <v>0</v>
      </c>
      <c r="U73" t="e">
        <f t="shared" ca="1" si="25"/>
        <v>#N/A</v>
      </c>
      <c r="V73" t="e">
        <f t="shared" ca="1" si="26"/>
        <v>#N/A</v>
      </c>
      <c r="X73" t="e">
        <f t="shared" ca="1" si="27"/>
        <v>#N/A</v>
      </c>
      <c r="Y73" t="e">
        <f t="shared" ca="1" si="28"/>
        <v>#N/A</v>
      </c>
      <c r="AJ73">
        <v>1.2391837689159753</v>
      </c>
      <c r="AK73">
        <v>63.405168111198513</v>
      </c>
      <c r="AL73">
        <v>189.34283996939095</v>
      </c>
      <c r="AM73">
        <v>70.45018679022057</v>
      </c>
      <c r="AN73">
        <v>210.38093329932326</v>
      </c>
      <c r="AQ73">
        <v>71</v>
      </c>
      <c r="AR73">
        <f t="shared" si="31"/>
        <v>3.9068178534858813</v>
      </c>
      <c r="AS73">
        <f t="shared" si="32"/>
        <v>11.346222907191802</v>
      </c>
      <c r="AV73">
        <v>1309.7631129901793</v>
      </c>
      <c r="AW73">
        <v>48.416726447477046</v>
      </c>
      <c r="AX73">
        <v>48.416726447477032</v>
      </c>
      <c r="AY73">
        <f t="shared" si="29"/>
        <v>68.471591187730155</v>
      </c>
      <c r="AZ73">
        <v>2015.020173831045</v>
      </c>
      <c r="BA73">
        <v>74.487271457656988</v>
      </c>
      <c r="BB73">
        <v>74.487271457656973</v>
      </c>
      <c r="BC73">
        <f t="shared" si="30"/>
        <v>105.34090951958484</v>
      </c>
      <c r="BF73">
        <v>935.63034589459448</v>
      </c>
      <c r="BG73">
        <v>243.96787173164262</v>
      </c>
      <c r="BH73">
        <v>-2.5017025488220192E-15</v>
      </c>
      <c r="BI73">
        <f t="shared" si="33"/>
        <v>243.96787173164262</v>
      </c>
      <c r="BJ73">
        <v>1439.4313013762992</v>
      </c>
      <c r="BK73">
        <v>375.33518727945017</v>
      </c>
      <c r="BL73">
        <v>-3.8487731520338757E-15</v>
      </c>
      <c r="BM73">
        <f t="shared" si="34"/>
        <v>375.33518727945017</v>
      </c>
    </row>
    <row r="74" spans="1:65" x14ac:dyDescent="0.25">
      <c r="A74">
        <v>38</v>
      </c>
      <c r="B74" s="5">
        <v>0</v>
      </c>
      <c r="C74" s="1">
        <f t="shared" ca="1" si="35"/>
        <v>0</v>
      </c>
      <c r="D74" s="46">
        <f t="shared" si="14"/>
        <v>0</v>
      </c>
      <c r="E74" s="46">
        <f t="shared" si="15"/>
        <v>0</v>
      </c>
      <c r="G74" t="e">
        <f t="shared" ca="1" si="16"/>
        <v>#N/A</v>
      </c>
      <c r="H74" t="e">
        <f t="shared" ca="1" si="17"/>
        <v>#N/A</v>
      </c>
      <c r="I74" s="7">
        <f t="shared" si="18"/>
        <v>0</v>
      </c>
      <c r="J74" s="7">
        <f t="shared" si="19"/>
        <v>0</v>
      </c>
      <c r="K74">
        <f t="shared" si="20"/>
        <v>0</v>
      </c>
      <c r="L74" s="15">
        <f t="shared" ca="1" si="21"/>
        <v>0</v>
      </c>
      <c r="M74" s="9">
        <f t="shared" ca="1" si="36"/>
        <v>0</v>
      </c>
      <c r="N74" s="7">
        <f t="shared" ca="1" si="22"/>
        <v>0</v>
      </c>
      <c r="O74" s="7">
        <f t="shared" ca="1" si="23"/>
        <v>0</v>
      </c>
      <c r="P74" s="7">
        <f t="shared" ca="1" si="24"/>
        <v>0</v>
      </c>
      <c r="U74" t="e">
        <f t="shared" ca="1" si="25"/>
        <v>#N/A</v>
      </c>
      <c r="V74" t="e">
        <f t="shared" ca="1" si="26"/>
        <v>#N/A</v>
      </c>
      <c r="X74" t="e">
        <f t="shared" ca="1" si="27"/>
        <v>#N/A</v>
      </c>
      <c r="Y74" t="e">
        <f t="shared" ca="1" si="28"/>
        <v>#N/A</v>
      </c>
      <c r="AJ74">
        <v>1.2566370614359186</v>
      </c>
      <c r="AK74">
        <v>60.018280195389337</v>
      </c>
      <c r="AL74">
        <v>190.01947692324535</v>
      </c>
      <c r="AM74">
        <v>66.68697799487704</v>
      </c>
      <c r="AN74">
        <v>211.13275213693927</v>
      </c>
      <c r="AQ74">
        <v>72</v>
      </c>
      <c r="AR74">
        <f t="shared" si="31"/>
        <v>3.7082039324993694</v>
      </c>
      <c r="AS74">
        <f t="shared" si="32"/>
        <v>11.412678195541842</v>
      </c>
      <c r="AV74">
        <v>1338.2362241421397</v>
      </c>
      <c r="AW74">
        <v>37.425273496723101</v>
      </c>
      <c r="AX74">
        <v>37.425273496723094</v>
      </c>
      <c r="AY74">
        <f t="shared" si="29"/>
        <v>52.927329354588153</v>
      </c>
      <c r="AZ74">
        <v>2058.8249602186766</v>
      </c>
      <c r="BA74">
        <v>57.577343841112459</v>
      </c>
      <c r="BB74">
        <v>57.577343841112452</v>
      </c>
      <c r="BC74">
        <f t="shared" si="30"/>
        <v>81.426660545520235</v>
      </c>
      <c r="BF74">
        <v>952.45880147057471</v>
      </c>
      <c r="BG74">
        <v>238.36912480691177</v>
      </c>
      <c r="BH74">
        <v>-1.1546319456101628E-15</v>
      </c>
      <c r="BI74">
        <f t="shared" si="33"/>
        <v>238.36912480691177</v>
      </c>
      <c r="BJ74">
        <v>1465.3212330316533</v>
      </c>
      <c r="BK74">
        <v>366.72173047217194</v>
      </c>
      <c r="BL74">
        <v>-1.7763568394002505E-15</v>
      </c>
      <c r="BM74">
        <f t="shared" si="34"/>
        <v>366.72173047217194</v>
      </c>
    </row>
    <row r="75" spans="1:65" x14ac:dyDescent="0.25">
      <c r="A75">
        <v>39</v>
      </c>
      <c r="B75" s="5">
        <v>0</v>
      </c>
      <c r="C75" s="1">
        <f t="shared" ca="1" si="35"/>
        <v>0</v>
      </c>
      <c r="D75" s="46">
        <f t="shared" si="14"/>
        <v>0</v>
      </c>
      <c r="E75" s="46">
        <f t="shared" si="15"/>
        <v>0</v>
      </c>
      <c r="G75" t="e">
        <f t="shared" ca="1" si="16"/>
        <v>#N/A</v>
      </c>
      <c r="H75" t="e">
        <f t="shared" ca="1" si="17"/>
        <v>#N/A</v>
      </c>
      <c r="I75" s="7">
        <f t="shared" si="18"/>
        <v>0</v>
      </c>
      <c r="J75" s="7">
        <f t="shared" si="19"/>
        <v>0</v>
      </c>
      <c r="K75">
        <f t="shared" si="20"/>
        <v>0</v>
      </c>
      <c r="L75" s="15">
        <f t="shared" ca="1" si="21"/>
        <v>0</v>
      </c>
      <c r="M75" s="9">
        <f t="shared" ca="1" si="36"/>
        <v>0</v>
      </c>
      <c r="N75" s="7">
        <f t="shared" ca="1" si="22"/>
        <v>0</v>
      </c>
      <c r="O75" s="7">
        <f t="shared" ca="1" si="23"/>
        <v>0</v>
      </c>
      <c r="P75" s="7">
        <f t="shared" ca="1" si="24"/>
        <v>0</v>
      </c>
      <c r="U75" t="e">
        <f t="shared" ca="1" si="25"/>
        <v>#N/A</v>
      </c>
      <c r="V75" t="e">
        <f t="shared" ca="1" si="26"/>
        <v>#N/A</v>
      </c>
      <c r="X75" t="e">
        <f t="shared" ca="1" si="27"/>
        <v>#N/A</v>
      </c>
      <c r="Y75" t="e">
        <f t="shared" ca="1" si="28"/>
        <v>#N/A</v>
      </c>
      <c r="AJ75">
        <v>1.2740903539558619</v>
      </c>
      <c r="AK75">
        <v>56.171945082255796</v>
      </c>
      <c r="AL75">
        <v>190.85677139796871</v>
      </c>
      <c r="AM75">
        <v>62.413272313617547</v>
      </c>
      <c r="AN75">
        <v>212.06307933107635</v>
      </c>
      <c r="AQ75">
        <v>73</v>
      </c>
      <c r="AR75">
        <f t="shared" si="31"/>
        <v>3.5084604566728412</v>
      </c>
      <c r="AS75">
        <f t="shared" si="32"/>
        <v>11.475657071556425</v>
      </c>
      <c r="AV75">
        <v>1366.7093352941001</v>
      </c>
      <c r="AW75">
        <v>26.216606837427541</v>
      </c>
      <c r="AX75">
        <v>26.216606837427541</v>
      </c>
      <c r="AY75">
        <f t="shared" si="29"/>
        <v>37.075880948893243</v>
      </c>
      <c r="AZ75">
        <v>2102.6297466063079</v>
      </c>
      <c r="BA75">
        <v>40.33324128835006</v>
      </c>
      <c r="BB75">
        <v>40.33324128835006</v>
      </c>
      <c r="BC75">
        <f t="shared" si="30"/>
        <v>57.039816844451138</v>
      </c>
      <c r="BF75">
        <v>969.28725704655494</v>
      </c>
      <c r="BG75">
        <v>232.49471235796693</v>
      </c>
      <c r="BH75">
        <v>-2.6941412064237135E-15</v>
      </c>
      <c r="BI75">
        <f t="shared" si="33"/>
        <v>232.49471235796693</v>
      </c>
      <c r="BJ75">
        <v>1491.2111646870076</v>
      </c>
      <c r="BK75">
        <v>357.68417285841065</v>
      </c>
      <c r="BL75">
        <v>-4.1448326252672513E-15</v>
      </c>
      <c r="BM75">
        <f t="shared" si="34"/>
        <v>357.68417285841065</v>
      </c>
    </row>
    <row r="76" spans="1:65" x14ac:dyDescent="0.25">
      <c r="A76">
        <v>40</v>
      </c>
      <c r="B76" s="5">
        <v>0</v>
      </c>
      <c r="C76" s="1">
        <f t="shared" ca="1" si="35"/>
        <v>0</v>
      </c>
      <c r="D76" s="46">
        <f t="shared" si="14"/>
        <v>0</v>
      </c>
      <c r="E76" s="46">
        <f t="shared" si="15"/>
        <v>0</v>
      </c>
      <c r="G76" t="e">
        <f t="shared" ca="1" si="16"/>
        <v>#N/A</v>
      </c>
      <c r="H76" t="e">
        <f t="shared" ca="1" si="17"/>
        <v>#N/A</v>
      </c>
      <c r="I76" s="7">
        <f t="shared" si="18"/>
        <v>0</v>
      </c>
      <c r="J76" s="7">
        <f t="shared" si="19"/>
        <v>0</v>
      </c>
      <c r="K76">
        <f t="shared" si="20"/>
        <v>0</v>
      </c>
      <c r="L76" s="15">
        <f t="shared" ca="1" si="21"/>
        <v>0</v>
      </c>
      <c r="M76" s="9">
        <f t="shared" ca="1" si="36"/>
        <v>0</v>
      </c>
      <c r="N76" s="7">
        <f t="shared" ca="1" si="22"/>
        <v>0</v>
      </c>
      <c r="O76" s="7">
        <f t="shared" ca="1" si="23"/>
        <v>0</v>
      </c>
      <c r="P76" s="7">
        <f t="shared" ca="1" si="24"/>
        <v>0</v>
      </c>
      <c r="U76" t="e">
        <f t="shared" ca="1" si="25"/>
        <v>#N/A</v>
      </c>
      <c r="V76" t="e">
        <f t="shared" ca="1" si="26"/>
        <v>#N/A</v>
      </c>
      <c r="X76" t="e">
        <f t="shared" ca="1" si="27"/>
        <v>#N/A</v>
      </c>
      <c r="Y76" t="e">
        <f t="shared" ca="1" si="28"/>
        <v>#N/A</v>
      </c>
      <c r="AJ76">
        <v>1.2915436464758052</v>
      </c>
      <c r="AK76">
        <v>52.817211119975426</v>
      </c>
      <c r="AL76">
        <v>191.4138949722628</v>
      </c>
      <c r="AM76">
        <v>58.685790133306028</v>
      </c>
      <c r="AN76">
        <v>212.68210552473644</v>
      </c>
      <c r="AQ76">
        <v>74</v>
      </c>
      <c r="AR76">
        <f t="shared" si="31"/>
        <v>3.3076482698039902</v>
      </c>
      <c r="AS76">
        <f t="shared" si="32"/>
        <v>11.535140351259827</v>
      </c>
      <c r="AV76">
        <v>1395.1824464460606</v>
      </c>
      <c r="AW76">
        <v>13.715084674287839</v>
      </c>
      <c r="AX76">
        <v>13.715084674287763</v>
      </c>
      <c r="AY76">
        <f t="shared" si="29"/>
        <v>19.396058755473192</v>
      </c>
      <c r="AZ76">
        <v>2146.4345329939392</v>
      </c>
      <c r="BA76">
        <v>21.100130268135135</v>
      </c>
      <c r="BB76">
        <v>21.100130268135018</v>
      </c>
      <c r="BC76">
        <f t="shared" si="30"/>
        <v>29.840090393035677</v>
      </c>
      <c r="BF76">
        <v>986.11571262253517</v>
      </c>
      <c r="BG76">
        <v>226.34246736241749</v>
      </c>
      <c r="BH76">
        <v>-8.8521782496779149E-15</v>
      </c>
      <c r="BI76">
        <f t="shared" si="33"/>
        <v>226.34246736241749</v>
      </c>
      <c r="BJ76">
        <v>1517.1010963423616</v>
      </c>
      <c r="BK76">
        <v>348.21918055756538</v>
      </c>
      <c r="BL76">
        <v>-1.3618735768735253E-14</v>
      </c>
      <c r="BM76">
        <f t="shared" si="34"/>
        <v>348.21918055756538</v>
      </c>
    </row>
    <row r="77" spans="1:65" x14ac:dyDescent="0.25">
      <c r="A77">
        <v>41</v>
      </c>
      <c r="B77" s="5">
        <v>0</v>
      </c>
      <c r="C77" s="1">
        <f t="shared" ca="1" si="35"/>
        <v>0</v>
      </c>
      <c r="D77" s="46">
        <f t="shared" si="14"/>
        <v>0</v>
      </c>
      <c r="E77" s="46">
        <f t="shared" si="15"/>
        <v>0</v>
      </c>
      <c r="G77" t="e">
        <f t="shared" ca="1" si="16"/>
        <v>#N/A</v>
      </c>
      <c r="H77" t="e">
        <f t="shared" ca="1" si="17"/>
        <v>#N/A</v>
      </c>
      <c r="I77" s="7">
        <f t="shared" si="18"/>
        <v>0</v>
      </c>
      <c r="J77" s="7">
        <f t="shared" si="19"/>
        <v>0</v>
      </c>
      <c r="K77">
        <f t="shared" si="20"/>
        <v>0</v>
      </c>
      <c r="L77" s="15">
        <f t="shared" ca="1" si="21"/>
        <v>0</v>
      </c>
      <c r="M77" s="9">
        <f t="shared" ca="1" si="36"/>
        <v>0</v>
      </c>
      <c r="N77" s="7">
        <f t="shared" ca="1" si="22"/>
        <v>0</v>
      </c>
      <c r="O77" s="7">
        <f t="shared" ca="1" si="23"/>
        <v>0</v>
      </c>
      <c r="P77" s="7">
        <f t="shared" ca="1" si="24"/>
        <v>0</v>
      </c>
      <c r="U77" t="e">
        <f t="shared" ca="1" si="25"/>
        <v>#N/A</v>
      </c>
      <c r="V77" t="e">
        <f t="shared" ca="1" si="26"/>
        <v>#N/A</v>
      </c>
      <c r="X77" t="e">
        <f t="shared" ca="1" si="27"/>
        <v>#N/A</v>
      </c>
      <c r="Y77" t="e">
        <f t="shared" ca="1" si="28"/>
        <v>#N/A</v>
      </c>
      <c r="AJ77">
        <v>1.3089969389957485</v>
      </c>
      <c r="AK77">
        <v>49.469728429860794</v>
      </c>
      <c r="AL77">
        <v>191.9301064716567</v>
      </c>
      <c r="AM77">
        <v>54.966364922067548</v>
      </c>
      <c r="AN77">
        <v>213.25567385739632</v>
      </c>
      <c r="AQ77">
        <v>75</v>
      </c>
      <c r="AR77">
        <f t="shared" si="31"/>
        <v>3.1058285412302489</v>
      </c>
      <c r="AS77">
        <f t="shared" si="32"/>
        <v>11.59110991546882</v>
      </c>
      <c r="AV77">
        <v>1423.655557598021</v>
      </c>
      <c r="AW77">
        <v>6.7392632932732144E-3</v>
      </c>
      <c r="AX77">
        <v>6.7392632932688585E-3</v>
      </c>
      <c r="AY77">
        <f t="shared" si="29"/>
        <v>9.5307575497470681E-3</v>
      </c>
      <c r="AZ77">
        <v>2190.2393193815706</v>
      </c>
      <c r="BA77">
        <v>1.0368097374266484E-2</v>
      </c>
      <c r="BB77">
        <v>1.0368097374259783E-2</v>
      </c>
      <c r="BC77">
        <f t="shared" si="30"/>
        <v>1.4662703922687799E-2</v>
      </c>
      <c r="BF77">
        <v>1002.9441681985154</v>
      </c>
      <c r="BG77">
        <v>219.91051672972412</v>
      </c>
      <c r="BH77">
        <v>-6.1580370432542018E-15</v>
      </c>
      <c r="BI77">
        <f t="shared" si="33"/>
        <v>219.91051672972412</v>
      </c>
      <c r="BJ77">
        <v>1542.9910279977159</v>
      </c>
      <c r="BK77">
        <v>338.32387189188324</v>
      </c>
      <c r="BL77">
        <v>-9.473903143468002E-15</v>
      </c>
      <c r="BM77">
        <f t="shared" si="34"/>
        <v>338.32387189188324</v>
      </c>
    </row>
    <row r="78" spans="1:65" x14ac:dyDescent="0.25">
      <c r="A78">
        <v>42</v>
      </c>
      <c r="B78" s="5">
        <v>0</v>
      </c>
      <c r="C78" s="1">
        <f t="shared" ca="1" si="35"/>
        <v>0</v>
      </c>
      <c r="D78" s="46">
        <f t="shared" si="14"/>
        <v>0</v>
      </c>
      <c r="E78" s="46">
        <f t="shared" si="15"/>
        <v>0</v>
      </c>
      <c r="G78" t="e">
        <f t="shared" ca="1" si="16"/>
        <v>#N/A</v>
      </c>
      <c r="H78" t="e">
        <f t="shared" ca="1" si="17"/>
        <v>#N/A</v>
      </c>
      <c r="I78" s="7">
        <f t="shared" si="18"/>
        <v>0</v>
      </c>
      <c r="J78" s="7">
        <f t="shared" si="19"/>
        <v>0</v>
      </c>
      <c r="K78">
        <f t="shared" si="20"/>
        <v>0</v>
      </c>
      <c r="L78" s="15">
        <f t="shared" ca="1" si="21"/>
        <v>0</v>
      </c>
      <c r="M78" s="9">
        <f t="shared" ca="1" si="36"/>
        <v>0</v>
      </c>
      <c r="N78" s="7">
        <f t="shared" ca="1" si="22"/>
        <v>0</v>
      </c>
      <c r="O78" s="7">
        <f t="shared" ca="1" si="23"/>
        <v>0</v>
      </c>
      <c r="P78" s="7">
        <f t="shared" ca="1" si="24"/>
        <v>0</v>
      </c>
      <c r="U78" t="e">
        <f t="shared" ca="1" si="25"/>
        <v>#N/A</v>
      </c>
      <c r="V78" t="e">
        <f t="shared" ca="1" si="26"/>
        <v>#N/A</v>
      </c>
      <c r="X78" t="e">
        <f t="shared" ca="1" si="27"/>
        <v>#N/A</v>
      </c>
      <c r="Y78" t="e">
        <f t="shared" ca="1" si="28"/>
        <v>#N/A</v>
      </c>
      <c r="AJ78">
        <v>1.3264502315156919</v>
      </c>
      <c r="AK78">
        <v>46.129611060939901</v>
      </c>
      <c r="AL78">
        <v>192.40658235522977</v>
      </c>
      <c r="AM78">
        <v>51.25512340104433</v>
      </c>
      <c r="AN78">
        <v>213.78509150581084</v>
      </c>
      <c r="AQ78">
        <v>76</v>
      </c>
      <c r="AR78">
        <f t="shared" si="31"/>
        <v>2.903062747196012</v>
      </c>
      <c r="AS78">
        <f t="shared" si="32"/>
        <v>11.643548715311958</v>
      </c>
      <c r="BF78">
        <v>1019.7726237744956</v>
      </c>
      <c r="BG78">
        <v>213.19732591329043</v>
      </c>
      <c r="BH78">
        <v>-4.2336504672372636E-15</v>
      </c>
      <c r="BI78">
        <f t="shared" si="33"/>
        <v>213.19732591329043</v>
      </c>
      <c r="BJ78">
        <v>1568.8809596530702</v>
      </c>
      <c r="BK78">
        <v>327.99588602044679</v>
      </c>
      <c r="BL78">
        <v>-6.5133084111342514E-15</v>
      </c>
      <c r="BM78">
        <f t="shared" si="34"/>
        <v>327.99588602044679</v>
      </c>
    </row>
    <row r="79" spans="1:65" x14ac:dyDescent="0.25">
      <c r="A79">
        <v>43</v>
      </c>
      <c r="B79" s="5">
        <v>0</v>
      </c>
      <c r="C79" s="1">
        <f t="shared" ca="1" si="35"/>
        <v>0</v>
      </c>
      <c r="D79" s="46">
        <f t="shared" si="14"/>
        <v>0</v>
      </c>
      <c r="E79" s="46">
        <f t="shared" si="15"/>
        <v>0</v>
      </c>
      <c r="G79" t="e">
        <f t="shared" ca="1" si="16"/>
        <v>#N/A</v>
      </c>
      <c r="H79" t="e">
        <f t="shared" ca="1" si="17"/>
        <v>#N/A</v>
      </c>
      <c r="I79" s="7">
        <f t="shared" si="18"/>
        <v>0</v>
      </c>
      <c r="J79" s="7">
        <f t="shared" si="19"/>
        <v>0</v>
      </c>
      <c r="K79">
        <f t="shared" si="20"/>
        <v>0</v>
      </c>
      <c r="L79" s="15">
        <f t="shared" ca="1" si="21"/>
        <v>0</v>
      </c>
      <c r="M79" s="9">
        <f t="shared" ca="1" si="36"/>
        <v>0</v>
      </c>
      <c r="N79" s="7">
        <f t="shared" ca="1" si="22"/>
        <v>0</v>
      </c>
      <c r="O79" s="7">
        <f t="shared" ca="1" si="23"/>
        <v>0</v>
      </c>
      <c r="P79" s="7">
        <f t="shared" ca="1" si="24"/>
        <v>0</v>
      </c>
      <c r="U79" t="e">
        <f t="shared" ca="1" si="25"/>
        <v>#N/A</v>
      </c>
      <c r="V79" t="e">
        <f t="shared" ca="1" si="26"/>
        <v>#N/A</v>
      </c>
      <c r="X79" t="e">
        <f t="shared" ca="1" si="27"/>
        <v>#N/A</v>
      </c>
      <c r="Y79" t="e">
        <f t="shared" ca="1" si="28"/>
        <v>#N/A</v>
      </c>
      <c r="AJ79">
        <v>1.3439035240356352</v>
      </c>
      <c r="AK79">
        <v>42.79687883568991</v>
      </c>
      <c r="AL79">
        <v>192.84447218861726</v>
      </c>
      <c r="AM79">
        <v>47.552087595211013</v>
      </c>
      <c r="AN79">
        <v>214.27163576513027</v>
      </c>
      <c r="AQ79">
        <v>77</v>
      </c>
      <c r="AR79">
        <f t="shared" si="31"/>
        <v>2.6994126521263793</v>
      </c>
      <c r="AS79">
        <f t="shared" si="32"/>
        <v>11.692440777422823</v>
      </c>
      <c r="BF79">
        <v>1036.6010793504759</v>
      </c>
      <c r="BG79">
        <v>206.20171611386857</v>
      </c>
      <c r="BH79">
        <v>-3.4638958368304887E-15</v>
      </c>
      <c r="BI79">
        <f t="shared" si="33"/>
        <v>206.20171611386857</v>
      </c>
      <c r="BJ79">
        <v>1594.7708913084243</v>
      </c>
      <c r="BK79">
        <v>317.23340940595165</v>
      </c>
      <c r="BL79">
        <v>-5.3290705182007514E-15</v>
      </c>
      <c r="BM79">
        <f t="shared" si="34"/>
        <v>317.23340940595165</v>
      </c>
    </row>
    <row r="80" spans="1:65" x14ac:dyDescent="0.25">
      <c r="A80">
        <v>44</v>
      </c>
      <c r="B80" s="5">
        <v>0</v>
      </c>
      <c r="C80" s="1">
        <f t="shared" ca="1" si="35"/>
        <v>0</v>
      </c>
      <c r="D80" s="46">
        <f t="shared" si="14"/>
        <v>0</v>
      </c>
      <c r="E80" s="46">
        <f t="shared" si="15"/>
        <v>0</v>
      </c>
      <c r="G80" t="e">
        <f t="shared" ca="1" si="16"/>
        <v>#N/A</v>
      </c>
      <c r="H80" t="e">
        <f t="shared" ca="1" si="17"/>
        <v>#N/A</v>
      </c>
      <c r="I80" s="7">
        <f t="shared" si="18"/>
        <v>0</v>
      </c>
      <c r="J80" s="7">
        <f t="shared" si="19"/>
        <v>0</v>
      </c>
      <c r="K80">
        <f t="shared" si="20"/>
        <v>0</v>
      </c>
      <c r="L80" s="15">
        <f t="shared" ca="1" si="21"/>
        <v>0</v>
      </c>
      <c r="M80" s="9">
        <f t="shared" ca="1" si="36"/>
        <v>0</v>
      </c>
      <c r="N80" s="7">
        <f t="shared" ca="1" si="22"/>
        <v>0</v>
      </c>
      <c r="O80" s="7">
        <f t="shared" ca="1" si="23"/>
        <v>0</v>
      </c>
      <c r="P80" s="7">
        <f t="shared" ca="1" si="24"/>
        <v>0</v>
      </c>
      <c r="U80" t="e">
        <f t="shared" ca="1" si="25"/>
        <v>#N/A</v>
      </c>
      <c r="V80" t="e">
        <f t="shared" ca="1" si="26"/>
        <v>#N/A</v>
      </c>
      <c r="X80" t="e">
        <f t="shared" ca="1" si="27"/>
        <v>#N/A</v>
      </c>
      <c r="Y80" t="e">
        <f t="shared" ca="1" si="28"/>
        <v>#N/A</v>
      </c>
      <c r="AJ80">
        <v>1.3613568165555785</v>
      </c>
      <c r="AK80">
        <v>39.471458888873549</v>
      </c>
      <c r="AL80">
        <v>193.24489052422729</v>
      </c>
      <c r="AM80">
        <v>43.857176543192828</v>
      </c>
      <c r="AN80">
        <v>214.71654502691919</v>
      </c>
      <c r="AQ80">
        <v>78</v>
      </c>
      <c r="AR80">
        <f t="shared" si="31"/>
        <v>2.4949402898131137</v>
      </c>
      <c r="AS80">
        <f t="shared" si="32"/>
        <v>11.737771208805666</v>
      </c>
      <c r="BF80">
        <v>1053.429534926456</v>
      </c>
      <c r="BG80">
        <v>198.92275725091099</v>
      </c>
      <c r="BH80">
        <v>-6.9277916736609774E-15</v>
      </c>
      <c r="BI80">
        <f t="shared" si="33"/>
        <v>198.92275725091099</v>
      </c>
      <c r="BJ80">
        <v>1620.6608229637784</v>
      </c>
      <c r="BK80">
        <v>306.03501115524767</v>
      </c>
      <c r="BL80">
        <v>-1.0658141036401503E-14</v>
      </c>
      <c r="BM80">
        <f t="shared" si="34"/>
        <v>306.03501115524767</v>
      </c>
    </row>
    <row r="81" spans="1:65" x14ac:dyDescent="0.25">
      <c r="A81">
        <v>45</v>
      </c>
      <c r="B81" s="5">
        <v>0</v>
      </c>
      <c r="C81" s="1">
        <f t="shared" ca="1" si="35"/>
        <v>0</v>
      </c>
      <c r="D81" s="46">
        <f t="shared" si="14"/>
        <v>0</v>
      </c>
      <c r="E81" s="46">
        <f t="shared" si="15"/>
        <v>0</v>
      </c>
      <c r="G81" t="e">
        <f t="shared" ca="1" si="16"/>
        <v>#N/A</v>
      </c>
      <c r="H81" t="e">
        <f t="shared" ca="1" si="17"/>
        <v>#N/A</v>
      </c>
      <c r="I81" s="7">
        <f t="shared" si="18"/>
        <v>0</v>
      </c>
      <c r="J81" s="7">
        <f t="shared" si="19"/>
        <v>0</v>
      </c>
      <c r="K81">
        <f t="shared" si="20"/>
        <v>0</v>
      </c>
      <c r="L81" s="15">
        <f t="shared" ca="1" si="21"/>
        <v>0</v>
      </c>
      <c r="M81" s="9">
        <f t="shared" ca="1" si="36"/>
        <v>0</v>
      </c>
      <c r="N81" s="7">
        <f t="shared" ca="1" si="22"/>
        <v>0</v>
      </c>
      <c r="O81" s="7">
        <f t="shared" ca="1" si="23"/>
        <v>0</v>
      </c>
      <c r="P81" s="7">
        <f t="shared" ca="1" si="24"/>
        <v>0</v>
      </c>
      <c r="U81" t="e">
        <f t="shared" ca="1" si="25"/>
        <v>#N/A</v>
      </c>
      <c r="V81" t="e">
        <f t="shared" ca="1" si="26"/>
        <v>#N/A</v>
      </c>
      <c r="X81" t="e">
        <f t="shared" ca="1" si="27"/>
        <v>#N/A</v>
      </c>
      <c r="Y81" t="e">
        <f t="shared" ca="1" si="28"/>
        <v>#N/A</v>
      </c>
      <c r="AJ81">
        <v>1.3788101090755218</v>
      </c>
      <c r="AK81">
        <v>36.153187973798403</v>
      </c>
      <c r="AL81">
        <v>193.60890878473711</v>
      </c>
      <c r="AM81">
        <v>40.170208859776004</v>
      </c>
      <c r="AN81">
        <v>215.12100976081899</v>
      </c>
      <c r="AQ81">
        <v>79</v>
      </c>
      <c r="AR81">
        <f t="shared" si="31"/>
        <v>2.2897079445185389</v>
      </c>
      <c r="AS81">
        <f t="shared" si="32"/>
        <v>11.779526201371969</v>
      </c>
      <c r="BF81">
        <v>1070.2579905024361</v>
      </c>
      <c r="BG81">
        <v>191.49633977347003</v>
      </c>
      <c r="BH81">
        <v>-5.388282412847427E-15</v>
      </c>
      <c r="BI81">
        <f t="shared" si="33"/>
        <v>191.49633977347003</v>
      </c>
      <c r="BJ81">
        <v>1646.5507546191325</v>
      </c>
      <c r="BK81">
        <v>294.60975349764618</v>
      </c>
      <c r="BL81">
        <v>-8.2896652505345027E-15</v>
      </c>
      <c r="BM81">
        <f t="shared" si="34"/>
        <v>294.60975349764618</v>
      </c>
    </row>
    <row r="82" spans="1:65" x14ac:dyDescent="0.25">
      <c r="A82">
        <v>46</v>
      </c>
      <c r="B82" s="5">
        <v>0</v>
      </c>
      <c r="C82" s="1">
        <f t="shared" ca="1" si="35"/>
        <v>0</v>
      </c>
      <c r="D82" s="46">
        <f t="shared" si="14"/>
        <v>0</v>
      </c>
      <c r="E82" s="46">
        <f t="shared" si="15"/>
        <v>0</v>
      </c>
      <c r="G82" t="e">
        <f t="shared" ca="1" si="16"/>
        <v>#N/A</v>
      </c>
      <c r="H82" t="e">
        <f t="shared" ca="1" si="17"/>
        <v>#N/A</v>
      </c>
      <c r="I82" s="7">
        <f t="shared" si="18"/>
        <v>0</v>
      </c>
      <c r="J82" s="7">
        <f t="shared" si="19"/>
        <v>0</v>
      </c>
      <c r="K82">
        <f t="shared" si="20"/>
        <v>0</v>
      </c>
      <c r="L82" s="15">
        <f t="shared" ca="1" si="21"/>
        <v>0</v>
      </c>
      <c r="M82" s="9">
        <f t="shared" ca="1" si="36"/>
        <v>0</v>
      </c>
      <c r="N82" s="7">
        <f t="shared" ca="1" si="22"/>
        <v>0</v>
      </c>
      <c r="O82" s="7">
        <f t="shared" ca="1" si="23"/>
        <v>0</v>
      </c>
      <c r="P82" s="7">
        <f t="shared" ca="1" si="24"/>
        <v>0</v>
      </c>
      <c r="U82" t="e">
        <f t="shared" ca="1" si="25"/>
        <v>#N/A</v>
      </c>
      <c r="V82" t="e">
        <f t="shared" ca="1" si="26"/>
        <v>#N/A</v>
      </c>
      <c r="X82" t="e">
        <f t="shared" ca="1" si="27"/>
        <v>#N/A</v>
      </c>
      <c r="Y82" t="e">
        <f t="shared" ca="1" si="28"/>
        <v>#N/A</v>
      </c>
      <c r="AJ82">
        <v>1.3962634015954651</v>
      </c>
      <c r="AK82">
        <v>32.84181557221995</v>
      </c>
      <c r="AL82">
        <v>193.93754730431829</v>
      </c>
      <c r="AM82">
        <v>36.490906191355499</v>
      </c>
      <c r="AN82">
        <v>215.48616367146477</v>
      </c>
      <c r="AQ82">
        <v>80</v>
      </c>
      <c r="AR82">
        <f t="shared" si="31"/>
        <v>2.083778132003165</v>
      </c>
      <c r="AS82">
        <f t="shared" si="32"/>
        <v>11.817693036146496</v>
      </c>
      <c r="BF82">
        <v>1087.0864460784162</v>
      </c>
      <c r="BG82">
        <v>183.61951766161414</v>
      </c>
      <c r="BH82">
        <v>-1.5395092608135505E-15</v>
      </c>
      <c r="BI82">
        <f t="shared" si="33"/>
        <v>183.61951766161414</v>
      </c>
      <c r="BJ82">
        <v>1672.4406862744863</v>
      </c>
      <c r="BK82">
        <v>282.49156563325249</v>
      </c>
      <c r="BL82">
        <v>-2.3684757858670005E-15</v>
      </c>
      <c r="BM82">
        <f t="shared" si="34"/>
        <v>282.49156563325249</v>
      </c>
    </row>
    <row r="83" spans="1:65" x14ac:dyDescent="0.25">
      <c r="A83">
        <v>47</v>
      </c>
      <c r="B83" s="5">
        <v>0</v>
      </c>
      <c r="C83" s="1">
        <f t="shared" ca="1" si="35"/>
        <v>0</v>
      </c>
      <c r="D83" s="46">
        <f t="shared" si="14"/>
        <v>0</v>
      </c>
      <c r="E83" s="46">
        <f t="shared" si="15"/>
        <v>0</v>
      </c>
      <c r="G83" t="e">
        <f t="shared" ca="1" si="16"/>
        <v>#N/A</v>
      </c>
      <c r="H83" t="e">
        <f t="shared" ca="1" si="17"/>
        <v>#N/A</v>
      </c>
      <c r="I83" s="7">
        <f t="shared" si="18"/>
        <v>0</v>
      </c>
      <c r="J83" s="7">
        <f t="shared" si="19"/>
        <v>0</v>
      </c>
      <c r="K83">
        <f t="shared" si="20"/>
        <v>0</v>
      </c>
      <c r="L83" s="15">
        <f t="shared" ca="1" si="21"/>
        <v>0</v>
      </c>
      <c r="M83" s="9">
        <f t="shared" ca="1" si="36"/>
        <v>0</v>
      </c>
      <c r="N83" s="7">
        <f t="shared" ca="1" si="22"/>
        <v>0</v>
      </c>
      <c r="O83" s="7">
        <f t="shared" ca="1" si="23"/>
        <v>0</v>
      </c>
      <c r="P83" s="7">
        <f t="shared" ca="1" si="24"/>
        <v>0</v>
      </c>
      <c r="U83" t="e">
        <f t="shared" ca="1" si="25"/>
        <v>#N/A</v>
      </c>
      <c r="V83" t="e">
        <f t="shared" ca="1" si="26"/>
        <v>#N/A</v>
      </c>
      <c r="X83" t="e">
        <f t="shared" ca="1" si="27"/>
        <v>#N/A</v>
      </c>
      <c r="Y83" t="e">
        <f t="shared" ca="1" si="28"/>
        <v>#N/A</v>
      </c>
      <c r="AJ83">
        <v>1.4137166941154085</v>
      </c>
      <c r="AK83">
        <v>29.537007788660052</v>
      </c>
      <c r="AL83">
        <v>194.23176757763628</v>
      </c>
      <c r="AM83">
        <v>32.818897542955611</v>
      </c>
      <c r="AN83">
        <v>215.81307508626253</v>
      </c>
      <c r="AQ83">
        <v>81</v>
      </c>
      <c r="AR83">
        <f t="shared" si="31"/>
        <v>1.877213580482771</v>
      </c>
      <c r="AS83">
        <f t="shared" si="32"/>
        <v>11.852260087141653</v>
      </c>
      <c r="BF83">
        <v>1103.9149016543963</v>
      </c>
      <c r="BG83">
        <v>175.39627932547106</v>
      </c>
      <c r="BH83">
        <v>-6.1580370432542018E-15</v>
      </c>
      <c r="BI83">
        <f t="shared" si="33"/>
        <v>175.39627932547106</v>
      </c>
      <c r="BJ83">
        <v>1698.3306179298404</v>
      </c>
      <c r="BK83">
        <v>269.84042973149394</v>
      </c>
      <c r="BL83">
        <v>-9.473903143468002E-15</v>
      </c>
      <c r="BM83">
        <f t="shared" si="34"/>
        <v>269.84042973149394</v>
      </c>
    </row>
    <row r="84" spans="1:65" x14ac:dyDescent="0.25">
      <c r="A84">
        <v>48</v>
      </c>
      <c r="B84" s="5">
        <v>0</v>
      </c>
      <c r="C84" s="1">
        <f t="shared" ca="1" si="35"/>
        <v>0</v>
      </c>
      <c r="D84" s="46">
        <f t="shared" si="14"/>
        <v>0</v>
      </c>
      <c r="E84" s="46">
        <f t="shared" si="15"/>
        <v>0</v>
      </c>
      <c r="G84" t="e">
        <f t="shared" ca="1" si="16"/>
        <v>#N/A</v>
      </c>
      <c r="H84" t="e">
        <f t="shared" ca="1" si="17"/>
        <v>#N/A</v>
      </c>
      <c r="I84" s="7">
        <f t="shared" si="18"/>
        <v>0</v>
      </c>
      <c r="J84" s="7">
        <f t="shared" si="19"/>
        <v>0</v>
      </c>
      <c r="K84">
        <f t="shared" si="20"/>
        <v>0</v>
      </c>
      <c r="L84" s="15">
        <f t="shared" ca="1" si="21"/>
        <v>0</v>
      </c>
      <c r="M84" s="9">
        <f t="shared" ca="1" si="36"/>
        <v>0</v>
      </c>
      <c r="N84" s="7">
        <f t="shared" ca="1" si="22"/>
        <v>0</v>
      </c>
      <c r="O84" s="7">
        <f t="shared" ca="1" si="23"/>
        <v>0</v>
      </c>
      <c r="P84" s="7">
        <f t="shared" ca="1" si="24"/>
        <v>0</v>
      </c>
      <c r="U84" t="e">
        <f t="shared" ca="1" si="25"/>
        <v>#N/A</v>
      </c>
      <c r="V84" t="e">
        <f t="shared" ca="1" si="26"/>
        <v>#N/A</v>
      </c>
      <c r="X84" t="e">
        <f t="shared" ca="1" si="27"/>
        <v>#N/A</v>
      </c>
      <c r="Y84" t="e">
        <f t="shared" ca="1" si="28"/>
        <v>#N/A</v>
      </c>
      <c r="AJ84">
        <v>1.4311699866353518</v>
      </c>
      <c r="AK84">
        <v>26.238352015683923</v>
      </c>
      <c r="AL84">
        <v>194.49246479866039</v>
      </c>
      <c r="AM84">
        <v>29.153724461871025</v>
      </c>
      <c r="AN84">
        <v>216.10273866517821</v>
      </c>
      <c r="AQ84">
        <v>82</v>
      </c>
      <c r="AR84">
        <f t="shared" si="31"/>
        <v>1.6700772115207856</v>
      </c>
      <c r="AS84">
        <f t="shared" si="32"/>
        <v>11.883216824898845</v>
      </c>
      <c r="BF84">
        <v>1120.7433572303764</v>
      </c>
      <c r="BG84">
        <v>166.99144712337434</v>
      </c>
      <c r="BH84">
        <v>-8.4673009344745271E-15</v>
      </c>
      <c r="BI84">
        <f t="shared" si="33"/>
        <v>166.99144712337434</v>
      </c>
      <c r="BJ84">
        <v>1724.2205495851945</v>
      </c>
      <c r="BK84">
        <v>256.90991865134515</v>
      </c>
      <c r="BL84">
        <v>-1.3026616822268503E-14</v>
      </c>
      <c r="BM84">
        <f t="shared" si="34"/>
        <v>256.90991865134515</v>
      </c>
    </row>
    <row r="85" spans="1:65" x14ac:dyDescent="0.25">
      <c r="A85">
        <v>49</v>
      </c>
      <c r="B85" s="5">
        <v>0</v>
      </c>
      <c r="C85" s="1">
        <f t="shared" ca="1" si="35"/>
        <v>0</v>
      </c>
      <c r="D85" s="46">
        <f t="shared" si="14"/>
        <v>0</v>
      </c>
      <c r="E85" s="46">
        <f t="shared" si="15"/>
        <v>0</v>
      </c>
      <c r="G85" t="e">
        <f t="shared" ca="1" si="16"/>
        <v>#N/A</v>
      </c>
      <c r="H85" t="e">
        <f t="shared" ca="1" si="17"/>
        <v>#N/A</v>
      </c>
      <c r="I85" s="7">
        <f t="shared" si="18"/>
        <v>0</v>
      </c>
      <c r="J85" s="7">
        <f t="shared" si="19"/>
        <v>0</v>
      </c>
      <c r="K85">
        <f t="shared" si="20"/>
        <v>0</v>
      </c>
      <c r="L85" s="15">
        <f t="shared" ca="1" si="21"/>
        <v>0</v>
      </c>
      <c r="M85" s="9">
        <f t="shared" ca="1" si="36"/>
        <v>0</v>
      </c>
      <c r="N85" s="7">
        <f t="shared" ca="1" si="22"/>
        <v>0</v>
      </c>
      <c r="O85" s="7">
        <f t="shared" ca="1" si="23"/>
        <v>0</v>
      </c>
      <c r="P85" s="7">
        <f t="shared" ca="1" si="24"/>
        <v>0</v>
      </c>
      <c r="U85" t="e">
        <f t="shared" ca="1" si="25"/>
        <v>#N/A</v>
      </c>
      <c r="V85" t="e">
        <f t="shared" ca="1" si="26"/>
        <v>#N/A</v>
      </c>
      <c r="X85" t="e">
        <f t="shared" ca="1" si="27"/>
        <v>#N/A</v>
      </c>
      <c r="Y85" t="e">
        <f t="shared" ca="1" si="28"/>
        <v>#N/A</v>
      </c>
      <c r="AJ85">
        <v>1.4486232791552951</v>
      </c>
      <c r="AK85">
        <v>22.945362353630387</v>
      </c>
      <c r="AL85">
        <v>194.72046080381566</v>
      </c>
      <c r="AM85">
        <v>25.494847059589318</v>
      </c>
      <c r="AN85">
        <v>216.35606755979518</v>
      </c>
      <c r="AQ85">
        <v>83</v>
      </c>
      <c r="AR85">
        <f t="shared" si="31"/>
        <v>1.4624321208617699</v>
      </c>
      <c r="AS85">
        <f t="shared" si="32"/>
        <v>11.910553819695863</v>
      </c>
      <c r="BF85">
        <v>1137.5718128063565</v>
      </c>
      <c r="BG85">
        <v>158.54559251359643</v>
      </c>
      <c r="BH85">
        <v>-1.5395092608135505E-15</v>
      </c>
      <c r="BI85">
        <f t="shared" si="33"/>
        <v>158.54559251359643</v>
      </c>
      <c r="BJ85">
        <v>1750.1104812405486</v>
      </c>
      <c r="BK85">
        <v>243.91629617476374</v>
      </c>
      <c r="BL85">
        <v>-2.3684757858670005E-15</v>
      </c>
      <c r="BM85">
        <f t="shared" si="34"/>
        <v>243.91629617476374</v>
      </c>
    </row>
    <row r="86" spans="1:65" x14ac:dyDescent="0.25">
      <c r="A86">
        <v>50</v>
      </c>
      <c r="B86" s="5">
        <v>0</v>
      </c>
      <c r="C86" s="1">
        <f t="shared" ca="1" si="35"/>
        <v>0</v>
      </c>
      <c r="D86" s="46">
        <f t="shared" si="14"/>
        <v>0</v>
      </c>
      <c r="E86" s="46">
        <f t="shared" si="15"/>
        <v>0</v>
      </c>
      <c r="G86" t="e">
        <f t="shared" ca="1" si="16"/>
        <v>#N/A</v>
      </c>
      <c r="H86" t="e">
        <f t="shared" ca="1" si="17"/>
        <v>#N/A</v>
      </c>
      <c r="I86" s="7">
        <f t="shared" si="18"/>
        <v>0</v>
      </c>
      <c r="J86" s="7">
        <f t="shared" si="19"/>
        <v>0</v>
      </c>
      <c r="K86">
        <f t="shared" si="20"/>
        <v>0</v>
      </c>
      <c r="L86" s="15">
        <f t="shared" ca="1" si="21"/>
        <v>0</v>
      </c>
      <c r="M86" s="9">
        <f t="shared" ca="1" si="36"/>
        <v>0</v>
      </c>
      <c r="N86" s="7">
        <f t="shared" ca="1" si="22"/>
        <v>0</v>
      </c>
      <c r="O86" s="7">
        <f t="shared" ca="1" si="23"/>
        <v>0</v>
      </c>
      <c r="P86" s="7">
        <f t="shared" ca="1" si="24"/>
        <v>0</v>
      </c>
      <c r="U86" t="e">
        <f t="shared" ca="1" si="25"/>
        <v>#N/A</v>
      </c>
      <c r="V86" t="e">
        <f t="shared" ca="1" si="26"/>
        <v>#N/A</v>
      </c>
      <c r="X86" t="e">
        <f t="shared" ca="1" si="27"/>
        <v>#N/A</v>
      </c>
      <c r="Y86" t="e">
        <f t="shared" ca="1" si="28"/>
        <v>#N/A</v>
      </c>
      <c r="AJ86">
        <v>1.4660765716752384</v>
      </c>
      <c r="AK86">
        <v>19.657485745373066</v>
      </c>
      <c r="AL86">
        <v>194.91649750047031</v>
      </c>
      <c r="AM86">
        <v>21.841650828192297</v>
      </c>
      <c r="AN86">
        <v>216.57388611163367</v>
      </c>
      <c r="AQ86">
        <v>84</v>
      </c>
      <c r="AR86">
        <f t="shared" si="31"/>
        <v>1.2543415592118414</v>
      </c>
      <c r="AS86">
        <f t="shared" si="32"/>
        <v>11.934262744419279</v>
      </c>
      <c r="BF86">
        <v>1154.4002683823367</v>
      </c>
      <c r="BG86">
        <v>150.05604042895476</v>
      </c>
      <c r="BH86">
        <v>-8.4673009344745271E-15</v>
      </c>
      <c r="BI86">
        <f t="shared" si="33"/>
        <v>150.05604042895476</v>
      </c>
      <c r="BJ86">
        <v>1776.0004128959024</v>
      </c>
      <c r="BK86">
        <v>230.85544681377655</v>
      </c>
      <c r="BL86">
        <v>-1.3026616822268503E-14</v>
      </c>
      <c r="BM86">
        <f t="shared" si="34"/>
        <v>230.85544681377655</v>
      </c>
    </row>
    <row r="87" spans="1:65" x14ac:dyDescent="0.25">
      <c r="A87">
        <v>51</v>
      </c>
      <c r="B87" s="5">
        <v>0</v>
      </c>
      <c r="C87" s="1">
        <f t="shared" ca="1" si="35"/>
        <v>0</v>
      </c>
      <c r="D87" s="46">
        <f t="shared" si="14"/>
        <v>0</v>
      </c>
      <c r="E87" s="46">
        <f t="shared" si="15"/>
        <v>0</v>
      </c>
      <c r="G87" t="e">
        <f t="shared" ca="1" si="16"/>
        <v>#N/A</v>
      </c>
      <c r="H87" t="e">
        <f t="shared" ca="1" si="17"/>
        <v>#N/A</v>
      </c>
      <c r="I87" s="7">
        <f t="shared" si="18"/>
        <v>0</v>
      </c>
      <c r="J87" s="7">
        <f t="shared" si="19"/>
        <v>0</v>
      </c>
      <c r="K87">
        <f t="shared" si="20"/>
        <v>0</v>
      </c>
      <c r="L87" s="15">
        <f t="shared" ca="1" si="21"/>
        <v>0</v>
      </c>
      <c r="M87" s="9">
        <f t="shared" ca="1" si="36"/>
        <v>0</v>
      </c>
      <c r="N87" s="7">
        <f t="shared" ca="1" si="22"/>
        <v>0</v>
      </c>
      <c r="O87" s="7">
        <f t="shared" ca="1" si="23"/>
        <v>0</v>
      </c>
      <c r="P87" s="7">
        <f t="shared" ca="1" si="24"/>
        <v>0</v>
      </c>
      <c r="U87" t="e">
        <f t="shared" ca="1" si="25"/>
        <v>#N/A</v>
      </c>
      <c r="V87" t="e">
        <f t="shared" ca="1" si="26"/>
        <v>#N/A</v>
      </c>
      <c r="X87" t="e">
        <f t="shared" ca="1" si="27"/>
        <v>#N/A</v>
      </c>
      <c r="Y87" t="e">
        <f t="shared" ca="1" si="28"/>
        <v>#N/A</v>
      </c>
      <c r="AJ87">
        <v>1.4835298641951817</v>
      </c>
      <c r="AK87">
        <v>16.37410877551573</v>
      </c>
      <c r="AL87">
        <v>195.08123084825635</v>
      </c>
      <c r="AM87">
        <v>18.193454195017477</v>
      </c>
      <c r="AN87">
        <v>216.75692316472927</v>
      </c>
      <c r="AQ87">
        <v>85</v>
      </c>
      <c r="AR87">
        <f t="shared" si="31"/>
        <v>1.0458689129718977</v>
      </c>
      <c r="AS87">
        <f t="shared" si="32"/>
        <v>11.954336377100947</v>
      </c>
      <c r="BF87">
        <v>1171.2287239583168</v>
      </c>
      <c r="BG87">
        <v>141.51981732881225</v>
      </c>
      <c r="BH87">
        <v>-5.388282412847427E-15</v>
      </c>
      <c r="BI87">
        <f t="shared" si="33"/>
        <v>141.51981732881225</v>
      </c>
      <c r="BJ87">
        <v>1801.8903445512565</v>
      </c>
      <c r="BK87">
        <v>217.72279589048037</v>
      </c>
      <c r="BL87">
        <v>-8.2896652505345027E-15</v>
      </c>
      <c r="BM87">
        <f t="shared" si="34"/>
        <v>217.72279589048037</v>
      </c>
    </row>
    <row r="88" spans="1:65" x14ac:dyDescent="0.25">
      <c r="A88">
        <v>52</v>
      </c>
      <c r="B88" s="5">
        <v>0</v>
      </c>
      <c r="C88" s="1">
        <f t="shared" ca="1" si="35"/>
        <v>0</v>
      </c>
      <c r="D88" s="46">
        <f t="shared" si="14"/>
        <v>0</v>
      </c>
      <c r="E88" s="46">
        <f t="shared" si="15"/>
        <v>0</v>
      </c>
      <c r="G88" t="e">
        <f t="shared" ca="1" si="16"/>
        <v>#N/A</v>
      </c>
      <c r="H88" t="e">
        <f t="shared" ca="1" si="17"/>
        <v>#N/A</v>
      </c>
      <c r="I88" s="7">
        <f t="shared" si="18"/>
        <v>0</v>
      </c>
      <c r="J88" s="7">
        <f t="shared" si="19"/>
        <v>0</v>
      </c>
      <c r="K88">
        <f t="shared" si="20"/>
        <v>0</v>
      </c>
      <c r="L88" s="15">
        <f t="shared" ca="1" si="21"/>
        <v>0</v>
      </c>
      <c r="M88" s="9">
        <f t="shared" ca="1" si="36"/>
        <v>0</v>
      </c>
      <c r="N88" s="7">
        <f t="shared" ca="1" si="22"/>
        <v>0</v>
      </c>
      <c r="O88" s="7">
        <f t="shared" ca="1" si="23"/>
        <v>0</v>
      </c>
      <c r="P88" s="7">
        <f t="shared" ca="1" si="24"/>
        <v>0</v>
      </c>
      <c r="U88" t="e">
        <f t="shared" ca="1" si="25"/>
        <v>#N/A</v>
      </c>
      <c r="V88" t="e">
        <f t="shared" ca="1" si="26"/>
        <v>#N/A</v>
      </c>
      <c r="X88" t="e">
        <f t="shared" ca="1" si="27"/>
        <v>#N/A</v>
      </c>
      <c r="Y88" t="e">
        <f t="shared" ca="1" si="28"/>
        <v>#N/A</v>
      </c>
      <c r="AJ88">
        <v>1.5009831567151251</v>
      </c>
      <c r="AK88">
        <v>13.094565075688838</v>
      </c>
      <c r="AL88">
        <v>195.21522545072864</v>
      </c>
      <c r="AM88">
        <v>14.549516750765374</v>
      </c>
      <c r="AN88">
        <v>216.90580605636515</v>
      </c>
      <c r="AQ88">
        <v>86</v>
      </c>
      <c r="AR88">
        <f t="shared" si="31"/>
        <v>0.83707768492950274</v>
      </c>
      <c r="AS88">
        <f t="shared" si="32"/>
        <v>11.970768603117889</v>
      </c>
      <c r="BF88">
        <v>1188.0571795342969</v>
      </c>
      <c r="BG88">
        <v>133.14178203428159</v>
      </c>
      <c r="BH88">
        <v>-3.8487731520338765E-15</v>
      </c>
      <c r="BI88">
        <f t="shared" si="33"/>
        <v>133.14178203428159</v>
      </c>
      <c r="BJ88">
        <v>1827.7802762066106</v>
      </c>
      <c r="BK88">
        <v>204.83351082197166</v>
      </c>
      <c r="BL88">
        <v>-5.9211894646675018E-15</v>
      </c>
      <c r="BM88">
        <f t="shared" si="34"/>
        <v>204.83351082197166</v>
      </c>
    </row>
    <row r="89" spans="1:65" x14ac:dyDescent="0.25">
      <c r="A89">
        <v>53</v>
      </c>
      <c r="B89" s="5">
        <v>0</v>
      </c>
      <c r="C89" s="1">
        <f t="shared" ca="1" si="35"/>
        <v>0</v>
      </c>
      <c r="D89" s="46">
        <f t="shared" si="14"/>
        <v>0</v>
      </c>
      <c r="E89" s="46">
        <f t="shared" si="15"/>
        <v>0</v>
      </c>
      <c r="G89" t="e">
        <f t="shared" ca="1" si="16"/>
        <v>#N/A</v>
      </c>
      <c r="H89" t="e">
        <f t="shared" ca="1" si="17"/>
        <v>#N/A</v>
      </c>
      <c r="I89" s="7">
        <f t="shared" si="18"/>
        <v>0</v>
      </c>
      <c r="J89" s="7">
        <f t="shared" si="19"/>
        <v>0</v>
      </c>
      <c r="K89">
        <f t="shared" si="20"/>
        <v>0</v>
      </c>
      <c r="L89" s="15">
        <f t="shared" ca="1" si="21"/>
        <v>0</v>
      </c>
      <c r="M89" s="9">
        <f t="shared" ca="1" si="36"/>
        <v>0</v>
      </c>
      <c r="N89" s="7">
        <f t="shared" ca="1" si="22"/>
        <v>0</v>
      </c>
      <c r="O89" s="7">
        <f t="shared" ca="1" si="23"/>
        <v>0</v>
      </c>
      <c r="P89" s="7">
        <f t="shared" ca="1" si="24"/>
        <v>0</v>
      </c>
      <c r="U89" t="e">
        <f t="shared" ca="1" si="25"/>
        <v>#N/A</v>
      </c>
      <c r="V89" t="e">
        <f t="shared" ca="1" si="26"/>
        <v>#N/A</v>
      </c>
      <c r="X89" t="e">
        <f t="shared" ca="1" si="27"/>
        <v>#N/A</v>
      </c>
      <c r="Y89" t="e">
        <f t="shared" ca="1" si="28"/>
        <v>#N/A</v>
      </c>
      <c r="AJ89">
        <v>1.5184364492350684</v>
      </c>
      <c r="AK89">
        <v>9.8181432780103393</v>
      </c>
      <c r="AL89">
        <v>195.31894987753213</v>
      </c>
      <c r="AM89">
        <v>10.909048086678155</v>
      </c>
      <c r="AN89">
        <v>217.02105541948015</v>
      </c>
      <c r="AQ89">
        <v>87</v>
      </c>
      <c r="AR89">
        <f t="shared" si="31"/>
        <v>0.62803147491532763</v>
      </c>
      <c r="AS89">
        <f t="shared" si="32"/>
        <v>11.983554417054886</v>
      </c>
      <c r="BF89">
        <v>1204.885635110277</v>
      </c>
      <c r="BG89">
        <v>124.51400654629474</v>
      </c>
      <c r="BH89">
        <v>-7.6975463040677531E-15</v>
      </c>
      <c r="BI89">
        <f t="shared" si="33"/>
        <v>124.51400654629474</v>
      </c>
      <c r="BJ89">
        <v>1853.6702078619646</v>
      </c>
      <c r="BK89">
        <v>191.56001007122268</v>
      </c>
      <c r="BL89">
        <v>-1.1842378929335004E-14</v>
      </c>
      <c r="BM89">
        <f t="shared" si="34"/>
        <v>191.56001007122268</v>
      </c>
    </row>
    <row r="90" spans="1:65" x14ac:dyDescent="0.25">
      <c r="A90">
        <v>54</v>
      </c>
      <c r="B90" s="5">
        <v>0</v>
      </c>
      <c r="C90" s="1">
        <f t="shared" ca="1" si="35"/>
        <v>0</v>
      </c>
      <c r="D90" s="46">
        <f t="shared" si="14"/>
        <v>0</v>
      </c>
      <c r="E90" s="46">
        <f t="shared" si="15"/>
        <v>0</v>
      </c>
      <c r="G90" t="e">
        <f t="shared" ca="1" si="16"/>
        <v>#N/A</v>
      </c>
      <c r="H90" t="e">
        <f t="shared" ca="1" si="17"/>
        <v>#N/A</v>
      </c>
      <c r="I90" s="7">
        <f t="shared" si="18"/>
        <v>0</v>
      </c>
      <c r="J90" s="7">
        <f t="shared" si="19"/>
        <v>0</v>
      </c>
      <c r="K90">
        <f t="shared" si="20"/>
        <v>0</v>
      </c>
      <c r="L90" s="15">
        <f t="shared" ca="1" si="21"/>
        <v>0</v>
      </c>
      <c r="M90" s="9">
        <f t="shared" ca="1" si="36"/>
        <v>0</v>
      </c>
      <c r="N90" s="7">
        <f t="shared" ca="1" si="22"/>
        <v>0</v>
      </c>
      <c r="O90" s="7">
        <f t="shared" ca="1" si="23"/>
        <v>0</v>
      </c>
      <c r="P90" s="7">
        <f t="shared" ca="1" si="24"/>
        <v>0</v>
      </c>
      <c r="U90" t="e">
        <f t="shared" ca="1" si="25"/>
        <v>#N/A</v>
      </c>
      <c r="V90" t="e">
        <f t="shared" ca="1" si="26"/>
        <v>#N/A</v>
      </c>
      <c r="X90" t="e">
        <f t="shared" ca="1" si="27"/>
        <v>#N/A</v>
      </c>
      <c r="Y90" t="e">
        <f t="shared" ca="1" si="28"/>
        <v>#N/A</v>
      </c>
      <c r="AJ90">
        <v>1.5358897417550117</v>
      </c>
      <c r="AK90">
        <v>6.5440954336322283</v>
      </c>
      <c r="AL90">
        <v>195.3927727486691</v>
      </c>
      <c r="AM90">
        <v>7.2712171484802539</v>
      </c>
      <c r="AN90">
        <v>217.10308083185456</v>
      </c>
      <c r="AQ90">
        <v>88</v>
      </c>
      <c r="AR90">
        <f t="shared" si="31"/>
        <v>0.41879396043001293</v>
      </c>
      <c r="AS90">
        <f t="shared" si="32"/>
        <v>11.992689924229149</v>
      </c>
      <c r="BF90">
        <v>1221.7140906862571</v>
      </c>
      <c r="BG90">
        <v>115.82771740137352</v>
      </c>
      <c r="BH90">
        <v>-3.8487731520338765E-15</v>
      </c>
      <c r="BI90">
        <f t="shared" si="33"/>
        <v>115.82771740137352</v>
      </c>
      <c r="BJ90">
        <v>1879.5601395173185</v>
      </c>
      <c r="BK90">
        <v>178.1964883098054</v>
      </c>
      <c r="BL90">
        <v>-5.9211894646675018E-15</v>
      </c>
      <c r="BM90">
        <f t="shared" si="34"/>
        <v>178.1964883098054</v>
      </c>
    </row>
    <row r="91" spans="1:65" x14ac:dyDescent="0.25">
      <c r="A91">
        <v>55</v>
      </c>
      <c r="B91" s="5">
        <v>0</v>
      </c>
      <c r="C91" s="1">
        <f t="shared" ca="1" si="35"/>
        <v>0</v>
      </c>
      <c r="D91" s="46">
        <f t="shared" si="14"/>
        <v>0</v>
      </c>
      <c r="E91" s="46">
        <f t="shared" si="15"/>
        <v>0</v>
      </c>
      <c r="G91" t="e">
        <f t="shared" ca="1" si="16"/>
        <v>#N/A</v>
      </c>
      <c r="H91" t="e">
        <f t="shared" ca="1" si="17"/>
        <v>#N/A</v>
      </c>
      <c r="I91" s="7">
        <f t="shared" si="18"/>
        <v>0</v>
      </c>
      <c r="J91" s="7">
        <f t="shared" si="19"/>
        <v>0</v>
      </c>
      <c r="K91">
        <f t="shared" si="20"/>
        <v>0</v>
      </c>
      <c r="L91" s="15">
        <f t="shared" ca="1" si="21"/>
        <v>0</v>
      </c>
      <c r="M91" s="9">
        <f t="shared" ca="1" si="36"/>
        <v>0</v>
      </c>
      <c r="N91" s="7">
        <f t="shared" ca="1" si="22"/>
        <v>0</v>
      </c>
      <c r="O91" s="7">
        <f t="shared" ca="1" si="23"/>
        <v>0</v>
      </c>
      <c r="P91" s="7">
        <f t="shared" ca="1" si="24"/>
        <v>0</v>
      </c>
      <c r="U91" t="e">
        <f t="shared" ca="1" si="25"/>
        <v>#N/A</v>
      </c>
      <c r="V91" t="e">
        <f t="shared" ca="1" si="26"/>
        <v>#N/A</v>
      </c>
      <c r="X91" t="e">
        <f t="shared" ca="1" si="27"/>
        <v>#N/A</v>
      </c>
      <c r="Y91" t="e">
        <f t="shared" ca="1" si="28"/>
        <v>#N/A</v>
      </c>
      <c r="AJ91">
        <v>1.553343034274955</v>
      </c>
      <c r="AK91">
        <v>3.27164581267286</v>
      </c>
      <c r="AL91">
        <v>195.43695961239038</v>
      </c>
      <c r="AM91">
        <v>3.6351620140809553</v>
      </c>
      <c r="AN91">
        <v>217.15217734710041</v>
      </c>
      <c r="AQ91">
        <v>89</v>
      </c>
      <c r="AR91">
        <f t="shared" si="31"/>
        <v>0.20942887724740317</v>
      </c>
      <c r="AS91">
        <f t="shared" si="32"/>
        <v>11.998172341876696</v>
      </c>
      <c r="BF91">
        <v>1238.5425462622372</v>
      </c>
      <c r="BG91">
        <v>107.0780993940641</v>
      </c>
      <c r="BH91">
        <v>-6.1580370432542018E-15</v>
      </c>
      <c r="BI91">
        <f t="shared" si="33"/>
        <v>107.0780993940641</v>
      </c>
      <c r="BJ91">
        <v>1905.4500711726726</v>
      </c>
      <c r="BK91">
        <v>164.73553752932938</v>
      </c>
      <c r="BL91">
        <v>-9.473903143468002E-15</v>
      </c>
      <c r="BM91">
        <f t="shared" si="34"/>
        <v>164.73553752932938</v>
      </c>
    </row>
    <row r="92" spans="1:65" x14ac:dyDescent="0.25">
      <c r="A92">
        <v>56</v>
      </c>
      <c r="B92" s="5">
        <v>0</v>
      </c>
      <c r="C92" s="1">
        <f t="shared" ca="1" si="35"/>
        <v>0</v>
      </c>
      <c r="D92" s="46">
        <f t="shared" si="14"/>
        <v>0</v>
      </c>
      <c r="E92" s="46">
        <f t="shared" si="15"/>
        <v>0</v>
      </c>
      <c r="G92" t="e">
        <f t="shared" ca="1" si="16"/>
        <v>#N/A</v>
      </c>
      <c r="H92" t="e">
        <f t="shared" ca="1" si="17"/>
        <v>#N/A</v>
      </c>
      <c r="I92" s="7">
        <f t="shared" si="18"/>
        <v>0</v>
      </c>
      <c r="J92" s="7">
        <f t="shared" si="19"/>
        <v>0</v>
      </c>
      <c r="K92">
        <f t="shared" si="20"/>
        <v>0</v>
      </c>
      <c r="L92" s="15">
        <f t="shared" ca="1" si="21"/>
        <v>0</v>
      </c>
      <c r="M92" s="9">
        <f t="shared" ca="1" si="36"/>
        <v>0</v>
      </c>
      <c r="N92" s="7">
        <f t="shared" ca="1" si="22"/>
        <v>0</v>
      </c>
      <c r="O92" s="7">
        <f t="shared" ca="1" si="23"/>
        <v>0</v>
      </c>
      <c r="P92" s="7">
        <f t="shared" ca="1" si="24"/>
        <v>0</v>
      </c>
      <c r="U92" t="e">
        <f t="shared" ca="1" si="25"/>
        <v>#N/A</v>
      </c>
      <c r="V92" t="e">
        <f t="shared" ca="1" si="26"/>
        <v>#N/A</v>
      </c>
      <c r="X92" t="e">
        <f t="shared" ca="1" si="27"/>
        <v>#N/A</v>
      </c>
      <c r="Y92" t="e">
        <f t="shared" ca="1" si="28"/>
        <v>#N/A</v>
      </c>
      <c r="AJ92">
        <v>1.5707963267948983</v>
      </c>
      <c r="AK92">
        <v>-7.2873466651160133E-13</v>
      </c>
      <c r="AL92">
        <v>195.45167071178926</v>
      </c>
      <c r="AM92">
        <v>-8.0970518501289038E-13</v>
      </c>
      <c r="AN92">
        <v>217.16852301309916</v>
      </c>
      <c r="AQ92">
        <v>90</v>
      </c>
      <c r="AR92">
        <f t="shared" si="31"/>
        <v>7.3508907294517201E-16</v>
      </c>
      <c r="AS92">
        <f t="shared" si="32"/>
        <v>12</v>
      </c>
      <c r="BF92">
        <v>1255.3710018382174</v>
      </c>
      <c r="BG92">
        <v>98.259686101552219</v>
      </c>
      <c r="BH92">
        <v>9.4735241873422642E-14</v>
      </c>
      <c r="BI92">
        <f t="shared" si="33"/>
        <v>98.259686101552219</v>
      </c>
      <c r="BJ92">
        <v>1931.3400028280266</v>
      </c>
      <c r="BK92">
        <v>151.16874784854187</v>
      </c>
      <c r="BL92">
        <v>1.4574652595911175E-13</v>
      </c>
      <c r="BM92">
        <f t="shared" si="34"/>
        <v>151.16874784854187</v>
      </c>
    </row>
    <row r="93" spans="1:65" x14ac:dyDescent="0.25">
      <c r="A93">
        <v>57</v>
      </c>
      <c r="B93" s="5">
        <v>0</v>
      </c>
      <c r="C93" s="1">
        <f t="shared" ca="1" si="35"/>
        <v>0</v>
      </c>
      <c r="D93" s="46">
        <f t="shared" si="14"/>
        <v>0</v>
      </c>
      <c r="E93" s="46">
        <f t="shared" si="15"/>
        <v>0</v>
      </c>
      <c r="G93" t="e">
        <f t="shared" ca="1" si="16"/>
        <v>#N/A</v>
      </c>
      <c r="H93" t="e">
        <f t="shared" ca="1" si="17"/>
        <v>#N/A</v>
      </c>
      <c r="I93" s="7">
        <f t="shared" si="18"/>
        <v>0</v>
      </c>
      <c r="J93" s="7">
        <f t="shared" si="19"/>
        <v>0</v>
      </c>
      <c r="K93">
        <f t="shared" si="20"/>
        <v>0</v>
      </c>
      <c r="L93" s="15">
        <f t="shared" ca="1" si="21"/>
        <v>0</v>
      </c>
      <c r="M93" s="9">
        <f t="shared" ca="1" si="36"/>
        <v>0</v>
      </c>
      <c r="N93" s="7">
        <f t="shared" ca="1" si="22"/>
        <v>0</v>
      </c>
      <c r="O93" s="7">
        <f t="shared" ca="1" si="23"/>
        <v>0</v>
      </c>
      <c r="P93" s="7">
        <f t="shared" ca="1" si="24"/>
        <v>0</v>
      </c>
      <c r="U93" t="e">
        <f t="shared" ca="1" si="25"/>
        <v>#N/A</v>
      </c>
      <c r="V93" t="e">
        <f t="shared" ca="1" si="26"/>
        <v>#N/A</v>
      </c>
      <c r="X93" t="e">
        <f t="shared" ca="1" si="27"/>
        <v>#N/A</v>
      </c>
      <c r="Y93" t="e">
        <f t="shared" ca="1" si="28"/>
        <v>#N/A</v>
      </c>
      <c r="AJ93">
        <v>1.5882496193148417</v>
      </c>
      <c r="AK93">
        <v>-3.2716458126731562</v>
      </c>
      <c r="AL93">
        <v>195.43695961238814</v>
      </c>
      <c r="AM93">
        <v>-3.6351620140812848</v>
      </c>
      <c r="AN93">
        <v>217.15217734709793</v>
      </c>
      <c r="AQ93">
        <v>91</v>
      </c>
      <c r="AR93">
        <f t="shared" si="31"/>
        <v>-0.20942887724740172</v>
      </c>
      <c r="AS93">
        <f t="shared" si="32"/>
        <v>11.998172341876696</v>
      </c>
      <c r="BF93">
        <v>1272.1994574141975</v>
      </c>
      <c r="BG93">
        <v>89.366255515294924</v>
      </c>
      <c r="BH93">
        <v>-1.2316074086508404E-14</v>
      </c>
      <c r="BI93">
        <f t="shared" si="33"/>
        <v>89.366255515294924</v>
      </c>
      <c r="BJ93">
        <v>1957.2299344833807</v>
      </c>
      <c r="BK93">
        <v>137.48654694660758</v>
      </c>
      <c r="BL93">
        <v>-1.8947806286936004E-14</v>
      </c>
      <c r="BM93">
        <f t="shared" si="34"/>
        <v>137.48654694660758</v>
      </c>
    </row>
    <row r="94" spans="1:65" x14ac:dyDescent="0.25">
      <c r="A94">
        <v>58</v>
      </c>
      <c r="B94" s="5">
        <v>0</v>
      </c>
      <c r="C94" s="1">
        <f t="shared" ca="1" si="35"/>
        <v>0</v>
      </c>
      <c r="D94" s="46">
        <f t="shared" si="14"/>
        <v>0</v>
      </c>
      <c r="E94" s="46">
        <f t="shared" si="15"/>
        <v>0</v>
      </c>
      <c r="G94" t="e">
        <f t="shared" ca="1" si="16"/>
        <v>#N/A</v>
      </c>
      <c r="H94" t="e">
        <f t="shared" ca="1" si="17"/>
        <v>#N/A</v>
      </c>
      <c r="I94" s="7">
        <f t="shared" si="18"/>
        <v>0</v>
      </c>
      <c r="J94" s="7">
        <f t="shared" si="19"/>
        <v>0</v>
      </c>
      <c r="K94">
        <f t="shared" si="20"/>
        <v>0</v>
      </c>
      <c r="L94" s="15">
        <f t="shared" ca="1" si="21"/>
        <v>0</v>
      </c>
      <c r="M94" s="9">
        <f t="shared" ca="1" si="36"/>
        <v>0</v>
      </c>
      <c r="N94" s="7">
        <f t="shared" ca="1" si="22"/>
        <v>0</v>
      </c>
      <c r="O94" s="7">
        <f t="shared" ca="1" si="23"/>
        <v>0</v>
      </c>
      <c r="P94" s="7">
        <f t="shared" ca="1" si="24"/>
        <v>0</v>
      </c>
      <c r="U94" t="e">
        <f t="shared" ca="1" si="25"/>
        <v>#N/A</v>
      </c>
      <c r="V94" t="e">
        <f t="shared" ca="1" si="26"/>
        <v>#N/A</v>
      </c>
      <c r="X94" t="e">
        <f t="shared" ca="1" si="27"/>
        <v>#N/A</v>
      </c>
      <c r="Y94" t="e">
        <f t="shared" ca="1" si="28"/>
        <v>#N/A</v>
      </c>
      <c r="AJ94">
        <v>1.605702911834785</v>
      </c>
      <c r="AK94">
        <v>-6.5440954336325809</v>
      </c>
      <c r="AL94">
        <v>195.39277274866916</v>
      </c>
      <c r="AM94">
        <v>-7.2712171484806456</v>
      </c>
      <c r="AN94">
        <v>217.10308083185461</v>
      </c>
      <c r="AQ94">
        <v>92</v>
      </c>
      <c r="AR94">
        <f t="shared" si="31"/>
        <v>-0.41879396043001149</v>
      </c>
      <c r="AS94">
        <f t="shared" si="32"/>
        <v>11.992689924229149</v>
      </c>
      <c r="BF94">
        <v>1289.0279129901776</v>
      </c>
      <c r="BG94">
        <v>80.39072320471918</v>
      </c>
      <c r="BH94">
        <v>-8.4673009344745271E-15</v>
      </c>
      <c r="BI94">
        <f t="shared" si="33"/>
        <v>80.39072320471918</v>
      </c>
      <c r="BJ94">
        <v>1983.1198661387348</v>
      </c>
      <c r="BK94">
        <v>123.67803569956797</v>
      </c>
      <c r="BL94">
        <v>-1.3026616822268503E-14</v>
      </c>
      <c r="BM94">
        <f t="shared" si="34"/>
        <v>123.67803569956797</v>
      </c>
    </row>
    <row r="95" spans="1:65" x14ac:dyDescent="0.25">
      <c r="A95">
        <v>59</v>
      </c>
      <c r="B95" s="5">
        <v>0</v>
      </c>
      <c r="C95" s="1">
        <f t="shared" ca="1" si="35"/>
        <v>0</v>
      </c>
      <c r="D95" s="46">
        <f t="shared" si="14"/>
        <v>0</v>
      </c>
      <c r="E95" s="46">
        <f t="shared" si="15"/>
        <v>0</v>
      </c>
      <c r="G95" t="e">
        <f t="shared" ca="1" si="16"/>
        <v>#N/A</v>
      </c>
      <c r="H95" t="e">
        <f t="shared" ca="1" si="17"/>
        <v>#N/A</v>
      </c>
      <c r="I95" s="7">
        <f t="shared" si="18"/>
        <v>0</v>
      </c>
      <c r="J95" s="7">
        <f t="shared" si="19"/>
        <v>0</v>
      </c>
      <c r="K95">
        <f t="shared" si="20"/>
        <v>0</v>
      </c>
      <c r="L95" s="15">
        <f t="shared" ca="1" si="21"/>
        <v>0</v>
      </c>
      <c r="M95" s="9">
        <f t="shared" ca="1" si="36"/>
        <v>0</v>
      </c>
      <c r="N95" s="7">
        <f t="shared" ca="1" si="22"/>
        <v>0</v>
      </c>
      <c r="O95" s="7">
        <f t="shared" ca="1" si="23"/>
        <v>0</v>
      </c>
      <c r="P95" s="7">
        <f t="shared" ca="1" si="24"/>
        <v>0</v>
      </c>
      <c r="U95" t="e">
        <f t="shared" ca="1" si="25"/>
        <v>#N/A</v>
      </c>
      <c r="V95" t="e">
        <f t="shared" ca="1" si="26"/>
        <v>#N/A</v>
      </c>
      <c r="X95" t="e">
        <f t="shared" ca="1" si="27"/>
        <v>#N/A</v>
      </c>
      <c r="Y95" t="e">
        <f t="shared" ca="1" si="28"/>
        <v>#N/A</v>
      </c>
      <c r="AJ95">
        <v>1.6231562043547283</v>
      </c>
      <c r="AK95">
        <v>-9.8181432780109645</v>
      </c>
      <c r="AL95">
        <v>195.31894987753211</v>
      </c>
      <c r="AM95">
        <v>-10.909048086678849</v>
      </c>
      <c r="AN95">
        <v>217.02105541948012</v>
      </c>
      <c r="AQ95">
        <v>93</v>
      </c>
      <c r="AR95">
        <f t="shared" si="31"/>
        <v>-0.62803147491532607</v>
      </c>
      <c r="AS95">
        <f t="shared" si="32"/>
        <v>11.983554417054886</v>
      </c>
      <c r="BF95">
        <v>1305.8563685661577</v>
      </c>
      <c r="BG95">
        <v>71.325058560300022</v>
      </c>
      <c r="BH95">
        <v>-9.2370555648813027E-15</v>
      </c>
      <c r="BI95">
        <f t="shared" si="33"/>
        <v>71.325058560300022</v>
      </c>
      <c r="BJ95">
        <v>2009.0097977940886</v>
      </c>
      <c r="BK95">
        <v>109.7308593235385</v>
      </c>
      <c r="BL95">
        <v>-1.4210854715202004E-14</v>
      </c>
      <c r="BM95">
        <f t="shared" si="34"/>
        <v>109.7308593235385</v>
      </c>
    </row>
    <row r="96" spans="1:65" x14ac:dyDescent="0.25">
      <c r="A96">
        <v>60</v>
      </c>
      <c r="B96" s="5">
        <v>0</v>
      </c>
      <c r="C96" s="1">
        <f t="shared" ca="1" si="35"/>
        <v>0</v>
      </c>
      <c r="D96" s="46">
        <f t="shared" si="14"/>
        <v>0</v>
      </c>
      <c r="E96" s="46">
        <f t="shared" si="15"/>
        <v>0</v>
      </c>
      <c r="G96" t="e">
        <f t="shared" ca="1" si="16"/>
        <v>#N/A</v>
      </c>
      <c r="H96" t="e">
        <f t="shared" ca="1" si="17"/>
        <v>#N/A</v>
      </c>
      <c r="I96" s="7">
        <f t="shared" si="18"/>
        <v>0</v>
      </c>
      <c r="J96" s="7">
        <f t="shared" si="19"/>
        <v>0</v>
      </c>
      <c r="K96">
        <f t="shared" si="20"/>
        <v>0</v>
      </c>
      <c r="L96" s="15">
        <f t="shared" ca="1" si="21"/>
        <v>0</v>
      </c>
      <c r="M96" s="9">
        <f t="shared" ca="1" si="36"/>
        <v>0</v>
      </c>
      <c r="N96" s="7">
        <f t="shared" ca="1" si="22"/>
        <v>0</v>
      </c>
      <c r="O96" s="7">
        <f t="shared" ca="1" si="23"/>
        <v>0</v>
      </c>
      <c r="P96" s="7">
        <f t="shared" ca="1" si="24"/>
        <v>0</v>
      </c>
      <c r="U96" t="e">
        <f t="shared" ca="1" si="25"/>
        <v>#N/A</v>
      </c>
      <c r="V96" t="e">
        <f t="shared" ca="1" si="26"/>
        <v>#N/A</v>
      </c>
      <c r="X96" t="e">
        <f t="shared" ca="1" si="27"/>
        <v>#N/A</v>
      </c>
      <c r="Y96" t="e">
        <f t="shared" ca="1" si="28"/>
        <v>#N/A</v>
      </c>
      <c r="AJ96">
        <v>1.6406094968746716</v>
      </c>
      <c r="AK96">
        <v>-13.094565076012374</v>
      </c>
      <c r="AL96">
        <v>195.21522545355282</v>
      </c>
      <c r="AM96">
        <v>-14.549516751124861</v>
      </c>
      <c r="AN96">
        <v>216.90580605950313</v>
      </c>
      <c r="AQ96">
        <v>94</v>
      </c>
      <c r="AR96">
        <f t="shared" si="31"/>
        <v>-0.83707768492950396</v>
      </c>
      <c r="AS96">
        <f t="shared" si="32"/>
        <v>11.970768603117889</v>
      </c>
      <c r="BF96">
        <v>1322.6848241421378</v>
      </c>
      <c r="BG96">
        <v>62.160292808380611</v>
      </c>
      <c r="BH96">
        <v>-3.0790185216271009E-15</v>
      </c>
      <c r="BI96">
        <f t="shared" si="33"/>
        <v>62.160292808380611</v>
      </c>
      <c r="BJ96">
        <v>2034.8997294494427</v>
      </c>
      <c r="BK96">
        <v>95.631219705200934</v>
      </c>
      <c r="BL96">
        <v>-4.736951571734001E-15</v>
      </c>
      <c r="BM96">
        <f t="shared" si="34"/>
        <v>95.631219705200934</v>
      </c>
    </row>
    <row r="97" spans="1:65" x14ac:dyDescent="0.25">
      <c r="A97">
        <v>61</v>
      </c>
      <c r="B97" s="5">
        <v>0</v>
      </c>
      <c r="C97" s="1">
        <f t="shared" ca="1" si="35"/>
        <v>0</v>
      </c>
      <c r="D97" s="46">
        <f t="shared" si="14"/>
        <v>0</v>
      </c>
      <c r="E97" s="46">
        <f t="shared" si="15"/>
        <v>0</v>
      </c>
      <c r="G97" t="e">
        <f t="shared" ca="1" si="16"/>
        <v>#N/A</v>
      </c>
      <c r="H97" t="e">
        <f t="shared" ca="1" si="17"/>
        <v>#N/A</v>
      </c>
      <c r="I97" s="7">
        <f t="shared" si="18"/>
        <v>0</v>
      </c>
      <c r="J97" s="7">
        <f t="shared" si="19"/>
        <v>0</v>
      </c>
      <c r="K97">
        <f t="shared" si="20"/>
        <v>0</v>
      </c>
      <c r="L97" s="15">
        <f t="shared" ca="1" si="21"/>
        <v>0</v>
      </c>
      <c r="M97" s="9">
        <f t="shared" ca="1" si="36"/>
        <v>0</v>
      </c>
      <c r="N97" s="7">
        <f t="shared" ca="1" si="22"/>
        <v>0</v>
      </c>
      <c r="O97" s="7">
        <f t="shared" ca="1" si="23"/>
        <v>0</v>
      </c>
      <c r="P97" s="7">
        <f t="shared" ca="1" si="24"/>
        <v>0</v>
      </c>
      <c r="U97" t="e">
        <f t="shared" ca="1" si="25"/>
        <v>#N/A</v>
      </c>
      <c r="V97" t="e">
        <f t="shared" ca="1" si="26"/>
        <v>#N/A</v>
      </c>
      <c r="X97" t="e">
        <f t="shared" ca="1" si="27"/>
        <v>#N/A</v>
      </c>
      <c r="Y97" t="e">
        <f t="shared" ca="1" si="28"/>
        <v>#N/A</v>
      </c>
      <c r="AJ97">
        <v>1.6580627893946149</v>
      </c>
      <c r="AK97">
        <v>-16.374108775516458</v>
      </c>
      <c r="AL97">
        <v>195.08123084825587</v>
      </c>
      <c r="AM97">
        <v>-18.193454195018287</v>
      </c>
      <c r="AN97">
        <v>216.75692316472873</v>
      </c>
      <c r="AQ97">
        <v>95</v>
      </c>
      <c r="AR97">
        <f t="shared" si="31"/>
        <v>-1.0458689129718988</v>
      </c>
      <c r="AS97">
        <f t="shared" si="32"/>
        <v>11.954336377100947</v>
      </c>
      <c r="BF97">
        <v>1339.5132797181179</v>
      </c>
      <c r="BG97">
        <v>52.886801532999542</v>
      </c>
      <c r="BH97">
        <v>-6.1580370432542018E-15</v>
      </c>
      <c r="BI97">
        <f t="shared" si="33"/>
        <v>52.886801532999542</v>
      </c>
      <c r="BJ97">
        <v>2060.7896611047968</v>
      </c>
      <c r="BK97">
        <v>81.364310050768523</v>
      </c>
      <c r="BL97">
        <v>-9.473903143468002E-15</v>
      </c>
      <c r="BM97">
        <f t="shared" si="34"/>
        <v>81.364310050768523</v>
      </c>
    </row>
    <row r="98" spans="1:65" x14ac:dyDescent="0.25">
      <c r="A98">
        <v>62</v>
      </c>
      <c r="B98" s="5">
        <v>0</v>
      </c>
      <c r="C98" s="1">
        <f t="shared" ca="1" si="35"/>
        <v>0</v>
      </c>
      <c r="D98" s="46">
        <f t="shared" si="14"/>
        <v>0</v>
      </c>
      <c r="E98" s="46">
        <f t="shared" si="15"/>
        <v>0</v>
      </c>
      <c r="G98" t="e">
        <f t="shared" ca="1" si="16"/>
        <v>#N/A</v>
      </c>
      <c r="H98" t="e">
        <f t="shared" ca="1" si="17"/>
        <v>#N/A</v>
      </c>
      <c r="I98" s="7">
        <f t="shared" si="18"/>
        <v>0</v>
      </c>
      <c r="J98" s="7">
        <f t="shared" si="19"/>
        <v>0</v>
      </c>
      <c r="K98">
        <f t="shared" si="20"/>
        <v>0</v>
      </c>
      <c r="L98" s="15">
        <f t="shared" ca="1" si="21"/>
        <v>0</v>
      </c>
      <c r="M98" s="9">
        <f t="shared" ca="1" si="36"/>
        <v>0</v>
      </c>
      <c r="N98" s="7">
        <f t="shared" ca="1" si="22"/>
        <v>0</v>
      </c>
      <c r="O98" s="7">
        <f t="shared" ca="1" si="23"/>
        <v>0</v>
      </c>
      <c r="P98" s="7">
        <f t="shared" ca="1" si="24"/>
        <v>0</v>
      </c>
      <c r="U98" t="e">
        <f t="shared" ca="1" si="25"/>
        <v>#N/A</v>
      </c>
      <c r="V98" t="e">
        <f t="shared" ca="1" si="26"/>
        <v>#N/A</v>
      </c>
      <c r="X98" t="e">
        <f t="shared" ca="1" si="27"/>
        <v>#N/A</v>
      </c>
      <c r="Y98" t="e">
        <f t="shared" ca="1" si="28"/>
        <v>#N/A</v>
      </c>
      <c r="AJ98">
        <v>1.6755160819145583</v>
      </c>
      <c r="AK98">
        <v>-19.657485745373894</v>
      </c>
      <c r="AL98">
        <v>194.91649750046946</v>
      </c>
      <c r="AM98">
        <v>-21.841650828193213</v>
      </c>
      <c r="AN98">
        <v>216.57388611163273</v>
      </c>
      <c r="AQ98">
        <v>96</v>
      </c>
      <c r="AR98">
        <f t="shared" si="31"/>
        <v>-1.2543415592118428</v>
      </c>
      <c r="AS98">
        <f t="shared" si="32"/>
        <v>11.934262744419279</v>
      </c>
      <c r="BF98">
        <v>1356.341735294098</v>
      </c>
      <c r="BG98">
        <v>43.495365575882602</v>
      </c>
      <c r="BH98">
        <v>-3.0790185216271009E-15</v>
      </c>
      <c r="BI98">
        <f t="shared" si="33"/>
        <v>43.495365575882602</v>
      </c>
      <c r="BJ98">
        <v>2086.6795927601506</v>
      </c>
      <c r="BK98">
        <v>66.915947039819386</v>
      </c>
      <c r="BL98">
        <v>-4.736951571734001E-15</v>
      </c>
      <c r="BM98">
        <f t="shared" si="34"/>
        <v>66.915947039819386</v>
      </c>
    </row>
    <row r="99" spans="1:65" x14ac:dyDescent="0.25">
      <c r="A99">
        <v>63</v>
      </c>
      <c r="B99" s="5">
        <v>0</v>
      </c>
      <c r="C99" s="1">
        <f t="shared" ca="1" si="35"/>
        <v>0</v>
      </c>
      <c r="D99" s="46">
        <f t="shared" si="14"/>
        <v>0</v>
      </c>
      <c r="E99" s="46">
        <f t="shared" si="15"/>
        <v>0</v>
      </c>
      <c r="G99" t="e">
        <f t="shared" ca="1" si="16"/>
        <v>#N/A</v>
      </c>
      <c r="H99" t="e">
        <f t="shared" ca="1" si="17"/>
        <v>#N/A</v>
      </c>
      <c r="I99" s="7">
        <f t="shared" si="18"/>
        <v>0</v>
      </c>
      <c r="J99" s="7">
        <f t="shared" si="19"/>
        <v>0</v>
      </c>
      <c r="K99">
        <f t="shared" si="20"/>
        <v>0</v>
      </c>
      <c r="L99" s="15">
        <f t="shared" ca="1" si="21"/>
        <v>0</v>
      </c>
      <c r="M99" s="9">
        <f t="shared" ca="1" si="36"/>
        <v>0</v>
      </c>
      <c r="N99" s="7">
        <f t="shared" ca="1" si="22"/>
        <v>0</v>
      </c>
      <c r="O99" s="7">
        <f t="shared" ca="1" si="23"/>
        <v>0</v>
      </c>
      <c r="P99" s="7">
        <f t="shared" ca="1" si="24"/>
        <v>0</v>
      </c>
      <c r="U99" t="e">
        <f t="shared" ca="1" si="25"/>
        <v>#N/A</v>
      </c>
      <c r="V99" t="e">
        <f t="shared" ca="1" si="26"/>
        <v>#N/A</v>
      </c>
      <c r="X99" t="e">
        <f t="shared" ca="1" si="27"/>
        <v>#N/A</v>
      </c>
      <c r="Y99" t="e">
        <f t="shared" ca="1" si="28"/>
        <v>#N/A</v>
      </c>
      <c r="AJ99">
        <v>1.6929693744345016</v>
      </c>
      <c r="AK99">
        <v>-22.945362353631086</v>
      </c>
      <c r="AL99">
        <v>194.72046080381733</v>
      </c>
      <c r="AM99">
        <v>-25.494847059590096</v>
      </c>
      <c r="AN99">
        <v>216.35606755979703</v>
      </c>
      <c r="AQ99">
        <v>97</v>
      </c>
      <c r="AR99">
        <f t="shared" si="31"/>
        <v>-1.4624321208617683</v>
      </c>
      <c r="AS99">
        <f t="shared" si="32"/>
        <v>11.910553819695865</v>
      </c>
      <c r="BF99">
        <v>1373.1701908700782</v>
      </c>
      <c r="BG99">
        <v>33.507899282978457</v>
      </c>
      <c r="BH99">
        <v>4.9017974864303455E-14</v>
      </c>
      <c r="BI99">
        <f t="shared" si="33"/>
        <v>33.507899282978457</v>
      </c>
      <c r="BJ99">
        <v>2112.5695244155049</v>
      </c>
      <c r="BK99">
        <v>51.550614281505318</v>
      </c>
      <c r="BL99">
        <v>7.5412269022005312E-14</v>
      </c>
      <c r="BM99">
        <f t="shared" si="34"/>
        <v>51.550614281505318</v>
      </c>
    </row>
    <row r="100" spans="1:65" x14ac:dyDescent="0.25">
      <c r="A100">
        <v>64</v>
      </c>
      <c r="B100" s="5">
        <v>0</v>
      </c>
      <c r="C100" s="1">
        <f t="shared" ca="1" si="35"/>
        <v>0</v>
      </c>
      <c r="D100" s="46">
        <f t="shared" si="14"/>
        <v>0</v>
      </c>
      <c r="E100" s="46">
        <f t="shared" si="15"/>
        <v>0</v>
      </c>
      <c r="G100" t="e">
        <f t="shared" ca="1" si="16"/>
        <v>#N/A</v>
      </c>
      <c r="H100" t="e">
        <f t="shared" ca="1" si="17"/>
        <v>#N/A</v>
      </c>
      <c r="I100" s="7">
        <f t="shared" si="18"/>
        <v>0</v>
      </c>
      <c r="J100" s="7">
        <f t="shared" si="19"/>
        <v>0</v>
      </c>
      <c r="K100">
        <f t="shared" si="20"/>
        <v>0</v>
      </c>
      <c r="L100" s="15">
        <f t="shared" ca="1" si="21"/>
        <v>0</v>
      </c>
      <c r="M100" s="9">
        <f t="shared" ca="1" si="36"/>
        <v>0</v>
      </c>
      <c r="N100" s="7">
        <f t="shared" ca="1" si="22"/>
        <v>0</v>
      </c>
      <c r="O100" s="7">
        <f t="shared" ca="1" si="23"/>
        <v>0</v>
      </c>
      <c r="P100" s="7">
        <f t="shared" ca="1" si="24"/>
        <v>0</v>
      </c>
      <c r="U100" t="e">
        <f t="shared" ca="1" si="25"/>
        <v>#N/A</v>
      </c>
      <c r="V100" t="e">
        <f t="shared" ca="1" si="26"/>
        <v>#N/A</v>
      </c>
      <c r="X100" t="e">
        <f t="shared" ca="1" si="27"/>
        <v>#N/A</v>
      </c>
      <c r="Y100" t="e">
        <f t="shared" ca="1" si="28"/>
        <v>#N/A</v>
      </c>
      <c r="AJ100">
        <v>1.7104226669544449</v>
      </c>
      <c r="AK100">
        <v>-26.238352015685035</v>
      </c>
      <c r="AL100">
        <v>194.49246479865985</v>
      </c>
      <c r="AM100">
        <v>-29.153724461872258</v>
      </c>
      <c r="AN100">
        <v>216.10273866517761</v>
      </c>
      <c r="AQ100">
        <v>98</v>
      </c>
      <c r="AR100">
        <f t="shared" si="31"/>
        <v>-1.6700772115207843</v>
      </c>
      <c r="AS100">
        <f t="shared" si="32"/>
        <v>11.883216824898845</v>
      </c>
      <c r="BF100">
        <v>1389.9986464460583</v>
      </c>
      <c r="BG100">
        <v>22.835270401025149</v>
      </c>
      <c r="BH100">
        <v>-9.5979165356159986E-14</v>
      </c>
      <c r="BI100">
        <f t="shared" si="33"/>
        <v>22.835270401025149</v>
      </c>
      <c r="BJ100">
        <v>2138.4594560708588</v>
      </c>
      <c r="BK100">
        <v>35.131185232346382</v>
      </c>
      <c r="BL100">
        <v>-1.4766025439409228E-13</v>
      </c>
      <c r="BM100">
        <f t="shared" si="34"/>
        <v>35.131185232346382</v>
      </c>
    </row>
    <row r="101" spans="1:65" x14ac:dyDescent="0.25">
      <c r="A101">
        <v>65</v>
      </c>
      <c r="B101" s="5">
        <v>0</v>
      </c>
      <c r="C101" s="1">
        <f t="shared" ref="C101:C108" ca="1" si="37">IF(A101&lt;=$B$31,OFFSET($Q$36,MATCH(B101,$Q$36:$Q$47,0)-1,2),0)</f>
        <v>0</v>
      </c>
      <c r="D101" s="46">
        <f t="shared" si="14"/>
        <v>0</v>
      </c>
      <c r="E101" s="46">
        <f t="shared" si="15"/>
        <v>0</v>
      </c>
      <c r="G101" t="e">
        <f t="shared" ca="1" si="16"/>
        <v>#N/A</v>
      </c>
      <c r="H101" t="e">
        <f t="shared" ca="1" si="17"/>
        <v>#N/A</v>
      </c>
      <c r="I101" s="7">
        <f t="shared" si="18"/>
        <v>0</v>
      </c>
      <c r="J101" s="7">
        <f t="shared" si="19"/>
        <v>0</v>
      </c>
      <c r="K101">
        <f t="shared" si="20"/>
        <v>0</v>
      </c>
      <c r="L101" s="15">
        <f t="shared" ca="1" si="21"/>
        <v>0</v>
      </c>
      <c r="M101" s="9">
        <f t="shared" ref="M101:M108" ca="1" si="38">IF(AND(L101&gt;0,K101&lt;=$B$12),MIN((L101*F$35),C$35)-IF($B$2="Whitney",$B$9,B215),MAX(L101*F$35,-1*C$35))</f>
        <v>0</v>
      </c>
      <c r="N101" s="7">
        <f t="shared" ca="1" si="22"/>
        <v>0</v>
      </c>
      <c r="O101" s="7">
        <f t="shared" ca="1" si="23"/>
        <v>0</v>
      </c>
      <c r="P101" s="7">
        <f t="shared" ca="1" si="24"/>
        <v>0</v>
      </c>
      <c r="U101" t="e">
        <f t="shared" ca="1" si="25"/>
        <v>#N/A</v>
      </c>
      <c r="V101" t="e">
        <f t="shared" ca="1" si="26"/>
        <v>#N/A</v>
      </c>
      <c r="X101" t="e">
        <f t="shared" ca="1" si="27"/>
        <v>#N/A</v>
      </c>
      <c r="Y101" t="e">
        <f t="shared" ca="1" si="28"/>
        <v>#N/A</v>
      </c>
      <c r="AJ101">
        <v>1.7278759594743882</v>
      </c>
      <c r="AK101">
        <v>-29.537007789378727</v>
      </c>
      <c r="AL101">
        <v>194.23176758038912</v>
      </c>
      <c r="AM101">
        <v>-32.81889754375414</v>
      </c>
      <c r="AN101">
        <v>215.81307508932125</v>
      </c>
      <c r="AQ101">
        <v>99</v>
      </c>
      <c r="AR101">
        <f t="shared" si="31"/>
        <v>-1.8772135804827697</v>
      </c>
      <c r="AS101">
        <f t="shared" si="32"/>
        <v>11.852260087141653</v>
      </c>
      <c r="BF101">
        <v>1406.8271020220384</v>
      </c>
      <c r="BG101">
        <v>11.795790237635613</v>
      </c>
      <c r="BH101">
        <v>-9.2370555648813027E-15</v>
      </c>
      <c r="BI101">
        <f t="shared" si="33"/>
        <v>11.795790237635613</v>
      </c>
      <c r="BJ101">
        <v>2164.3493877262126</v>
      </c>
      <c r="BK101">
        <v>18.147369596362481</v>
      </c>
      <c r="BL101">
        <v>-1.4210854715202004E-14</v>
      </c>
      <c r="BM101">
        <f t="shared" si="34"/>
        <v>18.147369596362481</v>
      </c>
    </row>
    <row r="102" spans="1:65" x14ac:dyDescent="0.25">
      <c r="A102">
        <v>66</v>
      </c>
      <c r="B102" s="5">
        <v>0</v>
      </c>
      <c r="C102" s="1">
        <f t="shared" ca="1" si="37"/>
        <v>0</v>
      </c>
      <c r="D102" s="46">
        <f t="shared" ref="D102:D108" si="39">IF($E$32*(A102-1)&gt;=360,0,($B$3-$E$31)*COS(RADIANS(($E$32*(A102-1)))))</f>
        <v>0</v>
      </c>
      <c r="E102" s="46">
        <f t="shared" ref="E102:E108" si="40">IF($E$32*(A102-1)&gt;=360,0,($B$3-$E$31)*SIN(RADIANS($E$32*(A102-1))))</f>
        <v>0</v>
      </c>
      <c r="G102" t="e">
        <f t="shared" ref="G102:G108" ca="1" si="41">IF(C102=0,NA(),D102)</f>
        <v>#N/A</v>
      </c>
      <c r="H102" t="e">
        <f t="shared" ref="H102:H108" ca="1" si="42">IF(C102=0,NA(),E102)</f>
        <v>#N/A</v>
      </c>
      <c r="I102" s="7">
        <f t="shared" ref="I102:I108" si="43">D102*COS($B$10)+E102*SIN($B$10)</f>
        <v>0</v>
      </c>
      <c r="J102" s="7">
        <f t="shared" ref="J102:J108" si="44">-1*D102*SIN($B$10)+E102*COS($B$10)</f>
        <v>0</v>
      </c>
      <c r="K102">
        <f t="shared" ref="K102:K108" si="45">IF(B102=0,0,$B$3-J102)</f>
        <v>0</v>
      </c>
      <c r="L102" s="15">
        <f t="shared" ref="L102:L108" ca="1" si="46">IF($B$11&lt;=0,-1,IF(C102=0,0,(($B$11-K102)/$B$11)*$B$13)*IF($B$11&lt;0,-1,1))</f>
        <v>0</v>
      </c>
      <c r="M102" s="9">
        <f t="shared" ca="1" si="38"/>
        <v>0</v>
      </c>
      <c r="N102" s="7">
        <f t="shared" ref="N102:N108" ca="1" si="47">M102*C102</f>
        <v>0</v>
      </c>
      <c r="O102" s="7">
        <f t="shared" ref="O102:O108" ca="1" si="48">N102*J102</f>
        <v>0</v>
      </c>
      <c r="P102" s="7">
        <f t="shared" ref="P102:P108" ca="1" si="49">N102*I102</f>
        <v>0</v>
      </c>
      <c r="U102" t="e">
        <f t="shared" ref="U102:U108" ca="1" si="50">IF(AND(N102&lt;0,C102&gt;0),D102,NA())</f>
        <v>#N/A</v>
      </c>
      <c r="V102" t="e">
        <f t="shared" ref="V102:V108" ca="1" si="51">IF(AND(N102&lt;0,C102&gt;0),E102,NA())</f>
        <v>#N/A</v>
      </c>
      <c r="X102" t="e">
        <f t="shared" ref="X102:X108" ca="1" si="52">IF(AND(N102&gt;=0,C102&gt;0),D102,NA())</f>
        <v>#N/A</v>
      </c>
      <c r="Y102" t="e">
        <f t="shared" ref="Y102:Y108" ca="1" si="53">IF(AND(N102&gt;=0,C102&gt;0),E102,NA())</f>
        <v>#N/A</v>
      </c>
      <c r="AJ102">
        <v>1.7453292519943315</v>
      </c>
      <c r="AK102">
        <v>-32.841815572220483</v>
      </c>
      <c r="AL102">
        <v>193.9375473043186</v>
      </c>
      <c r="AM102">
        <v>-36.490906191356089</v>
      </c>
      <c r="AN102">
        <v>215.48616367146511</v>
      </c>
      <c r="AQ102">
        <v>100</v>
      </c>
      <c r="AR102">
        <f t="shared" si="31"/>
        <v>-2.0837781320031636</v>
      </c>
      <c r="AS102">
        <f t="shared" si="32"/>
        <v>11.817693036146496</v>
      </c>
      <c r="BF102">
        <v>1423.6555575980185</v>
      </c>
      <c r="BG102">
        <v>9.9148420662837165E-3</v>
      </c>
      <c r="BH102">
        <v>-9.2370555648813027E-15</v>
      </c>
      <c r="BI102">
        <f t="shared" si="33"/>
        <v>9.9148420662837165E-3</v>
      </c>
      <c r="BJ102">
        <v>2190.2393193815669</v>
      </c>
      <c r="BK102">
        <v>1.5253603178898024E-2</v>
      </c>
      <c r="BL102">
        <v>-1.4210854715202004E-14</v>
      </c>
      <c r="BM102">
        <f t="shared" si="34"/>
        <v>1.5253603178898024E-2</v>
      </c>
    </row>
    <row r="103" spans="1:65" x14ac:dyDescent="0.25">
      <c r="A103">
        <v>67</v>
      </c>
      <c r="B103" s="5">
        <v>0</v>
      </c>
      <c r="C103" s="1">
        <f t="shared" ca="1" si="37"/>
        <v>0</v>
      </c>
      <c r="D103" s="46">
        <f t="shared" si="39"/>
        <v>0</v>
      </c>
      <c r="E103" s="46">
        <f t="shared" si="40"/>
        <v>0</v>
      </c>
      <c r="G103" t="e">
        <f t="shared" ca="1" si="41"/>
        <v>#N/A</v>
      </c>
      <c r="H103" t="e">
        <f t="shared" ca="1" si="42"/>
        <v>#N/A</v>
      </c>
      <c r="I103" s="7">
        <f t="shared" si="43"/>
        <v>0</v>
      </c>
      <c r="J103" s="7">
        <f t="shared" si="44"/>
        <v>0</v>
      </c>
      <c r="K103">
        <f t="shared" si="45"/>
        <v>0</v>
      </c>
      <c r="L103" s="15">
        <f t="shared" ca="1" si="46"/>
        <v>0</v>
      </c>
      <c r="M103" s="9">
        <f t="shared" ca="1" si="38"/>
        <v>0</v>
      </c>
      <c r="N103" s="7">
        <f t="shared" ca="1" si="47"/>
        <v>0</v>
      </c>
      <c r="O103" s="7">
        <f t="shared" ca="1" si="48"/>
        <v>0</v>
      </c>
      <c r="P103" s="7">
        <f t="shared" ca="1" si="49"/>
        <v>0</v>
      </c>
      <c r="U103" t="e">
        <f t="shared" ca="1" si="50"/>
        <v>#N/A</v>
      </c>
      <c r="V103" t="e">
        <f t="shared" ca="1" si="51"/>
        <v>#N/A</v>
      </c>
      <c r="X103" t="e">
        <f t="shared" ca="1" si="52"/>
        <v>#N/A</v>
      </c>
      <c r="Y103" t="e">
        <f t="shared" ca="1" si="53"/>
        <v>#N/A</v>
      </c>
      <c r="AJ103">
        <v>1.7627825445142749</v>
      </c>
      <c r="AK103">
        <v>-36.153187974723053</v>
      </c>
      <c r="AL103">
        <v>193.60890878760847</v>
      </c>
      <c r="AM103">
        <v>-40.170208860803392</v>
      </c>
      <c r="AN103">
        <v>215.12100976400941</v>
      </c>
      <c r="AQ103">
        <v>101</v>
      </c>
      <c r="AR103">
        <f t="shared" si="31"/>
        <v>-2.2897079445185375</v>
      </c>
      <c r="AS103">
        <f t="shared" si="32"/>
        <v>11.779526201371969</v>
      </c>
    </row>
    <row r="104" spans="1:65" x14ac:dyDescent="0.25">
      <c r="A104">
        <v>68</v>
      </c>
      <c r="B104" s="5">
        <v>0</v>
      </c>
      <c r="C104" s="1">
        <f t="shared" ca="1" si="37"/>
        <v>0</v>
      </c>
      <c r="D104" s="46">
        <f t="shared" si="39"/>
        <v>0</v>
      </c>
      <c r="E104" s="46">
        <f t="shared" si="40"/>
        <v>0</v>
      </c>
      <c r="G104" t="e">
        <f t="shared" ca="1" si="41"/>
        <v>#N/A</v>
      </c>
      <c r="H104" t="e">
        <f t="shared" ca="1" si="42"/>
        <v>#N/A</v>
      </c>
      <c r="I104" s="7">
        <f t="shared" si="43"/>
        <v>0</v>
      </c>
      <c r="J104" s="7">
        <f t="shared" si="44"/>
        <v>0</v>
      </c>
      <c r="K104">
        <f t="shared" si="45"/>
        <v>0</v>
      </c>
      <c r="L104" s="15">
        <f t="shared" ca="1" si="46"/>
        <v>0</v>
      </c>
      <c r="M104" s="9">
        <f t="shared" ca="1" si="38"/>
        <v>0</v>
      </c>
      <c r="N104" s="7">
        <f t="shared" ca="1" si="47"/>
        <v>0</v>
      </c>
      <c r="O104" s="7">
        <f t="shared" ca="1" si="48"/>
        <v>0</v>
      </c>
      <c r="P104" s="7">
        <f t="shared" ca="1" si="49"/>
        <v>0</v>
      </c>
      <c r="U104" t="e">
        <f t="shared" ca="1" si="50"/>
        <v>#N/A</v>
      </c>
      <c r="V104" t="e">
        <f t="shared" ca="1" si="51"/>
        <v>#N/A</v>
      </c>
      <c r="X104" t="e">
        <f t="shared" ca="1" si="52"/>
        <v>#N/A</v>
      </c>
      <c r="Y104" t="e">
        <f t="shared" ca="1" si="53"/>
        <v>#N/A</v>
      </c>
      <c r="AJ104">
        <v>1.7802358370342182</v>
      </c>
      <c r="AK104">
        <v>-39.471458888874075</v>
      </c>
      <c r="AL104">
        <v>193.24489052422808</v>
      </c>
      <c r="AM104">
        <v>-43.857176543193418</v>
      </c>
      <c r="AN104">
        <v>214.71654502692007</v>
      </c>
      <c r="AQ104">
        <v>102</v>
      </c>
      <c r="AR104">
        <f t="shared" si="31"/>
        <v>-2.4949402898131119</v>
      </c>
      <c r="AS104">
        <f t="shared" si="32"/>
        <v>11.737771208805668</v>
      </c>
      <c r="AV104">
        <v>1138.9324460784158</v>
      </c>
      <c r="AW104">
        <v>111.24521823954352</v>
      </c>
      <c r="AX104">
        <v>111.24521823954349</v>
      </c>
      <c r="AY104">
        <f t="shared" ref="AY104:AY105" si="54">SQRT(POWER(AW104,2)+POWER(AX104,2))</f>
        <v>157.32449638351721</v>
      </c>
      <c r="BF104">
        <f>BF105</f>
        <v>1138.9324460784158</v>
      </c>
      <c r="BG104">
        <v>0</v>
      </c>
      <c r="BH104">
        <v>0</v>
      </c>
      <c r="BI104">
        <v>0</v>
      </c>
    </row>
    <row r="105" spans="1:65" x14ac:dyDescent="0.25">
      <c r="A105">
        <v>69</v>
      </c>
      <c r="B105" s="5">
        <v>0</v>
      </c>
      <c r="C105" s="1">
        <f t="shared" ca="1" si="37"/>
        <v>0</v>
      </c>
      <c r="D105" s="46">
        <f t="shared" si="39"/>
        <v>0</v>
      </c>
      <c r="E105" s="46">
        <f t="shared" si="40"/>
        <v>0</v>
      </c>
      <c r="G105" t="e">
        <f t="shared" ca="1" si="41"/>
        <v>#N/A</v>
      </c>
      <c r="H105" t="e">
        <f t="shared" ca="1" si="42"/>
        <v>#N/A</v>
      </c>
      <c r="I105" s="7">
        <f t="shared" si="43"/>
        <v>0</v>
      </c>
      <c r="J105" s="7">
        <f t="shared" si="44"/>
        <v>0</v>
      </c>
      <c r="K105">
        <f t="shared" si="45"/>
        <v>0</v>
      </c>
      <c r="L105" s="15">
        <f t="shared" ca="1" si="46"/>
        <v>0</v>
      </c>
      <c r="M105" s="9">
        <f t="shared" ca="1" si="38"/>
        <v>0</v>
      </c>
      <c r="N105" s="7">
        <f t="shared" ca="1" si="47"/>
        <v>0</v>
      </c>
      <c r="O105" s="7">
        <f t="shared" ca="1" si="48"/>
        <v>0</v>
      </c>
      <c r="P105" s="7">
        <f t="shared" ca="1" si="49"/>
        <v>0</v>
      </c>
      <c r="U105" t="e">
        <f t="shared" ca="1" si="50"/>
        <v>#N/A</v>
      </c>
      <c r="V105" t="e">
        <f t="shared" ca="1" si="51"/>
        <v>#N/A</v>
      </c>
      <c r="X105" t="e">
        <f t="shared" ca="1" si="52"/>
        <v>#N/A</v>
      </c>
      <c r="Y105" t="e">
        <f t="shared" ca="1" si="53"/>
        <v>#N/A</v>
      </c>
      <c r="AJ105">
        <v>1.7976891295541615</v>
      </c>
      <c r="AK105">
        <v>-42.796878835690478</v>
      </c>
      <c r="AL105">
        <v>192.84447218861757</v>
      </c>
      <c r="AM105">
        <v>-47.552087595211638</v>
      </c>
      <c r="AN105">
        <v>214.27163576513064</v>
      </c>
      <c r="AQ105">
        <v>103</v>
      </c>
      <c r="AR105">
        <f t="shared" si="31"/>
        <v>-2.6994126521263802</v>
      </c>
      <c r="AS105">
        <f t="shared" si="32"/>
        <v>11.692440777422823</v>
      </c>
      <c r="AV105">
        <f>AV104</f>
        <v>1138.9324460784158</v>
      </c>
      <c r="AW105">
        <v>0</v>
      </c>
      <c r="AX105">
        <v>0</v>
      </c>
      <c r="AY105">
        <f t="shared" si="54"/>
        <v>0</v>
      </c>
      <c r="BF105">
        <v>1138.9324460784158</v>
      </c>
      <c r="BG105">
        <v>157.86084715753225</v>
      </c>
      <c r="BH105">
        <v>-3.8487731520338765E-15</v>
      </c>
      <c r="BI105">
        <f t="shared" ref="BI105" si="55">SQRT(POWER(BG105,2)+POWER(BH105,2))</f>
        <v>157.86084715753225</v>
      </c>
    </row>
    <row r="106" spans="1:65" x14ac:dyDescent="0.25">
      <c r="A106">
        <v>70</v>
      </c>
      <c r="B106" s="5">
        <v>0</v>
      </c>
      <c r="C106" s="1">
        <f t="shared" ca="1" si="37"/>
        <v>0</v>
      </c>
      <c r="D106" s="46">
        <f t="shared" si="39"/>
        <v>0</v>
      </c>
      <c r="E106" s="46">
        <f t="shared" si="40"/>
        <v>0</v>
      </c>
      <c r="G106" t="e">
        <f t="shared" ca="1" si="41"/>
        <v>#N/A</v>
      </c>
      <c r="H106" t="e">
        <f t="shared" ca="1" si="42"/>
        <v>#N/A</v>
      </c>
      <c r="I106" s="7">
        <f t="shared" si="43"/>
        <v>0</v>
      </c>
      <c r="J106" s="7">
        <f t="shared" si="44"/>
        <v>0</v>
      </c>
      <c r="K106">
        <f t="shared" si="45"/>
        <v>0</v>
      </c>
      <c r="L106" s="15">
        <f t="shared" ca="1" si="46"/>
        <v>0</v>
      </c>
      <c r="M106" s="9">
        <f t="shared" ca="1" si="38"/>
        <v>0</v>
      </c>
      <c r="N106" s="7">
        <f t="shared" ca="1" si="47"/>
        <v>0</v>
      </c>
      <c r="O106" s="7">
        <f t="shared" ca="1" si="48"/>
        <v>0</v>
      </c>
      <c r="P106" s="7">
        <f t="shared" ca="1" si="49"/>
        <v>0</v>
      </c>
      <c r="U106" t="e">
        <f t="shared" ca="1" si="50"/>
        <v>#N/A</v>
      </c>
      <c r="V106" t="e">
        <f t="shared" ca="1" si="51"/>
        <v>#N/A</v>
      </c>
      <c r="X106" t="e">
        <f t="shared" ca="1" si="52"/>
        <v>#N/A</v>
      </c>
      <c r="Y106" t="e">
        <f t="shared" ca="1" si="53"/>
        <v>#N/A</v>
      </c>
      <c r="AJ106">
        <v>1.8151424220741048</v>
      </c>
      <c r="AK106">
        <v>-46.129611060940107</v>
      </c>
      <c r="AL106">
        <v>192.40658235522886</v>
      </c>
      <c r="AM106">
        <v>-51.255123401044564</v>
      </c>
      <c r="AN106">
        <v>213.78509150580985</v>
      </c>
      <c r="AQ106">
        <v>104</v>
      </c>
      <c r="AR106">
        <f t="shared" si="31"/>
        <v>-2.9030627471960133</v>
      </c>
      <c r="AS106">
        <f t="shared" si="32"/>
        <v>11.643548715311958</v>
      </c>
    </row>
    <row r="107" spans="1:65" x14ac:dyDescent="0.25">
      <c r="A107">
        <v>71</v>
      </c>
      <c r="B107" s="5">
        <v>0</v>
      </c>
      <c r="C107" s="1">
        <f t="shared" ca="1" si="37"/>
        <v>0</v>
      </c>
      <c r="D107" s="46">
        <f t="shared" si="39"/>
        <v>0</v>
      </c>
      <c r="E107" s="46">
        <f t="shared" si="40"/>
        <v>0</v>
      </c>
      <c r="G107" t="e">
        <f t="shared" ca="1" si="41"/>
        <v>#N/A</v>
      </c>
      <c r="H107" t="e">
        <f t="shared" ca="1" si="42"/>
        <v>#N/A</v>
      </c>
      <c r="I107" s="7">
        <f t="shared" si="43"/>
        <v>0</v>
      </c>
      <c r="J107" s="7">
        <f t="shared" si="44"/>
        <v>0</v>
      </c>
      <c r="K107">
        <f t="shared" si="45"/>
        <v>0</v>
      </c>
      <c r="L107" s="15">
        <f t="shared" ca="1" si="46"/>
        <v>0</v>
      </c>
      <c r="M107" s="9">
        <f t="shared" ca="1" si="38"/>
        <v>0</v>
      </c>
      <c r="N107" s="7">
        <f t="shared" ca="1" si="47"/>
        <v>0</v>
      </c>
      <c r="O107" s="7">
        <f t="shared" ca="1" si="48"/>
        <v>0</v>
      </c>
      <c r="P107" s="7">
        <f t="shared" ca="1" si="49"/>
        <v>0</v>
      </c>
      <c r="U107" t="e">
        <f t="shared" ca="1" si="50"/>
        <v>#N/A</v>
      </c>
      <c r="V107" t="e">
        <f t="shared" ca="1" si="51"/>
        <v>#N/A</v>
      </c>
      <c r="X107" t="e">
        <f t="shared" ca="1" si="52"/>
        <v>#N/A</v>
      </c>
      <c r="Y107" t="e">
        <f t="shared" ca="1" si="53"/>
        <v>#N/A</v>
      </c>
      <c r="AJ107">
        <v>1.8325957145940481</v>
      </c>
      <c r="AK107">
        <v>-49.469728429861618</v>
      </c>
      <c r="AL107">
        <v>191.93010647165826</v>
      </c>
      <c r="AM107">
        <v>-54.966364922068465</v>
      </c>
      <c r="AN107">
        <v>213.25567385739805</v>
      </c>
      <c r="AQ107">
        <v>105</v>
      </c>
      <c r="AR107">
        <f t="shared" si="31"/>
        <v>-3.1058285412302502</v>
      </c>
      <c r="AS107">
        <f t="shared" si="32"/>
        <v>11.59110991546882</v>
      </c>
    </row>
    <row r="108" spans="1:65" ht="15.75" thickBot="1" x14ac:dyDescent="0.3">
      <c r="A108">
        <v>72</v>
      </c>
      <c r="B108" s="5">
        <v>0</v>
      </c>
      <c r="C108" s="12">
        <f t="shared" ca="1" si="37"/>
        <v>0</v>
      </c>
      <c r="D108" s="46">
        <f t="shared" si="39"/>
        <v>0</v>
      </c>
      <c r="E108" s="46">
        <f t="shared" si="40"/>
        <v>0</v>
      </c>
      <c r="G108" t="e">
        <f t="shared" ca="1" si="41"/>
        <v>#N/A</v>
      </c>
      <c r="H108" t="e">
        <f t="shared" ca="1" si="42"/>
        <v>#N/A</v>
      </c>
      <c r="I108" s="7">
        <f t="shared" si="43"/>
        <v>0</v>
      </c>
      <c r="J108" s="7">
        <f t="shared" si="44"/>
        <v>0</v>
      </c>
      <c r="K108">
        <f t="shared" si="45"/>
        <v>0</v>
      </c>
      <c r="L108" s="15">
        <f t="shared" ca="1" si="46"/>
        <v>0</v>
      </c>
      <c r="M108" s="9">
        <f t="shared" ca="1" si="38"/>
        <v>0</v>
      </c>
      <c r="N108" s="7">
        <f t="shared" ca="1" si="47"/>
        <v>0</v>
      </c>
      <c r="O108" s="7">
        <f t="shared" ca="1" si="48"/>
        <v>0</v>
      </c>
      <c r="P108" s="7">
        <f t="shared" ca="1" si="49"/>
        <v>0</v>
      </c>
      <c r="U108" t="e">
        <f t="shared" ca="1" si="50"/>
        <v>#N/A</v>
      </c>
      <c r="V108" t="e">
        <f t="shared" ca="1" si="51"/>
        <v>#N/A</v>
      </c>
      <c r="X108" t="e">
        <f t="shared" ca="1" si="52"/>
        <v>#N/A</v>
      </c>
      <c r="Y108" t="e">
        <f t="shared" ca="1" si="53"/>
        <v>#N/A</v>
      </c>
      <c r="AJ108">
        <v>1.8500490071139915</v>
      </c>
      <c r="AK108">
        <v>-52.817211119974694</v>
      </c>
      <c r="AL108">
        <v>191.4138949722614</v>
      </c>
      <c r="AM108">
        <v>-58.685790133305211</v>
      </c>
      <c r="AN108">
        <v>212.68210552473488</v>
      </c>
      <c r="AQ108">
        <v>106</v>
      </c>
      <c r="AR108">
        <f t="shared" si="31"/>
        <v>-3.3076482698039884</v>
      </c>
      <c r="AS108">
        <f t="shared" si="32"/>
        <v>11.535140351259827</v>
      </c>
    </row>
    <row r="109" spans="1:65" ht="15.75" thickTop="1" x14ac:dyDescent="0.25">
      <c r="C109" s="13">
        <f ca="1">SUM(C37:C108)</f>
        <v>4.8</v>
      </c>
      <c r="L109" s="15">
        <f ca="1">MIN(L37:L108)</f>
        <v>-1.0694163337818788E-2</v>
      </c>
      <c r="M109" s="9"/>
      <c r="N109" s="7">
        <f ca="1">SUM(N37:N108)</f>
        <v>-180.88675038291973</v>
      </c>
      <c r="O109" s="7">
        <f t="shared" ref="O109:P109" ca="1" si="56">SUM(O37:O108)</f>
        <v>842.52025936847815</v>
      </c>
      <c r="P109" s="7">
        <f t="shared" ca="1" si="56"/>
        <v>1.9895196601282805E-13</v>
      </c>
      <c r="AJ109">
        <v>1.8675022996339348</v>
      </c>
      <c r="AK109">
        <v>-56.171945078834064</v>
      </c>
      <c r="AL109">
        <v>190.8567713913713</v>
      </c>
      <c r="AM109">
        <v>-62.413272309815625</v>
      </c>
      <c r="AN109">
        <v>212.06307932374588</v>
      </c>
      <c r="AQ109">
        <v>107</v>
      </c>
      <c r="AR109">
        <f t="shared" si="31"/>
        <v>-3.5084604566728399</v>
      </c>
      <c r="AS109">
        <f t="shared" si="32"/>
        <v>11.475657071556427</v>
      </c>
    </row>
    <row r="110" spans="1:65" x14ac:dyDescent="0.25">
      <c r="M110" s="9"/>
      <c r="AJ110">
        <v>1.8849555921538781</v>
      </c>
      <c r="AK110">
        <v>-60.018280195390133</v>
      </c>
      <c r="AL110">
        <v>190.01947692324651</v>
      </c>
      <c r="AM110">
        <v>-66.686977994877921</v>
      </c>
      <c r="AN110">
        <v>211.13275213694055</v>
      </c>
      <c r="AQ110">
        <v>108</v>
      </c>
      <c r="AR110">
        <f t="shared" si="31"/>
        <v>-3.7082039324993681</v>
      </c>
      <c r="AS110">
        <f t="shared" si="32"/>
        <v>11.412678195541844</v>
      </c>
    </row>
    <row r="111" spans="1:65" x14ac:dyDescent="0.25">
      <c r="M111" s="9"/>
      <c r="AJ111">
        <v>1.9024088846738214</v>
      </c>
      <c r="AK111">
        <v>-63.40516811119894</v>
      </c>
      <c r="AL111">
        <v>189.3428399693899</v>
      </c>
      <c r="AM111">
        <v>-70.450186790221039</v>
      </c>
      <c r="AN111">
        <v>210.38093329932209</v>
      </c>
      <c r="AQ111">
        <v>109</v>
      </c>
      <c r="AR111">
        <f t="shared" si="31"/>
        <v>-3.9068178534858795</v>
      </c>
      <c r="AS111">
        <f t="shared" si="32"/>
        <v>11.346222907191802</v>
      </c>
    </row>
    <row r="112" spans="1:65" x14ac:dyDescent="0.25">
      <c r="A112" t="s">
        <v>21</v>
      </c>
      <c r="B112" s="10">
        <f ca="1">H31+N109</f>
        <v>8.2617209449848588</v>
      </c>
      <c r="M112" s="9"/>
      <c r="AJ112">
        <v>1.9198621771937647</v>
      </c>
      <c r="AK112">
        <v>-66.793557557357317</v>
      </c>
      <c r="AL112">
        <v>188.62131987082225</v>
      </c>
      <c r="AM112">
        <v>-74.215063952619246</v>
      </c>
      <c r="AN112">
        <v>209.57924430091362</v>
      </c>
      <c r="AQ112">
        <v>110</v>
      </c>
      <c r="AR112">
        <f t="shared" si="31"/>
        <v>-4.1042417199080248</v>
      </c>
      <c r="AS112">
        <f t="shared" si="32"/>
        <v>11.276311449430901</v>
      </c>
    </row>
    <row r="113" spans="1:45" x14ac:dyDescent="0.25">
      <c r="A113" t="s">
        <v>56</v>
      </c>
      <c r="B113" s="10">
        <f ca="1">I31+O109</f>
        <v>2694.9818857096125</v>
      </c>
      <c r="M113" s="9"/>
      <c r="AJ113">
        <v>1.937315469713708</v>
      </c>
      <c r="AK113">
        <v>-70.677650042716735</v>
      </c>
      <c r="AL113">
        <v>187.2939220992308</v>
      </c>
      <c r="AM113">
        <v>-78.530722269685256</v>
      </c>
      <c r="AN113">
        <v>208.1043578880342</v>
      </c>
      <c r="AQ113">
        <v>111</v>
      </c>
      <c r="AR113">
        <f t="shared" si="31"/>
        <v>-4.3004153945436032</v>
      </c>
      <c r="AS113">
        <f t="shared" si="32"/>
        <v>11.202965117966421</v>
      </c>
    </row>
    <row r="114" spans="1:45" x14ac:dyDescent="0.25">
      <c r="A114" t="s">
        <v>57</v>
      </c>
      <c r="B114" s="10">
        <f ca="1">J31+P109</f>
        <v>1.0142997552975428E-12</v>
      </c>
      <c r="M114" s="9"/>
      <c r="AJ114">
        <v>1.9547687622336514</v>
      </c>
      <c r="AK114">
        <v>-74.641494607172092</v>
      </c>
      <c r="AL114">
        <v>185.75623078619549</v>
      </c>
      <c r="AM114">
        <v>-82.934994007968996</v>
      </c>
      <c r="AN114">
        <v>206.39581198466163</v>
      </c>
      <c r="AQ114">
        <v>112</v>
      </c>
      <c r="AR114">
        <f t="shared" si="31"/>
        <v>-4.4952791209909453</v>
      </c>
      <c r="AS114">
        <f t="shared" si="32"/>
        <v>11.126206254801449</v>
      </c>
    </row>
    <row r="115" spans="1:45" x14ac:dyDescent="0.25">
      <c r="M115" s="9"/>
      <c r="AJ115">
        <v>1.9722220547535947</v>
      </c>
      <c r="AK115">
        <v>-78.569983441941929</v>
      </c>
      <c r="AL115">
        <v>184.1289974312005</v>
      </c>
      <c r="AM115">
        <v>-87.2999816021577</v>
      </c>
      <c r="AN115">
        <v>204.58777492355611</v>
      </c>
      <c r="AQ115">
        <v>113</v>
      </c>
      <c r="AR115">
        <f t="shared" si="31"/>
        <v>-4.688773541871285</v>
      </c>
      <c r="AS115">
        <f t="shared" si="32"/>
        <v>11.046058241429282</v>
      </c>
    </row>
    <row r="116" spans="1:45" x14ac:dyDescent="0.25">
      <c r="A116" s="2" t="s">
        <v>58</v>
      </c>
      <c r="B116">
        <f ca="1">((B113*COS(-1*B10))+(B114*SIN(-1*B10)))</f>
        <v>2694.9818857096125</v>
      </c>
      <c r="C116" t="s">
        <v>59</v>
      </c>
      <c r="M116" s="9"/>
      <c r="AJ116">
        <v>1.989675347273538</v>
      </c>
      <c r="AK116">
        <v>-82.460156767857399</v>
      </c>
      <c r="AL116">
        <v>182.41344801492497</v>
      </c>
      <c r="AM116">
        <v>-91.622396408730438</v>
      </c>
      <c r="AN116">
        <v>202.68160890547219</v>
      </c>
      <c r="AQ116">
        <v>114</v>
      </c>
      <c r="AR116">
        <f t="shared" si="31"/>
        <v>-4.8808397169096036</v>
      </c>
      <c r="AS116">
        <f t="shared" si="32"/>
        <v>10.962545491711211</v>
      </c>
    </row>
    <row r="117" spans="1:45" x14ac:dyDescent="0.25">
      <c r="A117" s="2" t="s">
        <v>60</v>
      </c>
      <c r="B117">
        <f ca="1">(-1*(B113)*SIN(-1*B10))+((B114)*COS(-1*B10))</f>
        <v>3.5394917664077267E-13</v>
      </c>
      <c r="C117" t="s">
        <v>59</v>
      </c>
      <c r="M117" s="9"/>
      <c r="AJ117">
        <v>2.0071286397934811</v>
      </c>
      <c r="AK117">
        <v>-86.145236868634129</v>
      </c>
      <c r="AL117">
        <v>180.60559184539477</v>
      </c>
      <c r="AM117">
        <v>-95.716929854037915</v>
      </c>
      <c r="AN117">
        <v>200.6728798282164</v>
      </c>
      <c r="AQ117">
        <v>115</v>
      </c>
      <c r="AR117">
        <f t="shared" si="31"/>
        <v>-5.0714191408883922</v>
      </c>
      <c r="AS117">
        <f t="shared" si="32"/>
        <v>10.875693444439801</v>
      </c>
    </row>
    <row r="118" spans="1:45" x14ac:dyDescent="0.25">
      <c r="M118" s="9"/>
      <c r="AJ118">
        <v>2.0245819323134242</v>
      </c>
      <c r="AK118">
        <v>-89.051381777774395</v>
      </c>
      <c r="AL118">
        <v>178.71983044517782</v>
      </c>
      <c r="AM118">
        <v>-98.945979753082653</v>
      </c>
      <c r="AN118">
        <v>198.57758938353089</v>
      </c>
      <c r="AQ118">
        <v>116</v>
      </c>
      <c r="AR118">
        <f t="shared" si="31"/>
        <v>-5.2604537614689306</v>
      </c>
      <c r="AS118">
        <f t="shared" si="32"/>
        <v>10.785528555590004</v>
      </c>
    </row>
    <row r="119" spans="1:45" x14ac:dyDescent="0.25">
      <c r="M119" s="9"/>
      <c r="AJ119">
        <v>2.0420352248333673</v>
      </c>
      <c r="AK119">
        <v>-91.924727768633616</v>
      </c>
      <c r="AL119">
        <v>176.8033936112611</v>
      </c>
      <c r="AM119">
        <v>-102.1385864095929</v>
      </c>
      <c r="AN119">
        <v>196.44821512362344</v>
      </c>
      <c r="AQ119">
        <v>117</v>
      </c>
      <c r="AR119">
        <f t="shared" si="31"/>
        <v>-5.4478859968745601</v>
      </c>
      <c r="AS119">
        <f t="shared" si="32"/>
        <v>10.692078290260415</v>
      </c>
    </row>
    <row r="120" spans="1:45" x14ac:dyDescent="0.25">
      <c r="A120" t="s">
        <v>110</v>
      </c>
      <c r="M120" s="9"/>
      <c r="AJ120">
        <v>2.0594885173533104</v>
      </c>
      <c r="AK120">
        <v>-95.236554009985582</v>
      </c>
      <c r="AL120">
        <v>174.67568056848953</v>
      </c>
      <c r="AM120">
        <v>-105.81839334442842</v>
      </c>
      <c r="AN120">
        <v>194.0840895205439</v>
      </c>
      <c r="AQ120">
        <v>118</v>
      </c>
      <c r="AR120">
        <f t="shared" si="31"/>
        <v>-5.6336587534306908</v>
      </c>
      <c r="AS120">
        <f t="shared" si="32"/>
        <v>10.595371114307122</v>
      </c>
    </row>
    <row r="121" spans="1:45" ht="18" x14ac:dyDescent="0.35">
      <c r="A121" t="s">
        <v>88</v>
      </c>
      <c r="B121" t="s">
        <v>89</v>
      </c>
      <c r="M121" s="9"/>
      <c r="AJ121">
        <v>2.0769418098732535</v>
      </c>
      <c r="AK121">
        <v>-98.002655001920246</v>
      </c>
      <c r="AL121">
        <v>172.69747129451332</v>
      </c>
      <c r="AM121">
        <v>-108.89183889102249</v>
      </c>
      <c r="AN121">
        <v>191.88607921612589</v>
      </c>
      <c r="AQ121">
        <v>119</v>
      </c>
      <c r="AR121">
        <f t="shared" si="31"/>
        <v>-5.817715442956044</v>
      </c>
      <c r="AS121">
        <f t="shared" si="32"/>
        <v>10.49543648567275</v>
      </c>
    </row>
    <row r="122" spans="1:45" ht="18" x14ac:dyDescent="0.35">
      <c r="A122" t="s">
        <v>90</v>
      </c>
      <c r="B122" t="s">
        <v>91</v>
      </c>
      <c r="M122" s="9"/>
      <c r="AJ122">
        <v>2.0943951023931966</v>
      </c>
      <c r="AK122">
        <v>-100.73469936375295</v>
      </c>
      <c r="AL122">
        <v>170.69546023617599</v>
      </c>
      <c r="AM122">
        <v>-111.92744373750328</v>
      </c>
      <c r="AN122">
        <v>189.66162248463999</v>
      </c>
      <c r="AQ122">
        <v>120</v>
      </c>
      <c r="AR122">
        <f t="shared" si="31"/>
        <v>-5.9999999999999973</v>
      </c>
      <c r="AS122">
        <f t="shared" si="32"/>
        <v>10.392304845413264</v>
      </c>
    </row>
    <row r="123" spans="1:45" ht="18" x14ac:dyDescent="0.35">
      <c r="A123" t="s">
        <v>92</v>
      </c>
      <c r="M123" s="9"/>
      <c r="AJ123">
        <v>2.1118483949131397</v>
      </c>
      <c r="AK123">
        <v>-103.43343833362222</v>
      </c>
      <c r="AL123">
        <v>168.67055992299944</v>
      </c>
      <c r="AM123">
        <v>-114.92604259291357</v>
      </c>
      <c r="AN123">
        <v>187.41173324777716</v>
      </c>
      <c r="AQ123">
        <v>121</v>
      </c>
      <c r="AR123">
        <f t="shared" si="31"/>
        <v>-6.1804568989206512</v>
      </c>
      <c r="AS123">
        <f t="shared" si="32"/>
        <v>10.286007608425347</v>
      </c>
    </row>
    <row r="124" spans="1:45" ht="18.75" x14ac:dyDescent="0.35">
      <c r="A124" t="s">
        <v>93</v>
      </c>
      <c r="B124" t="s">
        <v>94</v>
      </c>
      <c r="M124" s="9"/>
      <c r="AJ124">
        <v>2.1293016874330828</v>
      </c>
      <c r="AK124">
        <v>-106.09967076057636</v>
      </c>
      <c r="AL124">
        <v>166.62359723724728</v>
      </c>
      <c r="AM124">
        <v>-117.88852306730706</v>
      </c>
      <c r="AN124">
        <v>185.13733026360808</v>
      </c>
      <c r="AQ124">
        <v>122</v>
      </c>
      <c r="AR124">
        <f t="shared" si="31"/>
        <v>-6.3590311707984579</v>
      </c>
      <c r="AS124">
        <f t="shared" si="32"/>
        <v>10.176577153877112</v>
      </c>
    </row>
    <row r="125" spans="1:45" x14ac:dyDescent="0.25">
      <c r="M125" s="9"/>
      <c r="AJ125">
        <v>2.1467549799530259</v>
      </c>
      <c r="AK125">
        <v>-108.73423627568602</v>
      </c>
      <c r="AL125">
        <v>164.55530876298437</v>
      </c>
      <c r="AM125">
        <v>-120.81581808409557</v>
      </c>
      <c r="AN125">
        <v>182.83923195887152</v>
      </c>
      <c r="AQ125">
        <v>123</v>
      </c>
      <c r="AR125">
        <f t="shared" si="31"/>
        <v>-6.5356684201803255</v>
      </c>
      <c r="AS125">
        <f t="shared" si="32"/>
        <v>10.064046815345087</v>
      </c>
    </row>
    <row r="126" spans="1:45" x14ac:dyDescent="0.25">
      <c r="A126" t="s">
        <v>95</v>
      </c>
      <c r="B126" s="4">
        <f>B5*1000</f>
        <v>5000</v>
      </c>
      <c r="C126" t="s">
        <v>96</v>
      </c>
      <c r="M126" s="9"/>
      <c r="AJ126">
        <v>2.164208272472969</v>
      </c>
      <c r="AK126">
        <v>-111.33800792202852</v>
      </c>
      <c r="AL126">
        <v>162.4663366775971</v>
      </c>
      <c r="AM126">
        <v>-123.70889769114279</v>
      </c>
      <c r="AN126">
        <v>180.51815186399676</v>
      </c>
      <c r="AQ126">
        <v>124</v>
      </c>
      <c r="AR126">
        <f t="shared" si="31"/>
        <v>-6.7103148416489606</v>
      </c>
      <c r="AS126">
        <f t="shared" si="32"/>
        <v>9.9484508706605013</v>
      </c>
    </row>
    <row r="127" spans="1:45" x14ac:dyDescent="0.25">
      <c r="A127" t="s">
        <v>3</v>
      </c>
      <c r="B127" s="4">
        <f>B7*1000</f>
        <v>4074280.688047891</v>
      </c>
      <c r="C127" t="s">
        <v>96</v>
      </c>
      <c r="M127" s="9"/>
      <c r="AJ127">
        <v>2.1816615649929121</v>
      </c>
      <c r="AK127">
        <v>-113.91188432797459</v>
      </c>
      <c r="AL127">
        <v>160.35722532316382</v>
      </c>
      <c r="AM127">
        <v>-126.56876036441621</v>
      </c>
      <c r="AN127">
        <v>178.17469480351534</v>
      </c>
      <c r="AQ127">
        <v>125</v>
      </c>
      <c r="AR127">
        <f t="shared" si="31"/>
        <v>-6.8829172362125544</v>
      </c>
      <c r="AS127">
        <f t="shared" si="32"/>
        <v>9.8298245314678994</v>
      </c>
    </row>
    <row r="128" spans="1:45" ht="18" x14ac:dyDescent="0.35">
      <c r="A128" t="s">
        <v>88</v>
      </c>
      <c r="B128" s="1">
        <f>(2*0.85*B126)/B127</f>
        <v>2.0862578331765852E-3</v>
      </c>
      <c r="C128" t="s">
        <v>97</v>
      </c>
      <c r="M128" s="9"/>
      <c r="AJ128">
        <v>2.1991148575128552</v>
      </c>
      <c r="AK128">
        <v>-116.45678147411334</v>
      </c>
      <c r="AL128">
        <v>158.2284184817718</v>
      </c>
      <c r="AM128">
        <v>-129.39642386012594</v>
      </c>
      <c r="AN128">
        <v>175.80935386863533</v>
      </c>
      <c r="AQ128">
        <v>126</v>
      </c>
      <c r="AR128">
        <f t="shared" si="31"/>
        <v>-7.0534230275096768</v>
      </c>
      <c r="AS128">
        <f t="shared" si="32"/>
        <v>9.7082039324993694</v>
      </c>
    </row>
    <row r="129" spans="1:45" ht="18" x14ac:dyDescent="0.35">
      <c r="A129" t="s">
        <v>98</v>
      </c>
      <c r="B129" s="1">
        <v>3.0000000000000001E-3</v>
      </c>
      <c r="C129" t="s">
        <v>97</v>
      </c>
      <c r="M129" s="9"/>
      <c r="AJ129">
        <v>2.2165681500327983</v>
      </c>
      <c r="AK129">
        <v>-118.97362411136859</v>
      </c>
      <c r="AL129">
        <v>156.08025738626847</v>
      </c>
      <c r="AM129">
        <v>-132.19291567929844</v>
      </c>
      <c r="AN129">
        <v>173.42250820696498</v>
      </c>
      <c r="AQ129">
        <v>127</v>
      </c>
      <c r="AR129">
        <f t="shared" si="31"/>
        <v>-7.2217802778245801</v>
      </c>
      <c r="AS129">
        <f t="shared" si="32"/>
        <v>9.5836261205675122</v>
      </c>
    </row>
    <row r="130" spans="1:45" ht="18" x14ac:dyDescent="0.35">
      <c r="A130" t="s">
        <v>99</v>
      </c>
      <c r="B130" s="1">
        <f>B129/B128</f>
        <v>1.4379814193110203</v>
      </c>
      <c r="C130" t="s">
        <v>100</v>
      </c>
      <c r="M130" s="9"/>
      <c r="AJ130">
        <v>2.2340214425527414</v>
      </c>
      <c r="AK130">
        <v>-121.46333695311237</v>
      </c>
      <c r="AL130">
        <v>153.91297958718343</v>
      </c>
      <c r="AM130">
        <v>-134.95926328123596</v>
      </c>
      <c r="AN130">
        <v>171.01442176353714</v>
      </c>
      <c r="AQ130">
        <v>128</v>
      </c>
      <c r="AR130">
        <f t="shared" si="31"/>
        <v>-7.3879377039078999</v>
      </c>
      <c r="AS130">
        <f t="shared" si="32"/>
        <v>9.4561290432806651</v>
      </c>
    </row>
    <row r="131" spans="1:45" ht="18" x14ac:dyDescent="0.35">
      <c r="A131" t="s">
        <v>101</v>
      </c>
      <c r="B131" s="7">
        <f>B3</f>
        <v>12</v>
      </c>
      <c r="C131" t="s">
        <v>0</v>
      </c>
      <c r="M131" s="9"/>
      <c r="AJ131">
        <v>2.2514747350726845</v>
      </c>
      <c r="AK131">
        <v>-123.92683567608248</v>
      </c>
      <c r="AL131">
        <v>151.72671861934563</v>
      </c>
      <c r="AM131">
        <v>-137.69648408453608</v>
      </c>
      <c r="AN131">
        <v>168.58524291038404</v>
      </c>
      <c r="AQ131">
        <v>129</v>
      </c>
      <c r="AR131">
        <f t="shared" ref="AR131:AR194" si="57">$B$3*COS(RADIANS(AQ131))</f>
        <v>-7.5518446925980474</v>
      </c>
      <c r="AS131">
        <f t="shared" ref="AS131:AS194" si="58">$B$3*SIN(RADIANS(AQ131))</f>
        <v>9.3257515374836526</v>
      </c>
    </row>
    <row r="132" spans="1:45" x14ac:dyDescent="0.25">
      <c r="B132" s="1"/>
      <c r="M132" s="9"/>
      <c r="AJ132">
        <v>2.2689280275926276</v>
      </c>
      <c r="AK132">
        <v>-126.36501786396632</v>
      </c>
      <c r="AL132">
        <v>149.52150456607376</v>
      </c>
      <c r="AM132">
        <v>-140.40557540440702</v>
      </c>
      <c r="AN132">
        <v>166.13500507341527</v>
      </c>
      <c r="AQ132">
        <v>130</v>
      </c>
      <c r="AR132">
        <f t="shared" si="57"/>
        <v>-7.7134513162384728</v>
      </c>
      <c r="AS132">
        <f t="shared" si="58"/>
        <v>9.1925333174277366</v>
      </c>
    </row>
    <row r="133" spans="1:45" x14ac:dyDescent="0.25">
      <c r="A133" t="s">
        <v>102</v>
      </c>
      <c r="B133" s="9">
        <f>B11</f>
        <v>4.6415760081129758</v>
      </c>
      <c r="C133" t="s">
        <v>0</v>
      </c>
      <c r="D133" t="s">
        <v>103</v>
      </c>
      <c r="J133" s="1" t="s">
        <v>114</v>
      </c>
      <c r="K133" t="s">
        <v>115</v>
      </c>
      <c r="M133" s="9"/>
      <c r="AJ133">
        <v>2.2863813201125707</v>
      </c>
      <c r="AK133">
        <v>-128.77875394713178</v>
      </c>
      <c r="AL133">
        <v>147.29726547100418</v>
      </c>
      <c r="AM133">
        <v>-143.08750438570198</v>
      </c>
      <c r="AN133">
        <v>163.66362830111575</v>
      </c>
      <c r="AQ133">
        <v>131</v>
      </c>
      <c r="AR133">
        <f t="shared" si="57"/>
        <v>-7.8727083478860855</v>
      </c>
      <c r="AS133">
        <f t="shared" si="58"/>
        <v>9.0565149626732655</v>
      </c>
    </row>
    <row r="134" spans="1:45" ht="18" x14ac:dyDescent="0.35">
      <c r="A134" t="s">
        <v>104</v>
      </c>
      <c r="B134" s="1">
        <f>(((B128/B129)*B133)-B133)*-1</f>
        <v>1.4137345730429089</v>
      </c>
      <c r="C134" t="s">
        <v>0</v>
      </c>
      <c r="D134" t="s">
        <v>105</v>
      </c>
      <c r="M134" s="9"/>
      <c r="AJ134">
        <v>2.3038346126325138</v>
      </c>
      <c r="AK134">
        <v>-131.1688782637915</v>
      </c>
      <c r="AL134">
        <v>145.05382964519353</v>
      </c>
      <c r="AM134">
        <v>-145.74319807087943</v>
      </c>
      <c r="AN134">
        <v>161.1709218279928</v>
      </c>
      <c r="AQ134">
        <v>132</v>
      </c>
      <c r="AR134">
        <f t="shared" si="57"/>
        <v>-8.0295672763062989</v>
      </c>
      <c r="AS134">
        <f t="shared" si="58"/>
        <v>8.9177379057287318</v>
      </c>
    </row>
    <row r="135" spans="1:45" x14ac:dyDescent="0.25">
      <c r="A135" t="s">
        <v>106</v>
      </c>
      <c r="B135" s="1">
        <f>B131-B134</f>
        <v>10.586265426957091</v>
      </c>
      <c r="C135" t="s">
        <v>0</v>
      </c>
      <c r="D135" t="s">
        <v>107</v>
      </c>
      <c r="J135">
        <f>IF(B11&lt;=0,0,IF(B135&lt;(-1*$B$3),0,SQRT(POWER($B$3,2)-POWER(B135,2))))</f>
        <v>5.6507507740133969</v>
      </c>
      <c r="K135">
        <f>-1*J135</f>
        <v>-5.6507507740133969</v>
      </c>
      <c r="M135" s="9"/>
      <c r="AJ135">
        <v>2.3212879051524569</v>
      </c>
      <c r="AK135">
        <v>-133.5361803475723</v>
      </c>
      <c r="AL135">
        <v>142.79092886327965</v>
      </c>
      <c r="AM135">
        <v>-148.37353371952477</v>
      </c>
      <c r="AN135">
        <v>158.65658762586628</v>
      </c>
      <c r="AQ135">
        <v>133</v>
      </c>
      <c r="AR135">
        <f t="shared" si="57"/>
        <v>-8.1839803207499813</v>
      </c>
      <c r="AS135">
        <f t="shared" si="58"/>
        <v>8.7762444194300464</v>
      </c>
    </row>
    <row r="136" spans="1:45" x14ac:dyDescent="0.25">
      <c r="A136" t="s">
        <v>108</v>
      </c>
      <c r="B136" s="1">
        <f>B131-B133</f>
        <v>7.3584239918870242</v>
      </c>
      <c r="C136" t="s">
        <v>0</v>
      </c>
      <c r="D136" t="s">
        <v>109</v>
      </c>
      <c r="J136">
        <f>IF(B11&lt;=0,0,IF(B136&lt;(-1*$B$3),0,SQRT(POWER($B$3,2)-POWER(B136,2))))</f>
        <v>9.4791136904048905</v>
      </c>
      <c r="K136">
        <f>-1*J136</f>
        <v>-9.4791136904048905</v>
      </c>
      <c r="M136" s="9"/>
      <c r="AJ136">
        <v>2.3387411976724</v>
      </c>
      <c r="AK136">
        <v>-135.88139649661869</v>
      </c>
      <c r="AL136">
        <v>140.50820237618342</v>
      </c>
      <c r="AM136">
        <v>-150.97932944068742</v>
      </c>
      <c r="AN136">
        <v>156.12022486242603</v>
      </c>
      <c r="AQ136">
        <v>134</v>
      </c>
      <c r="AR136">
        <f t="shared" si="57"/>
        <v>-8.3359004455079688</v>
      </c>
      <c r="AS136">
        <f t="shared" si="58"/>
        <v>8.632077604063813</v>
      </c>
    </row>
    <row r="137" spans="1:45" x14ac:dyDescent="0.25">
      <c r="B137" s="9"/>
      <c r="M137" s="9"/>
      <c r="AJ137">
        <v>2.3561944901923431</v>
      </c>
      <c r="AK137">
        <v>-138.20520175454635</v>
      </c>
      <c r="AL137">
        <v>138.20520175454624</v>
      </c>
      <c r="AM137">
        <v>-153.56133528282928</v>
      </c>
      <c r="AN137">
        <v>153.56133528282916</v>
      </c>
      <c r="AQ137">
        <v>135</v>
      </c>
      <c r="AR137">
        <f t="shared" si="57"/>
        <v>-8.4852813742385695</v>
      </c>
      <c r="AS137">
        <f t="shared" si="58"/>
        <v>8.4852813742385713</v>
      </c>
    </row>
    <row r="138" spans="1:45" x14ac:dyDescent="0.25">
      <c r="M138" s="9"/>
      <c r="AJ138">
        <v>2.3736477827122862</v>
      </c>
      <c r="AK138">
        <v>-140.5082023761826</v>
      </c>
      <c r="AL138">
        <v>135.88139649662006</v>
      </c>
      <c r="AM138">
        <v>-156.12022486242509</v>
      </c>
      <c r="AN138">
        <v>150.97932944068896</v>
      </c>
      <c r="AQ138">
        <v>136</v>
      </c>
      <c r="AR138">
        <f t="shared" si="57"/>
        <v>-8.6320776040638147</v>
      </c>
      <c r="AS138">
        <f t="shared" si="58"/>
        <v>8.3359004455079653</v>
      </c>
    </row>
    <row r="139" spans="1:45" ht="15.75" thickBot="1" x14ac:dyDescent="0.3">
      <c r="A139" t="s">
        <v>111</v>
      </c>
      <c r="E139" t="s">
        <v>126</v>
      </c>
      <c r="J139" s="1"/>
      <c r="K139" s="1"/>
      <c r="L139" s="1" t="s">
        <v>117</v>
      </c>
      <c r="M139" s="9"/>
      <c r="N139" s="1"/>
      <c r="O139" s="1" t="s">
        <v>118</v>
      </c>
      <c r="P139" s="1"/>
      <c r="Q139" s="1"/>
      <c r="R139" s="1" t="s">
        <v>119</v>
      </c>
      <c r="S139" s="1"/>
      <c r="AJ139">
        <v>2.3911010752322293</v>
      </c>
      <c r="AK139">
        <v>-142.79092886327896</v>
      </c>
      <c r="AL139">
        <v>133.53618034757301</v>
      </c>
      <c r="AM139">
        <v>-158.65658762586551</v>
      </c>
      <c r="AN139">
        <v>148.37353371952557</v>
      </c>
      <c r="AQ139">
        <v>137</v>
      </c>
      <c r="AR139">
        <f t="shared" si="57"/>
        <v>-8.7762444194300464</v>
      </c>
      <c r="AS139">
        <f t="shared" si="58"/>
        <v>8.1839803207499831</v>
      </c>
    </row>
    <row r="140" spans="1:45" x14ac:dyDescent="0.25">
      <c r="A140" t="s">
        <v>112</v>
      </c>
      <c r="B140">
        <f>ATAN2(J136,B136)</f>
        <v>0.66010778702481321</v>
      </c>
      <c r="C140" t="s">
        <v>17</v>
      </c>
      <c r="D140">
        <f>B140/(2*PI())</f>
        <v>0.10505941727845111</v>
      </c>
      <c r="E140" s="1" t="s">
        <v>122</v>
      </c>
      <c r="F140" s="1">
        <f>((-2*B129*0.85*B126*B136)/(B133*B128))-((POWER(B129,2)*0.85*B126*POWER(B136,2))/(POWER(B133,2)*POWER(B128,2)))</f>
        <v>-41464.092538875542</v>
      </c>
      <c r="G140" s="1"/>
      <c r="I140" t="s">
        <v>127</v>
      </c>
      <c r="J140" s="1">
        <f>((-1*F142*POWER(B3,4)*SIN(8*PI()*D140))/32)+((F140*POWER(B3,2)*SIN(4*PI()*D140))/4)-((F141*POWER(B3,3)*POWER(COS(2*PI()*D140),3))/3)+((PI()*F142*POWER(B3,4)*D140)/4)+(PI()*F140*POWER(B3,2)*D140)</f>
        <v>-6439716.8115294147</v>
      </c>
      <c r="K140" s="1">
        <f>((-1*F142*POWER(B3,4)*SIN(8*PI()*D145))/32)+((F140*POWER(B3,2)*SIN(4*PI()*D145))/4)-((F141*POWER(B3,3)*POWER(COS(2*PI()*D145),3))/3)+((PI()*F142*POWER(B3,4)*D145)/4)+(PI()*F140*POWER(B3,2)*D145)</f>
        <v>-6372188.8469105847</v>
      </c>
      <c r="L140" s="19">
        <f>K140-J140</f>
        <v>67527.96461883001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34293436.365869321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34919572.492331848</v>
      </c>
      <c r="O140" s="42">
        <f>N140-M140</f>
        <v>626136.12646252662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-8565322.2855151389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-8311646.2830707766</v>
      </c>
      <c r="R140" s="19">
        <f>Q140-P140</f>
        <v>253676.00244436227</v>
      </c>
      <c r="S140" s="1"/>
      <c r="AJ140">
        <v>2.4085543677521724</v>
      </c>
      <c r="AK140">
        <v>-145.05382964318048</v>
      </c>
      <c r="AL140">
        <v>131.16887826209626</v>
      </c>
      <c r="AM140">
        <v>-161.1709218257561</v>
      </c>
      <c r="AN140">
        <v>145.74319806899584</v>
      </c>
      <c r="AQ140">
        <v>138</v>
      </c>
      <c r="AR140">
        <f t="shared" si="57"/>
        <v>-8.9177379057287283</v>
      </c>
      <c r="AS140">
        <f t="shared" si="58"/>
        <v>8.0295672763063006</v>
      </c>
    </row>
    <row r="141" spans="1:45" x14ac:dyDescent="0.25">
      <c r="A141" t="s">
        <v>113</v>
      </c>
      <c r="B141">
        <f>IF(B140&lt;0,(2*PI())+ATAN2(K136,B136),ATAN2(K136,B136))</f>
        <v>2.4814848665649798</v>
      </c>
      <c r="C141" t="s">
        <v>17</v>
      </c>
      <c r="D141">
        <f>B141/(2*PI())</f>
        <v>0.39494058272154886</v>
      </c>
      <c r="E141" s="1" t="s">
        <v>123</v>
      </c>
      <c r="F141" s="1">
        <f>((2*POWER(B129,2)*0.85*B126*B136)/(POWER(B133,2)*POWER(B128,2)))+((2*B129*0.85*B126)/(B133*B128))</f>
        <v>8636.4909049924627</v>
      </c>
      <c r="G141" s="1" t="s">
        <v>14</v>
      </c>
      <c r="I141" t="s">
        <v>128</v>
      </c>
      <c r="J141" s="1">
        <f>((-1*F142*POWER(B3,4)*SIN(8*PI()*D146))/32)+((F140*POWER(B3,2)*SIN(4*PI()*D146))/4)-((F141*POWER(B3,3)*POWER(COS(2*PI()*D146),3))/3)+((PI()*F142*POWER(B3,4)*D146)/4)+(PI()*F140*POWER(B3,2)*D146)</f>
        <v>-6328383.8619858138</v>
      </c>
      <c r="K141" s="1">
        <f>((-1*F142*POWER(B3,4)*SIN(8*PI()*D141))/32)+((F140*POWER(B3,2)*SIN(4*PI()*D141))/4)-((F141*POWER(B3,3)*POWER(COS(2*PI()*D141),3))/3)+((PI()*F142*POWER(B3,4)*D141)/4)+(PI()*F140*POWER(B3,2)*D141)</f>
        <v>-6260855.8973669838</v>
      </c>
      <c r="L141" s="41">
        <f>K141-J141</f>
        <v>67527.96461883001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35407443.404419199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36033579.530881718</v>
      </c>
      <c r="O141" s="43">
        <f>N141-M141</f>
        <v>626136.12646251917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-8311646.2830707766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-8565322.2855151389</v>
      </c>
      <c r="R141" s="41">
        <f>Q141-P141</f>
        <v>-253676.00244436227</v>
      </c>
      <c r="S141" s="1"/>
      <c r="AJ141">
        <v>2.4260076602721155</v>
      </c>
      <c r="AK141">
        <v>-147.29726546877933</v>
      </c>
      <c r="AL141">
        <v>128.77875394536258</v>
      </c>
      <c r="AM141">
        <v>-163.66362829864369</v>
      </c>
      <c r="AN141">
        <v>143.08750438373619</v>
      </c>
      <c r="AQ141">
        <v>139</v>
      </c>
      <c r="AR141">
        <f t="shared" si="57"/>
        <v>-9.0565149626732637</v>
      </c>
      <c r="AS141">
        <f t="shared" si="58"/>
        <v>7.8727083478860873</v>
      </c>
    </row>
    <row r="142" spans="1:45" x14ac:dyDescent="0.25">
      <c r="E142" s="1" t="s">
        <v>124</v>
      </c>
      <c r="F142" s="1">
        <f>(-1*POWER(B129,2)*0.85*B126)/(POWER(B133,2)*POWER(B128,2))</f>
        <v>-407.91018157358491</v>
      </c>
      <c r="G142" s="9" t="s">
        <v>125</v>
      </c>
      <c r="J142" s="1"/>
      <c r="K142" s="1"/>
      <c r="L142" s="41">
        <f>L140+L141</f>
        <v>135055.92923766002</v>
      </c>
      <c r="M142" s="9"/>
      <c r="N142" s="1"/>
      <c r="O142" s="43">
        <f>O140+O141</f>
        <v>1252272.2529250458</v>
      </c>
      <c r="P142" s="1"/>
      <c r="Q142" s="1"/>
      <c r="R142" s="41">
        <f>R140+R141</f>
        <v>0</v>
      </c>
      <c r="S142" s="1"/>
      <c r="AJ142">
        <v>2.4434609527920585</v>
      </c>
      <c r="AK142">
        <v>-149.52150456607376</v>
      </c>
      <c r="AL142">
        <v>126.36501786396704</v>
      </c>
      <c r="AM142">
        <v>-166.13500507341527</v>
      </c>
      <c r="AN142">
        <v>140.40557540440781</v>
      </c>
      <c r="AQ142">
        <v>140</v>
      </c>
      <c r="AR142">
        <f t="shared" si="57"/>
        <v>-9.1925333174277348</v>
      </c>
      <c r="AS142">
        <f t="shared" si="58"/>
        <v>7.7134513162384737</v>
      </c>
    </row>
    <row r="143" spans="1:45" x14ac:dyDescent="0.25">
      <c r="F143" s="1">
        <f>F140+(F141*B136)+(F142*(POWER(B136,2)))</f>
        <v>0</v>
      </c>
      <c r="J143" s="1"/>
      <c r="K143" s="1"/>
      <c r="L143" s="41"/>
      <c r="M143" s="9"/>
      <c r="N143" s="1"/>
      <c r="O143" s="41"/>
      <c r="P143" s="1"/>
      <c r="Q143" s="1"/>
      <c r="R143" s="41"/>
      <c r="S143" s="1"/>
      <c r="AJ143">
        <v>2.4609142453120016</v>
      </c>
      <c r="AK143">
        <v>-151.7267186193443</v>
      </c>
      <c r="AL143">
        <v>123.92683567608232</v>
      </c>
      <c r="AM143">
        <v>-168.58524291038256</v>
      </c>
      <c r="AN143">
        <v>137.69648408453591</v>
      </c>
      <c r="AQ143">
        <v>141</v>
      </c>
      <c r="AR143">
        <f t="shared" si="57"/>
        <v>-9.3257515374836508</v>
      </c>
      <c r="AS143">
        <f t="shared" si="58"/>
        <v>7.5518446925980491</v>
      </c>
    </row>
    <row r="144" spans="1:45" x14ac:dyDescent="0.25">
      <c r="A144" t="s">
        <v>116</v>
      </c>
      <c r="B144" s="1"/>
      <c r="C144" s="1"/>
      <c r="E144" s="1"/>
      <c r="F144" s="1">
        <f>F140+(F141*B135)+(F142*POWER(B135,2))</f>
        <v>4249.9999999999927</v>
      </c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J144">
        <v>2.4783675378319447</v>
      </c>
      <c r="AK144">
        <v>-153.91297958718221</v>
      </c>
      <c r="AL144">
        <v>121.46333695311303</v>
      </c>
      <c r="AM144">
        <v>-171.01442176353578</v>
      </c>
      <c r="AN144">
        <v>134.9592632812367</v>
      </c>
      <c r="AQ144">
        <v>142</v>
      </c>
      <c r="AR144">
        <f t="shared" si="57"/>
        <v>-9.4561290432806633</v>
      </c>
      <c r="AS144">
        <f t="shared" si="58"/>
        <v>7.3879377039079008</v>
      </c>
    </row>
    <row r="145" spans="1:45" x14ac:dyDescent="0.25">
      <c r="A145" t="s">
        <v>112</v>
      </c>
      <c r="B145">
        <f>ATAN2(J135,B135)</f>
        <v>1.0804902838941781</v>
      </c>
      <c r="C145" t="s">
        <v>17</v>
      </c>
      <c r="D145">
        <f>B145/(2*PI())</f>
        <v>0.17196536964452375</v>
      </c>
      <c r="E145" s="1"/>
      <c r="F145" s="1"/>
      <c r="G145" s="1"/>
      <c r="J145" s="1">
        <f>(0.2125*B126*POWER(B3,2)*SIN(4*PI()*D145))+(0.85*PI()*B126*POWER(B3,2)*D145)</f>
        <v>457748.26542660769</v>
      </c>
      <c r="K145" s="1">
        <f>(0.2125*B126*POWER(B3,2)*SIN(4*PI()*D146))+(0.85*PI()*B126*POWER(B3,2)*D146)</f>
        <v>503579.08657186897</v>
      </c>
      <c r="L145" s="41">
        <f>K145-J145</f>
        <v>45830.821145261289</v>
      </c>
      <c r="M145" s="9">
        <f>(-1*17*B126*POWER(B3,3)*POWER(COS(2*PI()*D145),3))/60</f>
        <v>-255614.88193182214</v>
      </c>
      <c r="N145" s="1">
        <f>(-1*17*B126*POWER(B3,3)*POWER(COS(2*PI()*D146),3))/60</f>
        <v>255614.8819318219</v>
      </c>
      <c r="O145" s="43">
        <f>N145-M145</f>
        <v>511229.76386364404</v>
      </c>
      <c r="P145" s="1">
        <f>((17*B126*POWER(B3,3)*SIN(2*PI()*D145))/20)-((17*B126*POWER(B3,3)*POWER(SIN(2*PI()*D145),3))/60)</f>
        <v>4798071.9508023765</v>
      </c>
      <c r="Q145" s="1">
        <f>((17*B126*POWER(B3,3)*SIN(2*PI()*D146))/20)-((17*B126*POWER(B3,3)*POWER(SIN(2*PI()*D146),3))/60)</f>
        <v>4798071.9508023765</v>
      </c>
      <c r="R145" s="41">
        <f>Q145-P145</f>
        <v>0</v>
      </c>
      <c r="S145" s="1"/>
      <c r="V145" t="s">
        <v>155</v>
      </c>
      <c r="AJ145">
        <v>2.4958208303518878</v>
      </c>
      <c r="AK145">
        <v>-156.08025738626694</v>
      </c>
      <c r="AL145">
        <v>118.97362411136834</v>
      </c>
      <c r="AM145">
        <v>-173.42250820696327</v>
      </c>
      <c r="AN145">
        <v>132.19291567929815</v>
      </c>
      <c r="AQ145">
        <v>143</v>
      </c>
      <c r="AR145">
        <f t="shared" si="57"/>
        <v>-9.5836261205675157</v>
      </c>
      <c r="AS145">
        <f t="shared" si="58"/>
        <v>7.2217802778245783</v>
      </c>
    </row>
    <row r="146" spans="1:45" x14ac:dyDescent="0.25">
      <c r="A146" t="s">
        <v>113</v>
      </c>
      <c r="B146">
        <f>IF(B145&lt;0,(2*PI())+ATAN2(K135,B135),ATAN2(K135,B135))</f>
        <v>2.061102369695615</v>
      </c>
      <c r="C146" t="s">
        <v>17</v>
      </c>
      <c r="D146">
        <f>B146/(2*PI())</f>
        <v>0.32803463035547625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J146">
        <v>2.5132741228718309</v>
      </c>
      <c r="AK146">
        <v>-158.22841847931747</v>
      </c>
      <c r="AL146">
        <v>116.45678147267529</v>
      </c>
      <c r="AM146">
        <v>-175.80935386590829</v>
      </c>
      <c r="AN146">
        <v>129.3964238585281</v>
      </c>
      <c r="AQ146">
        <v>144</v>
      </c>
      <c r="AR146">
        <f t="shared" si="57"/>
        <v>-9.7082039324993676</v>
      </c>
      <c r="AS146">
        <f t="shared" si="58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180.88675038292132</v>
      </c>
      <c r="M147" s="40" t="s">
        <v>22</v>
      </c>
      <c r="N147" s="1"/>
      <c r="O147" s="45">
        <f>(O142+O145)/1000</f>
        <v>1763.5020167886898</v>
      </c>
      <c r="P147" s="35" t="s">
        <v>59</v>
      </c>
      <c r="Q147" s="1"/>
      <c r="R147" s="44">
        <f>(R145+R142)/1000</f>
        <v>0</v>
      </c>
      <c r="S147" s="35" t="s">
        <v>59</v>
      </c>
      <c r="V147" s="10">
        <f>AE262+AE263</f>
        <v>180.8825334742348</v>
      </c>
      <c r="Y147" s="10">
        <f>AF262+AF263</f>
        <v>1763.4641970108191</v>
      </c>
      <c r="AB147" s="10">
        <f>AG262+AG263</f>
        <v>0</v>
      </c>
      <c r="AJ147">
        <v>2.530727415391774</v>
      </c>
      <c r="AK147">
        <v>-160.3572253231653</v>
      </c>
      <c r="AL147">
        <v>113.91188432797622</v>
      </c>
      <c r="AM147">
        <v>-178.17469480351699</v>
      </c>
      <c r="AN147">
        <v>126.56876036441803</v>
      </c>
      <c r="AQ147">
        <v>145</v>
      </c>
      <c r="AR147">
        <f t="shared" si="57"/>
        <v>-9.8298245314679029</v>
      </c>
      <c r="AS147">
        <f t="shared" si="58"/>
        <v>6.8829172362125508</v>
      </c>
    </row>
    <row r="148" spans="1:45" x14ac:dyDescent="0.25">
      <c r="C148" s="38"/>
      <c r="E148" s="39"/>
      <c r="F148" s="1"/>
      <c r="G148" s="1"/>
      <c r="M148" s="9"/>
      <c r="AJ148">
        <v>2.5481807079117171</v>
      </c>
      <c r="AK148">
        <v>-162.46633667759792</v>
      </c>
      <c r="AL148">
        <v>111.33800792202979</v>
      </c>
      <c r="AM148">
        <v>-180.5181518639977</v>
      </c>
      <c r="AN148">
        <v>123.7088976911442</v>
      </c>
      <c r="AQ148">
        <v>146</v>
      </c>
      <c r="AR148">
        <f t="shared" si="57"/>
        <v>-9.9484508706604995</v>
      </c>
      <c r="AS148">
        <f t="shared" si="58"/>
        <v>6.7103148416489624</v>
      </c>
    </row>
    <row r="149" spans="1:45" x14ac:dyDescent="0.25">
      <c r="C149" s="38"/>
      <c r="E149" s="39"/>
      <c r="F149" s="1"/>
      <c r="G149" s="1"/>
      <c r="J149" t="s">
        <v>132</v>
      </c>
      <c r="L149" s="10">
        <f ca="1">N109</f>
        <v>-180.88675038291973</v>
      </c>
      <c r="O149" s="10">
        <f ca="1">O109</f>
        <v>842.52025936847815</v>
      </c>
      <c r="R149" s="10">
        <f ca="1">P109</f>
        <v>1.9895196601282805E-13</v>
      </c>
      <c r="T149" t="s">
        <v>132</v>
      </c>
      <c r="V149" s="10">
        <f ca="1">L149</f>
        <v>-180.88675038291973</v>
      </c>
      <c r="Y149" s="10">
        <f ca="1">O149</f>
        <v>842.52025936847815</v>
      </c>
      <c r="AB149" s="10">
        <f ca="1">R149</f>
        <v>1.9895196601282805E-13</v>
      </c>
      <c r="AJ149">
        <v>2.5656340004316602</v>
      </c>
      <c r="AK149">
        <v>-164.5553087629838</v>
      </c>
      <c r="AL149">
        <v>108.7342362756862</v>
      </c>
      <c r="AM149">
        <v>-182.8392319588709</v>
      </c>
      <c r="AN149">
        <v>120.81581808409578</v>
      </c>
      <c r="AQ149">
        <v>147</v>
      </c>
      <c r="AR149">
        <f t="shared" si="57"/>
        <v>-10.064046815345087</v>
      </c>
      <c r="AS149">
        <f t="shared" si="58"/>
        <v>6.5356684201803272</v>
      </c>
    </row>
    <row r="150" spans="1:45" x14ac:dyDescent="0.25">
      <c r="A150" t="s">
        <v>130</v>
      </c>
      <c r="B150" t="s">
        <v>131</v>
      </c>
      <c r="AJ150">
        <v>2.5830872929516033</v>
      </c>
      <c r="AK150">
        <v>-166.62359723724521</v>
      </c>
      <c r="AL150">
        <v>106.0996707605761</v>
      </c>
      <c r="AM150">
        <v>-185.13733026360578</v>
      </c>
      <c r="AN150">
        <v>117.88852306730678</v>
      </c>
      <c r="AQ150">
        <v>148</v>
      </c>
      <c r="AR150">
        <f t="shared" si="57"/>
        <v>-10.176577153877112</v>
      </c>
      <c r="AS150">
        <f t="shared" si="58"/>
        <v>6.3590311707984588</v>
      </c>
    </row>
    <row r="151" spans="1:45" x14ac:dyDescent="0.25">
      <c r="A151" s="15">
        <f ca="1">L37</f>
        <v>-4.7559863152248005E-3</v>
      </c>
      <c r="B151">
        <f ca="1">IF(AND(A151&gt;0,A151&lt;$B$128),(0.85*$B$126)*((2*(A151/$B$128))-POWER(A151/$B$128,2)),IF(A151&gt;0,0.85*$B$126,0))/1000</f>
        <v>0</v>
      </c>
      <c r="J151" t="s">
        <v>133</v>
      </c>
      <c r="L151" s="10">
        <f ca="1">L147+L149</f>
        <v>1.5916157281026244E-12</v>
      </c>
      <c r="O151" s="36">
        <f ca="1">O147+O149</f>
        <v>2606.0222761571681</v>
      </c>
      <c r="R151" s="10">
        <f ca="1">R147+R149</f>
        <v>1.9895196601282805E-13</v>
      </c>
      <c r="T151" t="s">
        <v>133</v>
      </c>
      <c r="V151" s="10">
        <f ca="1">V147+V149</f>
        <v>-4.2169086849241921E-3</v>
      </c>
      <c r="Y151" s="36">
        <f ca="1">Y147+Y149</f>
        <v>2605.9844563792972</v>
      </c>
      <c r="AB151" s="10">
        <f ca="1">AB147+AB149</f>
        <v>1.9895196601282805E-13</v>
      </c>
      <c r="AJ151">
        <v>2.6005405854715464</v>
      </c>
      <c r="AK151">
        <v>-168.67055992300013</v>
      </c>
      <c r="AL151">
        <v>103.43343833362344</v>
      </c>
      <c r="AM151">
        <v>-187.4117332477779</v>
      </c>
      <c r="AN151">
        <v>114.92604259291494</v>
      </c>
      <c r="AQ151">
        <v>149</v>
      </c>
      <c r="AR151">
        <f t="shared" si="57"/>
        <v>-10.286007608425347</v>
      </c>
      <c r="AS151">
        <f t="shared" si="58"/>
        <v>6.180456898920653</v>
      </c>
    </row>
    <row r="152" spans="1:45" x14ac:dyDescent="0.25">
      <c r="A152" s="15">
        <f t="shared" ref="A152:A215" ca="1" si="59">L38</f>
        <v>-5.5706107466244883E-4</v>
      </c>
      <c r="B152">
        <f t="shared" ref="B152:B215" ca="1" si="60">IF(AND(A152&gt;0,A152&lt;$B$128),(0.85*$B$126)*((2*(A152/$B$128))-POWER(A152/$B$128,2)),IF(A152&gt;0,0.85*$B$126,0))/1000</f>
        <v>0</v>
      </c>
      <c r="M152" s="9"/>
      <c r="W152" s="9"/>
      <c r="AJ152">
        <v>2.6179938779914895</v>
      </c>
      <c r="AK152">
        <v>-170.69546023617565</v>
      </c>
      <c r="AL152">
        <v>100.73469936375403</v>
      </c>
      <c r="AM152">
        <v>-189.66162248463959</v>
      </c>
      <c r="AN152">
        <v>111.92744373750448</v>
      </c>
      <c r="AQ152">
        <v>150</v>
      </c>
      <c r="AR152">
        <f t="shared" si="57"/>
        <v>-10.392304845413264</v>
      </c>
      <c r="AS152">
        <f t="shared" si="58"/>
        <v>5.9999999999999991</v>
      </c>
    </row>
    <row r="153" spans="1:45" x14ac:dyDescent="0.25">
      <c r="A153" s="15">
        <f t="shared" ca="1" si="59"/>
        <v>1.1821907073691872E-3</v>
      </c>
      <c r="B153">
        <f t="shared" ca="1" si="60"/>
        <v>3.4519054881505444</v>
      </c>
      <c r="J153" t="s">
        <v>134</v>
      </c>
      <c r="L153" s="10">
        <f ca="1">L151</f>
        <v>1.5916157281026244E-12</v>
      </c>
      <c r="M153" s="9"/>
      <c r="O153">
        <f ca="1">((O151*COS(-1*B10))+(R151*SIN(-1*B10)))</f>
        <v>2606.0222761571681</v>
      </c>
      <c r="R153">
        <f ca="1">(-1*(O151)*SIN(-1*B10))+((R151)*COS(-1*B10))</f>
        <v>-4.3960086700545182E-13</v>
      </c>
      <c r="T153" t="s">
        <v>134</v>
      </c>
      <c r="V153" s="10">
        <f ca="1">V151</f>
        <v>-4.2169086849241921E-3</v>
      </c>
      <c r="W153" s="9"/>
      <c r="Y153">
        <f ca="1">((Y151*COS(-1*B10))+(AB151*SIN(-1*B10)))</f>
        <v>2605.9844563792972</v>
      </c>
      <c r="AB153">
        <f ca="1">(-1*(Y151)*SIN(-1*B10))+((AB151)*COS(-1*B10))</f>
        <v>-4.3959160003696712E-13</v>
      </c>
      <c r="AJ153">
        <v>2.6354471705114326</v>
      </c>
      <c r="AK153">
        <v>-172.69747129202844</v>
      </c>
      <c r="AL153">
        <v>98.002655001057946</v>
      </c>
      <c r="AM153">
        <v>-191.88607921336492</v>
      </c>
      <c r="AN153">
        <v>108.89183889006438</v>
      </c>
      <c r="AQ153">
        <v>151</v>
      </c>
      <c r="AR153">
        <f t="shared" si="57"/>
        <v>-10.495436485672748</v>
      </c>
      <c r="AS153">
        <f t="shared" si="58"/>
        <v>5.8177154429560458</v>
      </c>
    </row>
    <row r="154" spans="1:45" x14ac:dyDescent="0.25">
      <c r="A154" s="15">
        <f t="shared" ca="1" si="59"/>
        <v>-5.5706107466245067E-4</v>
      </c>
      <c r="B154">
        <f t="shared" ca="1" si="60"/>
        <v>0</v>
      </c>
      <c r="E154" s="38"/>
      <c r="M154" s="9"/>
      <c r="AJ154">
        <v>2.6529004630313757</v>
      </c>
      <c r="AK154">
        <v>-174.67568056848685</v>
      </c>
      <c r="AL154">
        <v>95.236554009985511</v>
      </c>
      <c r="AM154">
        <v>-194.08408952054094</v>
      </c>
      <c r="AN154">
        <v>105.81839334442834</v>
      </c>
      <c r="AQ154">
        <v>152</v>
      </c>
      <c r="AR154">
        <f t="shared" si="57"/>
        <v>-10.595371114307124</v>
      </c>
      <c r="AS154">
        <f t="shared" si="58"/>
        <v>5.6336587534306881</v>
      </c>
    </row>
    <row r="155" spans="1:45" x14ac:dyDescent="0.25">
      <c r="A155" s="15">
        <f t="shared" ca="1" si="59"/>
        <v>-4.7559863152248022E-3</v>
      </c>
      <c r="B155">
        <f t="shared" ca="1" si="60"/>
        <v>0</v>
      </c>
      <c r="E155" s="38"/>
      <c r="M155" s="9"/>
      <c r="AJ155">
        <v>2.6703537555513188</v>
      </c>
      <c r="AK155">
        <v>-176.80339361126039</v>
      </c>
      <c r="AL155">
        <v>91.924727768634227</v>
      </c>
      <c r="AM155">
        <v>-196.44821512362265</v>
      </c>
      <c r="AN155">
        <v>102.13858640959359</v>
      </c>
      <c r="AQ155">
        <v>153</v>
      </c>
      <c r="AR155">
        <f t="shared" si="57"/>
        <v>-10.692078290260413</v>
      </c>
      <c r="AS155">
        <f t="shared" si="58"/>
        <v>5.4478859968745628</v>
      </c>
    </row>
    <row r="156" spans="1:45" x14ac:dyDescent="0.25">
      <c r="A156" s="15">
        <f t="shared" ca="1" si="59"/>
        <v>-8.9549115557871536E-3</v>
      </c>
      <c r="B156">
        <f t="shared" ca="1" si="60"/>
        <v>0</v>
      </c>
      <c r="E156" s="38"/>
      <c r="M156" s="9"/>
      <c r="AJ156">
        <v>2.6878070480712619</v>
      </c>
      <c r="AK156">
        <v>-178.7198304451764</v>
      </c>
      <c r="AL156">
        <v>89.05138177777485</v>
      </c>
      <c r="AM156">
        <v>-198.57758938352933</v>
      </c>
      <c r="AN156">
        <v>98.945979753083165</v>
      </c>
      <c r="AQ156">
        <v>154</v>
      </c>
      <c r="AR156">
        <f t="shared" si="57"/>
        <v>-10.785528555590005</v>
      </c>
      <c r="AS156">
        <f t="shared" si="58"/>
        <v>5.2604537614689271</v>
      </c>
    </row>
    <row r="157" spans="1:45" x14ac:dyDescent="0.25">
      <c r="A157" s="15">
        <f t="shared" ca="1" si="59"/>
        <v>-1.0694163337818788E-2</v>
      </c>
      <c r="B157">
        <f t="shared" ca="1" si="60"/>
        <v>0</v>
      </c>
      <c r="E157" s="38"/>
      <c r="M157" s="9"/>
      <c r="AJ157">
        <v>2.705260340591205</v>
      </c>
      <c r="AK157">
        <v>-180.60559184539508</v>
      </c>
      <c r="AL157">
        <v>86.145236868635251</v>
      </c>
      <c r="AM157">
        <v>-200.67287982821676</v>
      </c>
      <c r="AN157">
        <v>95.716929854039165</v>
      </c>
      <c r="AQ157">
        <v>155</v>
      </c>
      <c r="AR157">
        <f t="shared" si="57"/>
        <v>-10.875693444439799</v>
      </c>
      <c r="AS157">
        <f t="shared" si="58"/>
        <v>5.071419140888394</v>
      </c>
    </row>
    <row r="158" spans="1:45" x14ac:dyDescent="0.25">
      <c r="A158" s="15">
        <f t="shared" ca="1" si="59"/>
        <v>-8.9549115557871518E-3</v>
      </c>
      <c r="B158">
        <f t="shared" ca="1" si="60"/>
        <v>0</v>
      </c>
      <c r="E158" s="38" t="s">
        <v>146</v>
      </c>
      <c r="M158" s="9"/>
      <c r="AJ158">
        <v>2.7227136331111481</v>
      </c>
      <c r="AK158">
        <v>-182.41344801492633</v>
      </c>
      <c r="AL158">
        <v>82.460156767858976</v>
      </c>
      <c r="AM158">
        <v>-202.68160890547369</v>
      </c>
      <c r="AN158">
        <v>91.6223964087322</v>
      </c>
      <c r="AQ158">
        <v>156</v>
      </c>
      <c r="AR158">
        <f t="shared" si="57"/>
        <v>-10.962545491711209</v>
      </c>
      <c r="AS158">
        <f t="shared" si="58"/>
        <v>4.8808397169096054</v>
      </c>
    </row>
    <row r="159" spans="1:45" x14ac:dyDescent="0.25">
      <c r="A159" s="15">
        <f t="shared" ca="1" si="59"/>
        <v>0</v>
      </c>
      <c r="B159">
        <f t="shared" ca="1" si="60"/>
        <v>0</v>
      </c>
      <c r="E159" s="1">
        <f>(B135-B136)/100</f>
        <v>3.2278414350700668E-2</v>
      </c>
      <c r="M159" s="9"/>
      <c r="AJ159">
        <v>2.7401669256310912</v>
      </c>
      <c r="AK159">
        <v>-184.12899743120053</v>
      </c>
      <c r="AL159">
        <v>78.569983441942696</v>
      </c>
      <c r="AM159">
        <v>-204.58777492355614</v>
      </c>
      <c r="AN159">
        <v>87.299981602158553</v>
      </c>
      <c r="AQ159">
        <v>157</v>
      </c>
      <c r="AR159">
        <f t="shared" si="57"/>
        <v>-11.046058241429284</v>
      </c>
      <c r="AS159">
        <f t="shared" si="58"/>
        <v>4.688773541871285</v>
      </c>
    </row>
    <row r="160" spans="1:45" x14ac:dyDescent="0.25">
      <c r="A160" s="15">
        <f t="shared" ca="1" si="59"/>
        <v>0</v>
      </c>
      <c r="B160">
        <f t="shared" ca="1" si="60"/>
        <v>0</v>
      </c>
      <c r="M160" s="9"/>
      <c r="AJ160">
        <v>2.7576202181510343</v>
      </c>
      <c r="AK160">
        <v>-185.7562307861937</v>
      </c>
      <c r="AL160">
        <v>74.641494607172461</v>
      </c>
      <c r="AM160">
        <v>-206.39581198465964</v>
      </c>
      <c r="AN160">
        <v>82.934994007969394</v>
      </c>
      <c r="AQ160">
        <v>158</v>
      </c>
      <c r="AR160">
        <f t="shared" si="57"/>
        <v>-11.126206254801447</v>
      </c>
      <c r="AS160">
        <f t="shared" si="58"/>
        <v>4.4952791209909471</v>
      </c>
    </row>
    <row r="161" spans="1:45" x14ac:dyDescent="0.25">
      <c r="A161" s="15">
        <f t="shared" ca="1" si="59"/>
        <v>0</v>
      </c>
      <c r="B161">
        <f t="shared" ca="1" si="60"/>
        <v>0</v>
      </c>
      <c r="E161" t="s">
        <v>147</v>
      </c>
      <c r="F161" t="s">
        <v>148</v>
      </c>
      <c r="G161" t="s">
        <v>149</v>
      </c>
      <c r="H161" t="s">
        <v>150</v>
      </c>
      <c r="I161" t="s">
        <v>151</v>
      </c>
      <c r="J161" t="s">
        <v>152</v>
      </c>
      <c r="K161" t="s">
        <v>153</v>
      </c>
      <c r="L161" t="s">
        <v>154</v>
      </c>
      <c r="M161" s="9"/>
      <c r="N161" s="1"/>
      <c r="O161" s="1"/>
      <c r="S161" s="1" t="s">
        <v>34</v>
      </c>
      <c r="T161" s="1" t="s">
        <v>35</v>
      </c>
      <c r="U161" s="1" t="s">
        <v>36</v>
      </c>
      <c r="AB161" s="1" t="s">
        <v>34</v>
      </c>
      <c r="AC161" s="1" t="s">
        <v>35</v>
      </c>
      <c r="AD161" s="1" t="s">
        <v>36</v>
      </c>
      <c r="AE161" s="1" t="s">
        <v>34</v>
      </c>
      <c r="AF161" s="1" t="s">
        <v>35</v>
      </c>
      <c r="AG161" s="1" t="s">
        <v>36</v>
      </c>
      <c r="AJ161">
        <v>2.7750735106709774</v>
      </c>
      <c r="AK161">
        <v>-187.29392209923057</v>
      </c>
      <c r="AL161">
        <v>70.677650042717474</v>
      </c>
      <c r="AM161">
        <v>-208.10435788803397</v>
      </c>
      <c r="AN161">
        <v>78.53072226968608</v>
      </c>
      <c r="AQ161">
        <v>159</v>
      </c>
      <c r="AR161">
        <f t="shared" si="57"/>
        <v>-11.202965117966421</v>
      </c>
      <c r="AS161">
        <f t="shared" si="58"/>
        <v>4.3004153945436023</v>
      </c>
    </row>
    <row r="162" spans="1:45" x14ac:dyDescent="0.25">
      <c r="A162" s="15">
        <f t="shared" ca="1" si="59"/>
        <v>0</v>
      </c>
      <c r="B162">
        <f t="shared" ca="1" si="60"/>
        <v>0</v>
      </c>
      <c r="D162">
        <v>1</v>
      </c>
      <c r="E162">
        <f>IF(F162&lt;(-1*$B$3),0,SQRT(POWER($B$3,2)-POWER(F162,2)))</f>
        <v>9.4791136904048905</v>
      </c>
      <c r="F162">
        <f>B136</f>
        <v>7.3584239918870242</v>
      </c>
      <c r="G162">
        <f>IF(H162&lt;(-1*$B$3),0,SQRT(POWER($B$3,2)-POWER(H162,2)))</f>
        <v>9.4539683700778205</v>
      </c>
      <c r="H162">
        <f>F162+$E$159</f>
        <v>7.3907024062377253</v>
      </c>
      <c r="I162">
        <f>($B$129*(F162-$B$136))/$B$133</f>
        <v>0</v>
      </c>
      <c r="J162">
        <f>((0.85*$B$126)*((2*(I162/$B$128))-POWER(I162/$B$128,2)))/1000</f>
        <v>0</v>
      </c>
      <c r="K162">
        <f>($B$129*(H162-$B$136))/$B$133</f>
        <v>2.0862578331766138E-5</v>
      </c>
      <c r="L162">
        <f>((0.85*$B$126)*((2*(K162/$B$128))-POWER(K162/$B$128,2)))/1000</f>
        <v>8.4575000000001149E-2</v>
      </c>
      <c r="M162" s="7">
        <f>E162</f>
        <v>9.4791136904048905</v>
      </c>
      <c r="N162" s="7">
        <f>F162</f>
        <v>7.3584239918870242</v>
      </c>
      <c r="O162" s="7">
        <f>G162</f>
        <v>9.4539683700778205</v>
      </c>
      <c r="P162">
        <f>H162</f>
        <v>7.3907024062377253</v>
      </c>
      <c r="Q162" s="7">
        <f>J162</f>
        <v>0</v>
      </c>
      <c r="R162" s="7">
        <f>L162</f>
        <v>8.4575000000001149E-2</v>
      </c>
      <c r="S162" s="7">
        <f>(1/6)*(P162-N162)*((Q162*((2*M162)+O162))+(R162*(M162+(2*O162))))</f>
        <v>1.2915856690752401E-2</v>
      </c>
      <c r="T162" s="7">
        <f>((1/12)*(P162-N162)*(Q162*M162*((3*N162)+P162)+Q162*O162*(N162+P162)+R162*M162*(N162+P162)+R162*O162*(N162+(3*P162))))</f>
        <v>9.531822378263724E-2</v>
      </c>
      <c r="U162" s="7">
        <f t="shared" ref="U162" si="61">((-1/24)*(P162-N162)*(M162*M162*((3*Q162)+R162)+2*M162*O162*(Q162+R162)+O162*O162*(Q162+(3*R162))))</f>
        <v>-6.1107203179467655E-2</v>
      </c>
      <c r="V162">
        <f>-1*O162</f>
        <v>-9.4539683700778205</v>
      </c>
      <c r="W162">
        <f>P162</f>
        <v>7.3907024062377253</v>
      </c>
      <c r="X162">
        <f>-1*M162</f>
        <v>-9.4791136904048905</v>
      </c>
      <c r="Y162" s="10">
        <f>N162</f>
        <v>7.3584239918870242</v>
      </c>
      <c r="Z162" s="10">
        <f>R162</f>
        <v>8.4575000000001149E-2</v>
      </c>
      <c r="AA162" s="10">
        <f>Q162</f>
        <v>0</v>
      </c>
      <c r="AB162" s="7">
        <f>(1/6)*(Y162-W162)*((Z162*((2*V162)+X162))+(AA162*(V162+(2*X162))))</f>
        <v>1.2915856690752401E-2</v>
      </c>
      <c r="AC162" s="7">
        <f>((1/12)*(Y162-W162)*(Z162*V162*((3*W162)+Y162)+Z162*X162*(W162+Y162)+AA162*V162*(W162+Y162)+AA162*X162*(W162+(3*Y162))))</f>
        <v>9.531822378263724E-2</v>
      </c>
      <c r="AD162" s="7">
        <f t="shared" ref="AD162" si="62">((-1/24)*(Y162-W162)*(V162*V162*((3*Z162)+AA162)+2*V162*X162*(Z162+AA162)+X162*X162*(Z162+(3*AA162))))</f>
        <v>6.1107203179467655E-2</v>
      </c>
      <c r="AE162" s="10">
        <f>S162+AB162</f>
        <v>2.5831713381504803E-2</v>
      </c>
      <c r="AF162" s="10">
        <f>AC162+T162</f>
        <v>0.19063644756527448</v>
      </c>
      <c r="AG162" s="10">
        <f>AD162+U162</f>
        <v>0</v>
      </c>
      <c r="AJ162">
        <v>2.7925268031909205</v>
      </c>
      <c r="AK162">
        <v>-188.62131986790578</v>
      </c>
      <c r="AL162">
        <v>66.793557555503483</v>
      </c>
      <c r="AM162">
        <v>-209.57924429767309</v>
      </c>
      <c r="AN162">
        <v>74.215063950559426</v>
      </c>
      <c r="AQ162">
        <v>160</v>
      </c>
      <c r="AR162">
        <f t="shared" si="57"/>
        <v>-11.276311449430899</v>
      </c>
      <c r="AS162">
        <f t="shared" si="58"/>
        <v>4.1042417199080266</v>
      </c>
    </row>
    <row r="163" spans="1:45" x14ac:dyDescent="0.25">
      <c r="A163" s="15">
        <f t="shared" ca="1" si="59"/>
        <v>0</v>
      </c>
      <c r="B163">
        <f t="shared" ca="1" si="60"/>
        <v>0</v>
      </c>
      <c r="D163">
        <v>2</v>
      </c>
      <c r="E163">
        <f t="shared" ref="E163:E226" si="63">IF(F163&lt;(-1*$B$3),0,SQRT(POWER($B$3,2)-POWER(F163,2)))</f>
        <v>9.4539683700778205</v>
      </c>
      <c r="F163">
        <f t="shared" ref="F163:F170" si="64">H162</f>
        <v>7.3907024062377253</v>
      </c>
      <c r="G163">
        <f t="shared" ref="G163:G226" si="65">IF(H163&lt;(-1*$B$3),0,SQRT(POWER($B$3,2)-POWER(H163,2)))</f>
        <v>9.4286454879360253</v>
      </c>
      <c r="H163">
        <f>H162+$E$159</f>
        <v>7.4229808205884265</v>
      </c>
      <c r="I163">
        <f>($B$129*(F163-$B$136))/$B$133</f>
        <v>2.0862578331766138E-5</v>
      </c>
      <c r="J163">
        <f t="shared" ref="J163:J226" si="66">((0.85*$B$126)*((2*(I163/$B$128))-POWER(I163/$B$128,2)))/1000</f>
        <v>8.4575000000001149E-2</v>
      </c>
      <c r="K163">
        <f>($B$129*(H163-$B$136))/$B$133</f>
        <v>4.1725156663532276E-5</v>
      </c>
      <c r="L163">
        <f t="shared" ref="L163:L226" si="67">((0.85*$B$126)*((2*(K163/$B$128))-POWER(K163/$B$128,2)))/1000</f>
        <v>0.16830000000000228</v>
      </c>
      <c r="M163" s="7">
        <f t="shared" ref="M163:M226" si="68">E163</f>
        <v>9.4539683700778205</v>
      </c>
      <c r="N163" s="7">
        <f t="shared" ref="N163:N226" si="69">F163</f>
        <v>7.3907024062377253</v>
      </c>
      <c r="O163" s="7">
        <f t="shared" ref="O163:O226" si="70">G163</f>
        <v>9.4286454879360253</v>
      </c>
      <c r="P163">
        <f t="shared" ref="P163:P226" si="71">H163</f>
        <v>7.4229808205884265</v>
      </c>
      <c r="Q163" s="7">
        <f t="shared" ref="Q163:Q226" si="72">J163</f>
        <v>8.4575000000001149E-2</v>
      </c>
      <c r="R163" s="7">
        <f t="shared" ref="R163:R226" si="73">L163</f>
        <v>0.16830000000000228</v>
      </c>
      <c r="S163" s="7">
        <f t="shared" ref="S163:S226" si="74">(1/6)*(P163-N163)*((Q163*((2*M163)+O163))+(R163*(M163+(2*O163))))</f>
        <v>3.8526177912168266E-2</v>
      </c>
      <c r="T163" s="7">
        <f t="shared" ref="T163:T226" si="75">((1/12)*(P163-N163)*(Q163*M163*((3*N163)+P163)+Q163*O163*(N163+P163)+R163*M163*(N163+P163)+R163*O163*(N163+(3*P163))))</f>
        <v>0.28542565236728645</v>
      </c>
      <c r="U163" s="7">
        <f t="shared" ref="U163:U226" si="76">((-1/24)*(P163-N163)*(M163*M163*((3*Q163)+R163)+2*M163*O163*(Q163+R163)+O163*O163*(Q163+(3*R163))))</f>
        <v>-0.18184192264914112</v>
      </c>
      <c r="V163">
        <f t="shared" ref="V163:V226" si="77">-1*O163</f>
        <v>-9.4286454879360253</v>
      </c>
      <c r="W163">
        <f t="shared" ref="W163:W226" si="78">P163</f>
        <v>7.4229808205884265</v>
      </c>
      <c r="X163">
        <f t="shared" ref="X163:X226" si="79">-1*M163</f>
        <v>-9.4539683700778205</v>
      </c>
      <c r="Y163" s="10">
        <f t="shared" ref="Y163:Y226" si="80">N163</f>
        <v>7.3907024062377253</v>
      </c>
      <c r="Z163" s="10">
        <f t="shared" ref="Z163:Z226" si="81">R163</f>
        <v>0.16830000000000228</v>
      </c>
      <c r="AA163" s="10">
        <f t="shared" ref="AA163:AA226" si="82">Q163</f>
        <v>8.4575000000001149E-2</v>
      </c>
      <c r="AB163" s="7">
        <f t="shared" ref="AB163:AB226" si="83">(1/6)*(Y163-W163)*((Z163*((2*V163)+X163))+(AA163*(V163+(2*X163))))</f>
        <v>3.8526177912168266E-2</v>
      </c>
      <c r="AC163" s="7">
        <f t="shared" ref="AC163:AC226" si="84">((1/12)*(Y163-W163)*(Z163*V163*((3*W163)+Y163)+Z163*X163*(W163+Y163)+AA163*V163*(W163+Y163)+AA163*X163*(W163+(3*Y163))))</f>
        <v>0.28542565236728645</v>
      </c>
      <c r="AD163" s="7">
        <f t="shared" ref="AD163:AD226" si="85">((-1/24)*(Y163-W163)*(V163*V163*((3*Z163)+AA163)+2*V163*X163*(Z163+AA163)+X163*X163*(Z163+(3*AA163))))</f>
        <v>0.18184192264914112</v>
      </c>
      <c r="AE163" s="10">
        <f t="shared" ref="AE163:AE226" si="86">S163+AB163</f>
        <v>7.7052355824336533E-2</v>
      </c>
      <c r="AF163" s="10">
        <f t="shared" ref="AF163:AF226" si="87">AC163+T163</f>
        <v>0.57085130473457291</v>
      </c>
      <c r="AG163" s="10">
        <f t="shared" ref="AG163:AG226" si="88">AD163+U163</f>
        <v>0</v>
      </c>
      <c r="AJ163">
        <v>2.8099800957108636</v>
      </c>
      <c r="AK163">
        <v>-189.34283996939209</v>
      </c>
      <c r="AL163">
        <v>63.405168111201327</v>
      </c>
      <c r="AM163">
        <v>-210.38093329932454</v>
      </c>
      <c r="AN163">
        <v>70.450186790223697</v>
      </c>
      <c r="AQ163">
        <v>161</v>
      </c>
      <c r="AR163">
        <f t="shared" si="57"/>
        <v>-11.346222907191802</v>
      </c>
      <c r="AS163">
        <f t="shared" si="58"/>
        <v>3.9068178534858791</v>
      </c>
    </row>
    <row r="164" spans="1:45" x14ac:dyDescent="0.25">
      <c r="A164" s="15">
        <f t="shared" ca="1" si="59"/>
        <v>0</v>
      </c>
      <c r="B164">
        <f t="shared" ca="1" si="60"/>
        <v>0</v>
      </c>
      <c r="D164">
        <v>3</v>
      </c>
      <c r="E164">
        <f t="shared" si="63"/>
        <v>9.4286454879360253</v>
      </c>
      <c r="F164">
        <f t="shared" si="64"/>
        <v>7.4229808205884265</v>
      </c>
      <c r="G164">
        <f t="shared" si="65"/>
        <v>9.4031436094454524</v>
      </c>
      <c r="H164">
        <f t="shared" ref="H164:H227" si="89">H163+$E$159</f>
        <v>7.4552592349391276</v>
      </c>
      <c r="I164">
        <f t="shared" ref="I164:I227" si="90">($B$129*(F164-$B$136))/$B$133</f>
        <v>4.1725156663532276E-5</v>
      </c>
      <c r="J164">
        <f t="shared" si="66"/>
        <v>0.16830000000000228</v>
      </c>
      <c r="K164">
        <f t="shared" ref="K164:K227" si="91">($B$129*(H164-$B$136))/$B$133</f>
        <v>6.2587734995298418E-5</v>
      </c>
      <c r="L164">
        <f t="shared" si="67"/>
        <v>0.25117500000000337</v>
      </c>
      <c r="M164" s="7">
        <f t="shared" si="68"/>
        <v>9.4286454879360253</v>
      </c>
      <c r="N164" s="7">
        <f t="shared" si="69"/>
        <v>7.4229808205884265</v>
      </c>
      <c r="O164" s="7">
        <f t="shared" si="70"/>
        <v>9.4031436094454524</v>
      </c>
      <c r="P164">
        <f t="shared" si="71"/>
        <v>7.4552592349391276</v>
      </c>
      <c r="Q164" s="7">
        <f t="shared" si="72"/>
        <v>0.16830000000000228</v>
      </c>
      <c r="R164" s="7">
        <f t="shared" si="73"/>
        <v>0.25117500000000337</v>
      </c>
      <c r="S164" s="7">
        <f t="shared" si="74"/>
        <v>6.3739863988893322E-2</v>
      </c>
      <c r="T164" s="7">
        <f t="shared" si="75"/>
        <v>0.47423578732640415</v>
      </c>
      <c r="U164" s="7">
        <f t="shared" si="76"/>
        <v>-0.30005733793970729</v>
      </c>
      <c r="V164">
        <f t="shared" si="77"/>
        <v>-9.4031436094454524</v>
      </c>
      <c r="W164">
        <f t="shared" si="78"/>
        <v>7.4552592349391276</v>
      </c>
      <c r="X164">
        <f t="shared" si="79"/>
        <v>-9.4286454879360253</v>
      </c>
      <c r="Y164" s="10">
        <f t="shared" si="80"/>
        <v>7.4229808205884265</v>
      </c>
      <c r="Z164" s="10">
        <f t="shared" si="81"/>
        <v>0.25117500000000337</v>
      </c>
      <c r="AA164" s="10">
        <f t="shared" si="82"/>
        <v>0.16830000000000228</v>
      </c>
      <c r="AB164" s="7">
        <f t="shared" si="83"/>
        <v>6.3739863988893322E-2</v>
      </c>
      <c r="AC164" s="7">
        <f t="shared" si="84"/>
        <v>0.47423578732640409</v>
      </c>
      <c r="AD164" s="7">
        <f t="shared" si="85"/>
        <v>0.30005733793970729</v>
      </c>
      <c r="AE164" s="10">
        <f t="shared" si="86"/>
        <v>0.12747972797778664</v>
      </c>
      <c r="AF164" s="10">
        <f t="shared" si="87"/>
        <v>0.94847157465280829</v>
      </c>
      <c r="AG164" s="10">
        <f t="shared" si="88"/>
        <v>0</v>
      </c>
      <c r="AJ164">
        <v>2.8274333882308067</v>
      </c>
      <c r="AK164">
        <v>-190.01947691993354</v>
      </c>
      <c r="AL164">
        <v>60.018280193526827</v>
      </c>
      <c r="AM164">
        <v>-211.13275213325949</v>
      </c>
      <c r="AN164">
        <v>66.686977992807584</v>
      </c>
      <c r="AQ164">
        <v>162</v>
      </c>
      <c r="AR164">
        <f t="shared" si="57"/>
        <v>-11.412678195541842</v>
      </c>
      <c r="AS164">
        <f t="shared" si="58"/>
        <v>3.7082039324993703</v>
      </c>
    </row>
    <row r="165" spans="1:45" x14ac:dyDescent="0.25">
      <c r="A165" s="15">
        <f t="shared" ca="1" si="59"/>
        <v>0</v>
      </c>
      <c r="B165">
        <f t="shared" ca="1" si="60"/>
        <v>0</v>
      </c>
      <c r="D165">
        <v>4</v>
      </c>
      <c r="E165">
        <f t="shared" si="63"/>
        <v>9.4031436094454524</v>
      </c>
      <c r="F165">
        <f t="shared" si="64"/>
        <v>7.4552592349391276</v>
      </c>
      <c r="G165">
        <f t="shared" si="65"/>
        <v>9.3774612742718038</v>
      </c>
      <c r="H165">
        <f t="shared" si="89"/>
        <v>7.4875376492898287</v>
      </c>
      <c r="I165">
        <f t="shared" si="90"/>
        <v>6.2587734995298418E-5</v>
      </c>
      <c r="J165">
        <f t="shared" si="66"/>
        <v>0.25117500000000337</v>
      </c>
      <c r="K165">
        <f t="shared" si="91"/>
        <v>8.3450313327064553E-5</v>
      </c>
      <c r="L165">
        <f t="shared" si="67"/>
        <v>0.33320000000000449</v>
      </c>
      <c r="M165" s="7">
        <f t="shared" si="68"/>
        <v>9.4031436094454524</v>
      </c>
      <c r="N165" s="7">
        <f t="shared" si="69"/>
        <v>7.4552592349391276</v>
      </c>
      <c r="O165" s="7">
        <f t="shared" si="70"/>
        <v>9.3774612742718038</v>
      </c>
      <c r="P165">
        <f t="shared" si="71"/>
        <v>7.4875376492898287</v>
      </c>
      <c r="Q165" s="7">
        <f t="shared" si="72"/>
        <v>0.25117500000000337</v>
      </c>
      <c r="R165" s="7">
        <f t="shared" si="73"/>
        <v>0.33320000000000449</v>
      </c>
      <c r="S165" s="7">
        <f t="shared" si="74"/>
        <v>8.8557554899677329E-2</v>
      </c>
      <c r="T165" s="7">
        <f t="shared" si="75"/>
        <v>0.66171500197259825</v>
      </c>
      <c r="U165" s="7">
        <f t="shared" si="76"/>
        <v>-0.41576476632924492</v>
      </c>
      <c r="V165">
        <f t="shared" si="77"/>
        <v>-9.3774612742718038</v>
      </c>
      <c r="W165">
        <f t="shared" si="78"/>
        <v>7.4875376492898287</v>
      </c>
      <c r="X165">
        <f t="shared" si="79"/>
        <v>-9.4031436094454524</v>
      </c>
      <c r="Y165" s="10">
        <f t="shared" si="80"/>
        <v>7.4552592349391276</v>
      </c>
      <c r="Z165" s="10">
        <f t="shared" si="81"/>
        <v>0.33320000000000449</v>
      </c>
      <c r="AA165" s="10">
        <f t="shared" si="82"/>
        <v>0.25117500000000337</v>
      </c>
      <c r="AB165" s="7">
        <f t="shared" si="83"/>
        <v>8.8557554899677329E-2</v>
      </c>
      <c r="AC165" s="7">
        <f t="shared" si="84"/>
        <v>0.66171500197259825</v>
      </c>
      <c r="AD165" s="7">
        <f t="shared" si="85"/>
        <v>0.41576476632924492</v>
      </c>
      <c r="AE165" s="10">
        <f t="shared" si="86"/>
        <v>0.17711510979935466</v>
      </c>
      <c r="AF165" s="10">
        <f t="shared" si="87"/>
        <v>1.3234300039451965</v>
      </c>
      <c r="AG165" s="10">
        <f t="shared" si="88"/>
        <v>0</v>
      </c>
      <c r="AJ165">
        <v>2.8448866807507498</v>
      </c>
      <c r="AK165">
        <v>-190.85677139565337</v>
      </c>
      <c r="AL165">
        <v>56.17194508105608</v>
      </c>
      <c r="AM165">
        <v>-212.06307932850373</v>
      </c>
      <c r="AN165">
        <v>62.413272312284533</v>
      </c>
      <c r="AQ165">
        <v>163</v>
      </c>
      <c r="AR165">
        <f t="shared" si="57"/>
        <v>-11.475657071556427</v>
      </c>
      <c r="AS165">
        <f t="shared" si="58"/>
        <v>3.5084604566728395</v>
      </c>
    </row>
    <row r="166" spans="1:45" x14ac:dyDescent="0.25">
      <c r="A166" s="15">
        <f t="shared" ca="1" si="59"/>
        <v>0</v>
      </c>
      <c r="B166">
        <f t="shared" ca="1" si="60"/>
        <v>0</v>
      </c>
      <c r="D166">
        <v>5</v>
      </c>
      <c r="E166">
        <f t="shared" si="63"/>
        <v>9.3774612742718038</v>
      </c>
      <c r="F166">
        <f t="shared" si="64"/>
        <v>7.4875376492898287</v>
      </c>
      <c r="G166">
        <f t="shared" si="65"/>
        <v>9.3515969956480607</v>
      </c>
      <c r="H166">
        <f t="shared" si="89"/>
        <v>7.5198160636405298</v>
      </c>
      <c r="I166">
        <f t="shared" si="90"/>
        <v>8.3450313327064553E-5</v>
      </c>
      <c r="J166">
        <f t="shared" si="66"/>
        <v>0.33320000000000449</v>
      </c>
      <c r="K166">
        <f t="shared" si="91"/>
        <v>1.043128916588307E-4</v>
      </c>
      <c r="L166">
        <f t="shared" si="67"/>
        <v>0.41437500000000554</v>
      </c>
      <c r="M166" s="7">
        <f t="shared" si="68"/>
        <v>9.3774612742718038</v>
      </c>
      <c r="N166" s="7">
        <f t="shared" si="69"/>
        <v>7.4875376492898287</v>
      </c>
      <c r="O166" s="7">
        <f t="shared" si="70"/>
        <v>9.3515969956480607</v>
      </c>
      <c r="P166">
        <f t="shared" si="71"/>
        <v>7.5198160636405298</v>
      </c>
      <c r="Q166" s="7">
        <f t="shared" si="72"/>
        <v>0.33320000000000449</v>
      </c>
      <c r="R166" s="7">
        <f t="shared" si="73"/>
        <v>0.41437500000000554</v>
      </c>
      <c r="S166" s="7">
        <f t="shared" si="74"/>
        <v>0.11297990440685728</v>
      </c>
      <c r="T166" s="7">
        <f t="shared" si="75"/>
        <v>0.84782985567618496</v>
      </c>
      <c r="U166" s="7">
        <f t="shared" si="76"/>
        <v>-0.52897569661193655</v>
      </c>
      <c r="V166">
        <f t="shared" si="77"/>
        <v>-9.3515969956480607</v>
      </c>
      <c r="W166">
        <f t="shared" si="78"/>
        <v>7.5198160636405298</v>
      </c>
      <c r="X166">
        <f t="shared" si="79"/>
        <v>-9.3774612742718038</v>
      </c>
      <c r="Y166" s="10">
        <f t="shared" si="80"/>
        <v>7.4875376492898287</v>
      </c>
      <c r="Z166" s="10">
        <f t="shared" si="81"/>
        <v>0.41437500000000554</v>
      </c>
      <c r="AA166" s="10">
        <f t="shared" si="82"/>
        <v>0.33320000000000449</v>
      </c>
      <c r="AB166" s="7">
        <f t="shared" si="83"/>
        <v>0.11297990440685728</v>
      </c>
      <c r="AC166" s="7">
        <f t="shared" si="84"/>
        <v>0.84782985567618496</v>
      </c>
      <c r="AD166" s="7">
        <f t="shared" si="85"/>
        <v>0.52897569661193655</v>
      </c>
      <c r="AE166" s="10">
        <f t="shared" si="86"/>
        <v>0.22595980881371455</v>
      </c>
      <c r="AF166" s="10">
        <f t="shared" si="87"/>
        <v>1.6956597113523699</v>
      </c>
      <c r="AG166" s="10">
        <f t="shared" si="88"/>
        <v>0</v>
      </c>
      <c r="AJ166">
        <v>2.8623399732706929</v>
      </c>
      <c r="AK166">
        <v>-191.41389497226311</v>
      </c>
      <c r="AL166">
        <v>52.817211119977088</v>
      </c>
      <c r="AM166">
        <v>-212.68210552473678</v>
      </c>
      <c r="AN166">
        <v>58.685790133307876</v>
      </c>
      <c r="AQ166">
        <v>164</v>
      </c>
      <c r="AR166">
        <f t="shared" si="57"/>
        <v>-11.535140351259827</v>
      </c>
      <c r="AS166">
        <f t="shared" si="58"/>
        <v>3.3076482698039906</v>
      </c>
    </row>
    <row r="167" spans="1:45" x14ac:dyDescent="0.25">
      <c r="A167" s="15">
        <f t="shared" ca="1" si="59"/>
        <v>0</v>
      </c>
      <c r="B167">
        <f t="shared" ca="1" si="60"/>
        <v>0</v>
      </c>
      <c r="D167">
        <v>6</v>
      </c>
      <c r="E167">
        <f t="shared" si="63"/>
        <v>9.3515969956480607</v>
      </c>
      <c r="F167">
        <f t="shared" si="64"/>
        <v>7.5198160636405298</v>
      </c>
      <c r="G167">
        <f t="shared" si="65"/>
        <v>9.3255492597216154</v>
      </c>
      <c r="H167">
        <f t="shared" si="89"/>
        <v>7.5520944779912309</v>
      </c>
      <c r="I167">
        <f t="shared" si="90"/>
        <v>1.043128916588307E-4</v>
      </c>
      <c r="J167">
        <f t="shared" si="66"/>
        <v>0.41437500000000554</v>
      </c>
      <c r="K167">
        <f t="shared" si="91"/>
        <v>1.2517546999059684E-4</v>
      </c>
      <c r="L167">
        <f t="shared" si="67"/>
        <v>0.49470000000000658</v>
      </c>
      <c r="M167" s="7">
        <f t="shared" si="68"/>
        <v>9.3515969956480607</v>
      </c>
      <c r="N167" s="7">
        <f t="shared" si="69"/>
        <v>7.5198160636405298</v>
      </c>
      <c r="O167" s="7">
        <f t="shared" si="70"/>
        <v>9.3255492597216154</v>
      </c>
      <c r="P167">
        <f t="shared" si="71"/>
        <v>7.5520944779912309</v>
      </c>
      <c r="Q167" s="7">
        <f t="shared" si="72"/>
        <v>0.41437500000000554</v>
      </c>
      <c r="R167" s="7">
        <f t="shared" si="73"/>
        <v>0.49470000000000658</v>
      </c>
      <c r="S167" s="7">
        <f t="shared" si="74"/>
        <v>0.13700758010369776</v>
      </c>
      <c r="T167" s="7">
        <f t="shared" si="75"/>
        <v>1.0325470964465071</v>
      </c>
      <c r="U167" s="7">
        <f t="shared" si="76"/>
        <v>-0.63970178909804132</v>
      </c>
      <c r="V167">
        <f t="shared" si="77"/>
        <v>-9.3255492597216154</v>
      </c>
      <c r="W167">
        <f t="shared" si="78"/>
        <v>7.5520944779912309</v>
      </c>
      <c r="X167">
        <f t="shared" si="79"/>
        <v>-9.3515969956480607</v>
      </c>
      <c r="Y167" s="10">
        <f t="shared" si="80"/>
        <v>7.5198160636405298</v>
      </c>
      <c r="Z167" s="10">
        <f t="shared" si="81"/>
        <v>0.49470000000000658</v>
      </c>
      <c r="AA167" s="10">
        <f t="shared" si="82"/>
        <v>0.41437500000000554</v>
      </c>
      <c r="AB167" s="7">
        <f t="shared" si="83"/>
        <v>0.13700758010369776</v>
      </c>
      <c r="AC167" s="7">
        <f t="shared" si="84"/>
        <v>1.0325470964465071</v>
      </c>
      <c r="AD167" s="7">
        <f t="shared" si="85"/>
        <v>0.63970178909804143</v>
      </c>
      <c r="AE167" s="10">
        <f t="shared" si="86"/>
        <v>0.27401516020739553</v>
      </c>
      <c r="AF167" s="10">
        <f t="shared" si="87"/>
        <v>2.0650941928930142</v>
      </c>
      <c r="AG167" s="10">
        <f t="shared" si="88"/>
        <v>0</v>
      </c>
      <c r="AJ167">
        <v>2.879793265790636</v>
      </c>
      <c r="AK167">
        <v>-191.93010647165849</v>
      </c>
      <c r="AL167">
        <v>49.469728429863032</v>
      </c>
      <c r="AM167">
        <v>-213.25567385739831</v>
      </c>
      <c r="AN167">
        <v>54.966364922070035</v>
      </c>
      <c r="AQ167">
        <v>165</v>
      </c>
      <c r="AR167">
        <f t="shared" si="57"/>
        <v>-11.591109915468818</v>
      </c>
      <c r="AS167">
        <f t="shared" si="58"/>
        <v>3.1058285412302524</v>
      </c>
    </row>
    <row r="168" spans="1:45" x14ac:dyDescent="0.25">
      <c r="A168" s="15">
        <f t="shared" ca="1" si="59"/>
        <v>0</v>
      </c>
      <c r="B168">
        <f t="shared" ca="1" si="60"/>
        <v>0</v>
      </c>
      <c r="D168">
        <v>7</v>
      </c>
      <c r="E168">
        <f t="shared" si="63"/>
        <v>9.3255492597216154</v>
      </c>
      <c r="F168">
        <f t="shared" si="64"/>
        <v>7.5520944779912309</v>
      </c>
      <c r="G168">
        <f t="shared" si="65"/>
        <v>9.2993165248801422</v>
      </c>
      <c r="H168">
        <f t="shared" si="89"/>
        <v>7.584372892341932</v>
      </c>
      <c r="I168">
        <f t="shared" si="90"/>
        <v>1.2517546999059684E-4</v>
      </c>
      <c r="J168">
        <f t="shared" si="66"/>
        <v>0.49470000000000658</v>
      </c>
      <c r="K168">
        <f t="shared" si="91"/>
        <v>1.4603804832236298E-4</v>
      </c>
      <c r="L168">
        <f t="shared" si="67"/>
        <v>0.57417500000000765</v>
      </c>
      <c r="M168" s="7">
        <f t="shared" si="68"/>
        <v>9.3255492597216154</v>
      </c>
      <c r="N168" s="7">
        <f t="shared" si="69"/>
        <v>7.5520944779912309</v>
      </c>
      <c r="O168" s="7">
        <f t="shared" si="70"/>
        <v>9.2993165248801422</v>
      </c>
      <c r="P168">
        <f t="shared" si="71"/>
        <v>7.584372892341932</v>
      </c>
      <c r="Q168" s="7">
        <f t="shared" si="72"/>
        <v>0.49470000000000658</v>
      </c>
      <c r="R168" s="7">
        <f t="shared" si="73"/>
        <v>0.57417500000000765</v>
      </c>
      <c r="S168" s="7">
        <f t="shared" si="74"/>
        <v>0.16064126346217589</v>
      </c>
      <c r="T168" s="7">
        <f t="shared" si="75"/>
        <v>1.2158336635257831</v>
      </c>
      <c r="U168" s="7">
        <f t="shared" si="76"/>
        <v>-0.74795487561386564</v>
      </c>
      <c r="V168">
        <f t="shared" si="77"/>
        <v>-9.2993165248801422</v>
      </c>
      <c r="W168">
        <f t="shared" si="78"/>
        <v>7.584372892341932</v>
      </c>
      <c r="X168">
        <f t="shared" si="79"/>
        <v>-9.3255492597216154</v>
      </c>
      <c r="Y168" s="10">
        <f t="shared" si="80"/>
        <v>7.5520944779912309</v>
      </c>
      <c r="Z168" s="10">
        <f t="shared" si="81"/>
        <v>0.57417500000000765</v>
      </c>
      <c r="AA168" s="10">
        <f t="shared" si="82"/>
        <v>0.49470000000000658</v>
      </c>
      <c r="AB168" s="7">
        <f t="shared" si="83"/>
        <v>0.16064126346217589</v>
      </c>
      <c r="AC168" s="7">
        <f t="shared" si="84"/>
        <v>1.2158336635257829</v>
      </c>
      <c r="AD168" s="7">
        <f t="shared" si="85"/>
        <v>0.74795487561386542</v>
      </c>
      <c r="AE168" s="10">
        <f t="shared" si="86"/>
        <v>0.32128252692435177</v>
      </c>
      <c r="AF168" s="10">
        <f t="shared" si="87"/>
        <v>2.4316673270515663</v>
      </c>
      <c r="AG168" s="10">
        <f t="shared" si="88"/>
        <v>0</v>
      </c>
      <c r="AJ168">
        <v>2.8972465583105791</v>
      </c>
      <c r="AK168">
        <v>-192.40658235522901</v>
      </c>
      <c r="AL168">
        <v>46.129611060941116</v>
      </c>
      <c r="AM168">
        <v>-213.78509150580999</v>
      </c>
      <c r="AN168">
        <v>51.25512340104568</v>
      </c>
      <c r="AQ168">
        <v>166</v>
      </c>
      <c r="AR168">
        <f t="shared" si="57"/>
        <v>-11.643548715311958</v>
      </c>
      <c r="AS168">
        <f t="shared" si="58"/>
        <v>2.9030627471960129</v>
      </c>
    </row>
    <row r="169" spans="1:45" x14ac:dyDescent="0.25">
      <c r="A169" s="15">
        <f t="shared" ca="1" si="59"/>
        <v>0</v>
      </c>
      <c r="B169">
        <f t="shared" ca="1" si="60"/>
        <v>0</v>
      </c>
      <c r="D169">
        <v>8</v>
      </c>
      <c r="E169">
        <f t="shared" si="63"/>
        <v>9.2993165248801422</v>
      </c>
      <c r="F169">
        <f t="shared" si="64"/>
        <v>7.584372892341932</v>
      </c>
      <c r="G169">
        <f t="shared" si="65"/>
        <v>9.272897221055425</v>
      </c>
      <c r="H169">
        <f t="shared" si="89"/>
        <v>7.6166513066926331</v>
      </c>
      <c r="I169">
        <f t="shared" si="90"/>
        <v>1.4603804832236298E-4</v>
      </c>
      <c r="J169">
        <f t="shared" si="66"/>
        <v>0.57417500000000765</v>
      </c>
      <c r="K169">
        <f t="shared" si="91"/>
        <v>1.6690062665412911E-4</v>
      </c>
      <c r="L169">
        <f t="shared" si="67"/>
        <v>0.6528000000000086</v>
      </c>
      <c r="M169" s="7">
        <f t="shared" si="68"/>
        <v>9.2993165248801422</v>
      </c>
      <c r="N169" s="7">
        <f t="shared" si="69"/>
        <v>7.584372892341932</v>
      </c>
      <c r="O169" s="7">
        <f t="shared" si="70"/>
        <v>9.272897221055425</v>
      </c>
      <c r="P169">
        <f t="shared" si="71"/>
        <v>7.6166513066926331</v>
      </c>
      <c r="Q169" s="7">
        <f t="shared" si="72"/>
        <v>0.57417500000000765</v>
      </c>
      <c r="R169" s="7">
        <f t="shared" si="73"/>
        <v>0.6528000000000086</v>
      </c>
      <c r="S169" s="7">
        <f t="shared" si="74"/>
        <v>0.18388164988119163</v>
      </c>
      <c r="T169" s="7">
        <f t="shared" si="75"/>
        <v>1.3976566899954483</v>
      </c>
      <c r="U169" s="7">
        <f t="shared" si="76"/>
        <v>-0.85374695950173174</v>
      </c>
      <c r="V169">
        <f t="shared" si="77"/>
        <v>-9.272897221055425</v>
      </c>
      <c r="W169">
        <f t="shared" si="78"/>
        <v>7.6166513066926331</v>
      </c>
      <c r="X169">
        <f t="shared" si="79"/>
        <v>-9.2993165248801422</v>
      </c>
      <c r="Y169" s="10">
        <f t="shared" si="80"/>
        <v>7.584372892341932</v>
      </c>
      <c r="Z169" s="10">
        <f t="shared" si="81"/>
        <v>0.6528000000000086</v>
      </c>
      <c r="AA169" s="10">
        <f t="shared" si="82"/>
        <v>0.57417500000000765</v>
      </c>
      <c r="AB169" s="7">
        <f t="shared" si="83"/>
        <v>0.18388164988119163</v>
      </c>
      <c r="AC169" s="7">
        <f t="shared" si="84"/>
        <v>1.3976566899954479</v>
      </c>
      <c r="AD169" s="7">
        <f t="shared" si="85"/>
        <v>0.85374695950173152</v>
      </c>
      <c r="AE169" s="10">
        <f t="shared" si="86"/>
        <v>0.36776329976238326</v>
      </c>
      <c r="AF169" s="10">
        <f t="shared" si="87"/>
        <v>2.7953133799908962</v>
      </c>
      <c r="AG169" s="10">
        <f t="shared" si="88"/>
        <v>0</v>
      </c>
      <c r="AJ169">
        <v>2.9146998508305222</v>
      </c>
      <c r="AK169">
        <v>-192.84447218861769</v>
      </c>
      <c r="AL169">
        <v>42.796878835691523</v>
      </c>
      <c r="AM169">
        <v>-214.27163576513075</v>
      </c>
      <c r="AN169">
        <v>47.552087595212804</v>
      </c>
      <c r="AQ169">
        <v>167</v>
      </c>
      <c r="AR169">
        <f t="shared" si="57"/>
        <v>-11.692440777422821</v>
      </c>
      <c r="AS169">
        <f t="shared" si="58"/>
        <v>2.6994126521263824</v>
      </c>
    </row>
    <row r="170" spans="1:45" x14ac:dyDescent="0.25">
      <c r="A170" s="15">
        <f t="shared" ca="1" si="59"/>
        <v>0</v>
      </c>
      <c r="B170">
        <f t="shared" ca="1" si="60"/>
        <v>0</v>
      </c>
      <c r="D170">
        <v>9</v>
      </c>
      <c r="E170">
        <f t="shared" si="63"/>
        <v>9.272897221055425</v>
      </c>
      <c r="F170">
        <f t="shared" si="64"/>
        <v>7.6166513066926331</v>
      </c>
      <c r="G170">
        <f t="shared" si="65"/>
        <v>9.2462897490041893</v>
      </c>
      <c r="H170">
        <f t="shared" si="89"/>
        <v>7.6489297210433342</v>
      </c>
      <c r="I170">
        <f t="shared" si="90"/>
        <v>1.6690062665412911E-4</v>
      </c>
      <c r="J170">
        <f t="shared" si="66"/>
        <v>0.6528000000000086</v>
      </c>
      <c r="K170">
        <f t="shared" si="91"/>
        <v>1.8776320498589525E-4</v>
      </c>
      <c r="L170">
        <f t="shared" si="67"/>
        <v>0.73057500000000963</v>
      </c>
      <c r="M170" s="7">
        <f t="shared" si="68"/>
        <v>9.272897221055425</v>
      </c>
      <c r="N170" s="7">
        <f t="shared" si="69"/>
        <v>7.6166513066926331</v>
      </c>
      <c r="O170" s="7">
        <f t="shared" si="70"/>
        <v>9.2462897490041893</v>
      </c>
      <c r="P170">
        <f t="shared" si="71"/>
        <v>7.6489297210433342</v>
      </c>
      <c r="Q170" s="7">
        <f t="shared" si="72"/>
        <v>0.6528000000000086</v>
      </c>
      <c r="R170" s="7">
        <f t="shared" si="73"/>
        <v>0.73057500000000963</v>
      </c>
      <c r="S170" s="7">
        <f t="shared" si="74"/>
        <v>0.20672944873518562</v>
      </c>
      <c r="T170" s="7">
        <f t="shared" si="75"/>
        <v>1.5779835053949371</v>
      </c>
      <c r="U170" s="7">
        <f t="shared" si="76"/>
        <v>-0.95709021561994767</v>
      </c>
      <c r="V170">
        <f t="shared" si="77"/>
        <v>-9.2462897490041893</v>
      </c>
      <c r="W170">
        <f t="shared" si="78"/>
        <v>7.6489297210433342</v>
      </c>
      <c r="X170">
        <f t="shared" si="79"/>
        <v>-9.272897221055425</v>
      </c>
      <c r="Y170" s="10">
        <f t="shared" si="80"/>
        <v>7.6166513066926331</v>
      </c>
      <c r="Z170" s="10">
        <f t="shared" si="81"/>
        <v>0.73057500000000963</v>
      </c>
      <c r="AA170" s="10">
        <f t="shared" si="82"/>
        <v>0.6528000000000086</v>
      </c>
      <c r="AB170" s="7">
        <f t="shared" si="83"/>
        <v>0.20672944873518562</v>
      </c>
      <c r="AC170" s="7">
        <f t="shared" si="84"/>
        <v>1.5779835053949367</v>
      </c>
      <c r="AD170" s="7">
        <f t="shared" si="85"/>
        <v>0.95709021561994767</v>
      </c>
      <c r="AE170" s="10">
        <f t="shared" si="86"/>
        <v>0.41345889747037123</v>
      </c>
      <c r="AF170" s="10">
        <f t="shared" si="87"/>
        <v>3.1559670107898739</v>
      </c>
      <c r="AG170" s="10">
        <f t="shared" si="88"/>
        <v>0</v>
      </c>
      <c r="AJ170">
        <v>2.9321531433504653</v>
      </c>
      <c r="AK170">
        <v>-193.24489052422916</v>
      </c>
      <c r="AL170">
        <v>39.471458888875667</v>
      </c>
      <c r="AM170">
        <v>-214.7165450269213</v>
      </c>
      <c r="AN170">
        <v>43.857176543195187</v>
      </c>
      <c r="AQ170">
        <v>168</v>
      </c>
      <c r="AR170">
        <f t="shared" si="57"/>
        <v>-11.737771208805668</v>
      </c>
      <c r="AS170">
        <f t="shared" si="58"/>
        <v>2.4949402898131119</v>
      </c>
    </row>
    <row r="171" spans="1:45" x14ac:dyDescent="0.25">
      <c r="A171" s="15">
        <f t="shared" ca="1" si="59"/>
        <v>0</v>
      </c>
      <c r="B171">
        <f t="shared" ca="1" si="60"/>
        <v>0</v>
      </c>
      <c r="D171">
        <v>10</v>
      </c>
      <c r="E171">
        <f t="shared" si="63"/>
        <v>9.2462897490041893</v>
      </c>
      <c r="F171">
        <f t="shared" ref="F171:F234" si="92">H170</f>
        <v>7.6489297210433342</v>
      </c>
      <c r="G171">
        <f t="shared" si="65"/>
        <v>9.2194924795650479</v>
      </c>
      <c r="H171">
        <f t="shared" si="89"/>
        <v>7.6812081353940354</v>
      </c>
      <c r="I171">
        <f t="shared" si="90"/>
        <v>1.8776320498589525E-4</v>
      </c>
      <c r="J171">
        <f t="shared" si="66"/>
        <v>0.73057500000000963</v>
      </c>
      <c r="K171">
        <f t="shared" si="91"/>
        <v>2.086257833176614E-4</v>
      </c>
      <c r="L171">
        <f t="shared" si="67"/>
        <v>0.80750000000001043</v>
      </c>
      <c r="M171" s="7">
        <f t="shared" si="68"/>
        <v>9.2462897490041893</v>
      </c>
      <c r="N171" s="7">
        <f t="shared" si="69"/>
        <v>7.6489297210433342</v>
      </c>
      <c r="O171" s="7">
        <f t="shared" si="70"/>
        <v>9.2194924795650479</v>
      </c>
      <c r="P171">
        <f t="shared" si="71"/>
        <v>7.6812081353940354</v>
      </c>
      <c r="Q171" s="7">
        <f t="shared" si="72"/>
        <v>0.73057500000000963</v>
      </c>
      <c r="R171" s="7">
        <f t="shared" si="73"/>
        <v>0.80750000000001043</v>
      </c>
      <c r="S171" s="7">
        <f t="shared" si="74"/>
        <v>0.22918538342314071</v>
      </c>
      <c r="T171" s="7">
        <f t="shared" si="75"/>
        <v>1.756781638352829</v>
      </c>
      <c r="U171" s="7">
        <f t="shared" si="76"/>
        <v>-1.0579969903427737</v>
      </c>
      <c r="V171">
        <f t="shared" si="77"/>
        <v>-9.2194924795650479</v>
      </c>
      <c r="W171">
        <f t="shared" si="78"/>
        <v>7.6812081353940354</v>
      </c>
      <c r="X171">
        <f t="shared" si="79"/>
        <v>-9.2462897490041893</v>
      </c>
      <c r="Y171" s="10">
        <f t="shared" si="80"/>
        <v>7.6489297210433342</v>
      </c>
      <c r="Z171" s="10">
        <f t="shared" si="81"/>
        <v>0.80750000000001043</v>
      </c>
      <c r="AA171" s="10">
        <f t="shared" si="82"/>
        <v>0.73057500000000963</v>
      </c>
      <c r="AB171" s="7">
        <f t="shared" si="83"/>
        <v>0.22918538342314071</v>
      </c>
      <c r="AC171" s="7">
        <f t="shared" si="84"/>
        <v>1.756781638352829</v>
      </c>
      <c r="AD171" s="7">
        <f t="shared" si="85"/>
        <v>1.0579969903427737</v>
      </c>
      <c r="AE171" s="10">
        <f t="shared" si="86"/>
        <v>0.45837076684628142</v>
      </c>
      <c r="AF171" s="10">
        <f t="shared" si="87"/>
        <v>3.5135632767056579</v>
      </c>
      <c r="AG171" s="10">
        <f t="shared" si="88"/>
        <v>0</v>
      </c>
      <c r="AJ171">
        <v>2.9496064358704084</v>
      </c>
      <c r="AK171">
        <v>-193.60890878473413</v>
      </c>
      <c r="AL171">
        <v>36.153187973799831</v>
      </c>
      <c r="AM171">
        <v>-215.1210097608157</v>
      </c>
      <c r="AN171">
        <v>40.170208859777588</v>
      </c>
      <c r="AQ171">
        <v>169</v>
      </c>
      <c r="AR171">
        <f t="shared" si="57"/>
        <v>-11.779526201371969</v>
      </c>
      <c r="AS171">
        <f t="shared" si="58"/>
        <v>2.2897079445185398</v>
      </c>
    </row>
    <row r="172" spans="1:45" x14ac:dyDescent="0.25">
      <c r="A172" s="15">
        <f t="shared" ca="1" si="59"/>
        <v>0</v>
      </c>
      <c r="B172">
        <f t="shared" ca="1" si="60"/>
        <v>0</v>
      </c>
      <c r="D172">
        <v>11</v>
      </c>
      <c r="E172">
        <f t="shared" si="63"/>
        <v>9.2194924795650479</v>
      </c>
      <c r="F172">
        <f t="shared" si="92"/>
        <v>7.6812081353940354</v>
      </c>
      <c r="G172">
        <f t="shared" si="65"/>
        <v>9.1925037528905609</v>
      </c>
      <c r="H172">
        <f t="shared" si="89"/>
        <v>7.7134865497447365</v>
      </c>
      <c r="I172">
        <f t="shared" si="90"/>
        <v>2.086257833176614E-4</v>
      </c>
      <c r="J172">
        <f t="shared" si="66"/>
        <v>0.80750000000001043</v>
      </c>
      <c r="K172">
        <f t="shared" si="91"/>
        <v>2.2948836164942752E-4</v>
      </c>
      <c r="L172">
        <f t="shared" si="67"/>
        <v>0.88357500000001143</v>
      </c>
      <c r="M172" s="7">
        <f t="shared" si="68"/>
        <v>9.2194924795650479</v>
      </c>
      <c r="N172" s="7">
        <f t="shared" si="69"/>
        <v>7.6812081353940354</v>
      </c>
      <c r="O172" s="7">
        <f t="shared" si="70"/>
        <v>9.1925037528905609</v>
      </c>
      <c r="P172">
        <f t="shared" si="71"/>
        <v>7.7134865497447365</v>
      </c>
      <c r="Q172" s="7">
        <f t="shared" si="72"/>
        <v>0.80750000000001043</v>
      </c>
      <c r="R172" s="7">
        <f t="shared" si="73"/>
        <v>0.88357500000001143</v>
      </c>
      <c r="S172" s="7">
        <f t="shared" si="74"/>
        <v>0.25125019141794613</v>
      </c>
      <c r="T172" s="7">
        <f t="shared" si="75"/>
        <v>1.9340188192302714</v>
      </c>
      <c r="U172" s="7">
        <f t="shared" si="76"/>
        <v>-1.1564798015603879</v>
      </c>
      <c r="V172">
        <f t="shared" si="77"/>
        <v>-9.1925037528905609</v>
      </c>
      <c r="W172">
        <f t="shared" si="78"/>
        <v>7.7134865497447365</v>
      </c>
      <c r="X172">
        <f t="shared" si="79"/>
        <v>-9.2194924795650479</v>
      </c>
      <c r="Y172" s="10">
        <f t="shared" si="80"/>
        <v>7.6812081353940354</v>
      </c>
      <c r="Z172" s="10">
        <f t="shared" si="81"/>
        <v>0.88357500000001143</v>
      </c>
      <c r="AA172" s="10">
        <f t="shared" si="82"/>
        <v>0.80750000000001043</v>
      </c>
      <c r="AB172" s="7">
        <f t="shared" si="83"/>
        <v>0.25125019141794613</v>
      </c>
      <c r="AC172" s="7">
        <f t="shared" si="84"/>
        <v>1.9340188192302714</v>
      </c>
      <c r="AD172" s="7">
        <f t="shared" si="85"/>
        <v>1.1564798015603879</v>
      </c>
      <c r="AE172" s="10">
        <f t="shared" si="86"/>
        <v>0.50250038283589227</v>
      </c>
      <c r="AF172" s="10">
        <f t="shared" si="87"/>
        <v>3.8680376384605428</v>
      </c>
      <c r="AG172" s="10">
        <f t="shared" si="88"/>
        <v>0</v>
      </c>
      <c r="AJ172">
        <v>2.9670597283903515</v>
      </c>
      <c r="AK172">
        <v>-193.93754730431897</v>
      </c>
      <c r="AL172">
        <v>32.841815572222416</v>
      </c>
      <c r="AM172">
        <v>-215.4861636714655</v>
      </c>
      <c r="AN172">
        <v>36.490906191358242</v>
      </c>
      <c r="AQ172">
        <v>170</v>
      </c>
      <c r="AR172">
        <f t="shared" si="57"/>
        <v>-11.817693036146496</v>
      </c>
      <c r="AS172">
        <f t="shared" si="58"/>
        <v>2.0837781320031632</v>
      </c>
    </row>
    <row r="173" spans="1:45" x14ac:dyDescent="0.25">
      <c r="A173" s="15">
        <f t="shared" ca="1" si="59"/>
        <v>0</v>
      </c>
      <c r="B173">
        <f t="shared" ca="1" si="60"/>
        <v>0</v>
      </c>
      <c r="D173">
        <v>12</v>
      </c>
      <c r="E173">
        <f t="shared" si="63"/>
        <v>9.1925037528905609</v>
      </c>
      <c r="F173">
        <f t="shared" si="92"/>
        <v>7.7134865497447365</v>
      </c>
      <c r="G173">
        <f t="shared" si="65"/>
        <v>9.1653218776533762</v>
      </c>
      <c r="H173">
        <f t="shared" si="89"/>
        <v>7.7457649640954376</v>
      </c>
      <c r="I173">
        <f t="shared" si="90"/>
        <v>2.2948836164942752E-4</v>
      </c>
      <c r="J173">
        <f t="shared" si="66"/>
        <v>0.88357500000001143</v>
      </c>
      <c r="K173">
        <f t="shared" si="91"/>
        <v>2.5035093998119367E-4</v>
      </c>
      <c r="L173">
        <f t="shared" si="67"/>
        <v>0.95880000000001231</v>
      </c>
      <c r="M173" s="7">
        <f t="shared" si="68"/>
        <v>9.1925037528905609</v>
      </c>
      <c r="N173" s="7">
        <f t="shared" si="69"/>
        <v>7.7134865497447365</v>
      </c>
      <c r="O173" s="7">
        <f t="shared" si="70"/>
        <v>9.1653218776533762</v>
      </c>
      <c r="P173">
        <f t="shared" si="71"/>
        <v>7.7457649640954376</v>
      </c>
      <c r="Q173" s="7">
        <f t="shared" si="72"/>
        <v>0.88357500000001143</v>
      </c>
      <c r="R173" s="7">
        <f t="shared" si="73"/>
        <v>0.95880000000001231</v>
      </c>
      <c r="S173" s="7">
        <f t="shared" si="74"/>
        <v>0.27292462431609676</v>
      </c>
      <c r="T173" s="7">
        <f t="shared" si="75"/>
        <v>2.1096629827765514</v>
      </c>
      <c r="U173" s="7">
        <f t="shared" si="76"/>
        <v>-1.25255133867885</v>
      </c>
      <c r="V173">
        <f t="shared" si="77"/>
        <v>-9.1653218776533762</v>
      </c>
      <c r="W173">
        <f t="shared" si="78"/>
        <v>7.7457649640954376</v>
      </c>
      <c r="X173">
        <f t="shared" si="79"/>
        <v>-9.1925037528905609</v>
      </c>
      <c r="Y173" s="10">
        <f t="shared" si="80"/>
        <v>7.7134865497447365</v>
      </c>
      <c r="Z173" s="10">
        <f t="shared" si="81"/>
        <v>0.95880000000001231</v>
      </c>
      <c r="AA173" s="10">
        <f t="shared" si="82"/>
        <v>0.88357500000001143</v>
      </c>
      <c r="AB173" s="7">
        <f t="shared" si="83"/>
        <v>0.27292462431609676</v>
      </c>
      <c r="AC173" s="7">
        <f t="shared" si="84"/>
        <v>2.1096629827765514</v>
      </c>
      <c r="AD173" s="7">
        <f t="shared" si="85"/>
        <v>1.25255133867885</v>
      </c>
      <c r="AE173" s="10">
        <f t="shared" si="86"/>
        <v>0.54584924863219353</v>
      </c>
      <c r="AF173" s="10">
        <f t="shared" si="87"/>
        <v>4.2193259655531028</v>
      </c>
      <c r="AG173" s="10">
        <f t="shared" si="88"/>
        <v>0</v>
      </c>
      <c r="AJ173">
        <v>2.9845130209102946</v>
      </c>
      <c r="AK173">
        <v>-194.23176758038886</v>
      </c>
      <c r="AL173">
        <v>29.537007789380045</v>
      </c>
      <c r="AM173">
        <v>-215.81307508932096</v>
      </c>
      <c r="AN173">
        <v>32.818897543755604</v>
      </c>
      <c r="AQ173">
        <v>171</v>
      </c>
      <c r="AR173">
        <f t="shared" si="57"/>
        <v>-11.852260087141651</v>
      </c>
      <c r="AS173">
        <f t="shared" si="58"/>
        <v>1.8772135804827719</v>
      </c>
    </row>
    <row r="174" spans="1:45" x14ac:dyDescent="0.25">
      <c r="A174" s="15">
        <f t="shared" ca="1" si="59"/>
        <v>0</v>
      </c>
      <c r="B174">
        <f t="shared" ca="1" si="60"/>
        <v>0</v>
      </c>
      <c r="D174">
        <v>13</v>
      </c>
      <c r="E174">
        <f t="shared" si="63"/>
        <v>9.1653218776533762</v>
      </c>
      <c r="F174">
        <f t="shared" si="92"/>
        <v>7.7457649640954376</v>
      </c>
      <c r="G174">
        <f t="shared" si="65"/>
        <v>9.137945130225404</v>
      </c>
      <c r="H174">
        <f t="shared" si="89"/>
        <v>7.7780433784461387</v>
      </c>
      <c r="I174">
        <f t="shared" si="90"/>
        <v>2.5035093998119367E-4</v>
      </c>
      <c r="J174">
        <f t="shared" si="66"/>
        <v>0.95880000000001231</v>
      </c>
      <c r="K174">
        <f t="shared" si="91"/>
        <v>2.7121351831295979E-4</v>
      </c>
      <c r="L174">
        <f t="shared" si="67"/>
        <v>1.0331750000000131</v>
      </c>
      <c r="M174" s="7">
        <f t="shared" si="68"/>
        <v>9.1653218776533762</v>
      </c>
      <c r="N174" s="7">
        <f t="shared" si="69"/>
        <v>7.7457649640954376</v>
      </c>
      <c r="O174" s="7">
        <f t="shared" si="70"/>
        <v>9.137945130225404</v>
      </c>
      <c r="P174">
        <f t="shared" si="71"/>
        <v>7.7780433784461387</v>
      </c>
      <c r="Q174" s="7">
        <f t="shared" si="72"/>
        <v>0.95880000000001231</v>
      </c>
      <c r="R174" s="7">
        <f t="shared" si="73"/>
        <v>1.0331750000000131</v>
      </c>
      <c r="S174" s="7">
        <f t="shared" si="74"/>
        <v>0.29420944788770065</v>
      </c>
      <c r="T174" s="7">
        <f t="shared" si="75"/>
        <v>2.2836822707966937</v>
      </c>
      <c r="U174" s="7">
        <f t="shared" si="76"/>
        <v>-1.3462244626200626</v>
      </c>
      <c r="V174">
        <f t="shared" si="77"/>
        <v>-9.137945130225404</v>
      </c>
      <c r="W174">
        <f t="shared" si="78"/>
        <v>7.7780433784461387</v>
      </c>
      <c r="X174">
        <f t="shared" si="79"/>
        <v>-9.1653218776533762</v>
      </c>
      <c r="Y174" s="10">
        <f t="shared" si="80"/>
        <v>7.7457649640954376</v>
      </c>
      <c r="Z174" s="10">
        <f t="shared" si="81"/>
        <v>1.0331750000000131</v>
      </c>
      <c r="AA174" s="10">
        <f t="shared" si="82"/>
        <v>0.95880000000001231</v>
      </c>
      <c r="AB174" s="7">
        <f t="shared" si="83"/>
        <v>0.29420944788770065</v>
      </c>
      <c r="AC174" s="7">
        <f t="shared" si="84"/>
        <v>2.2836822707966937</v>
      </c>
      <c r="AD174" s="7">
        <f t="shared" si="85"/>
        <v>1.3462244626200626</v>
      </c>
      <c r="AE174" s="10">
        <f t="shared" si="86"/>
        <v>0.5884188957754013</v>
      </c>
      <c r="AF174" s="10">
        <f t="shared" si="87"/>
        <v>4.5673645415933875</v>
      </c>
      <c r="AG174" s="10">
        <f t="shared" si="88"/>
        <v>0</v>
      </c>
      <c r="AJ174">
        <v>3.0019663134302377</v>
      </c>
      <c r="AK174">
        <v>-194.49246479865971</v>
      </c>
      <c r="AL174">
        <v>26.238352015686232</v>
      </c>
      <c r="AM174">
        <v>-216.10273866517744</v>
      </c>
      <c r="AN174">
        <v>29.15372446187359</v>
      </c>
      <c r="AQ174">
        <v>172</v>
      </c>
      <c r="AR174">
        <f t="shared" si="57"/>
        <v>-11.883216824898845</v>
      </c>
      <c r="AS174">
        <f t="shared" si="58"/>
        <v>1.670077211520784</v>
      </c>
    </row>
    <row r="175" spans="1:45" x14ac:dyDescent="0.25">
      <c r="A175" s="15">
        <f t="shared" ca="1" si="59"/>
        <v>0</v>
      </c>
      <c r="B175">
        <f t="shared" ca="1" si="60"/>
        <v>0</v>
      </c>
      <c r="D175">
        <v>14</v>
      </c>
      <c r="E175">
        <f t="shared" si="63"/>
        <v>9.137945130225404</v>
      </c>
      <c r="F175">
        <f t="shared" si="92"/>
        <v>7.7780433784461387</v>
      </c>
      <c r="G175">
        <f t="shared" si="65"/>
        <v>9.1103717538288613</v>
      </c>
      <c r="H175">
        <f t="shared" si="89"/>
        <v>7.8103217927968398</v>
      </c>
      <c r="I175">
        <f t="shared" si="90"/>
        <v>2.7121351831295979E-4</v>
      </c>
      <c r="J175">
        <f t="shared" si="66"/>
        <v>1.0331750000000131</v>
      </c>
      <c r="K175">
        <f t="shared" si="91"/>
        <v>2.9207609664472597E-4</v>
      </c>
      <c r="L175">
        <f t="shared" si="67"/>
        <v>1.106700000000014</v>
      </c>
      <c r="M175" s="7">
        <f t="shared" si="68"/>
        <v>9.137945130225404</v>
      </c>
      <c r="N175" s="7">
        <f t="shared" si="69"/>
        <v>7.7780433784461387</v>
      </c>
      <c r="O175" s="7">
        <f t="shared" si="70"/>
        <v>9.1103717538288613</v>
      </c>
      <c r="P175">
        <f t="shared" si="71"/>
        <v>7.8103217927968398</v>
      </c>
      <c r="Q175" s="7">
        <f t="shared" si="72"/>
        <v>1.0331750000000131</v>
      </c>
      <c r="R175" s="7">
        <f t="shared" si="73"/>
        <v>1.106700000000014</v>
      </c>
      <c r="S175" s="7">
        <f t="shared" si="74"/>
        <v>0.31510544212676539</v>
      </c>
      <c r="T175" s="7">
        <f t="shared" si="75"/>
        <v>2.4560450348309049</v>
      </c>
      <c r="U175" s="7">
        <f t="shared" si="76"/>
        <v>-1.4375122058217336</v>
      </c>
      <c r="V175">
        <f t="shared" si="77"/>
        <v>-9.1103717538288613</v>
      </c>
      <c r="W175">
        <f t="shared" si="78"/>
        <v>7.8103217927968398</v>
      </c>
      <c r="X175">
        <f t="shared" si="79"/>
        <v>-9.137945130225404</v>
      </c>
      <c r="Y175" s="10">
        <f t="shared" si="80"/>
        <v>7.7780433784461387</v>
      </c>
      <c r="Z175" s="10">
        <f t="shared" si="81"/>
        <v>1.106700000000014</v>
      </c>
      <c r="AA175" s="10">
        <f t="shared" si="82"/>
        <v>1.0331750000000131</v>
      </c>
      <c r="AB175" s="7">
        <f t="shared" si="83"/>
        <v>0.31510544212676539</v>
      </c>
      <c r="AC175" s="7">
        <f t="shared" si="84"/>
        <v>2.4560450348309049</v>
      </c>
      <c r="AD175" s="7">
        <f t="shared" si="85"/>
        <v>1.4375122058217333</v>
      </c>
      <c r="AE175" s="10">
        <f t="shared" si="86"/>
        <v>0.63021088425353078</v>
      </c>
      <c r="AF175" s="10">
        <f t="shared" si="87"/>
        <v>4.9120900696618097</v>
      </c>
      <c r="AG175" s="10">
        <f t="shared" si="88"/>
        <v>0</v>
      </c>
      <c r="AJ175">
        <v>3.0194196059501808</v>
      </c>
      <c r="AK175">
        <v>-194.72046080381747</v>
      </c>
      <c r="AL175">
        <v>22.945362353633289</v>
      </c>
      <c r="AM175">
        <v>-216.3560675597972</v>
      </c>
      <c r="AN175">
        <v>25.494847059592544</v>
      </c>
      <c r="AQ175">
        <v>173</v>
      </c>
      <c r="AR175">
        <f t="shared" si="57"/>
        <v>-11.910553819695863</v>
      </c>
      <c r="AS175">
        <f t="shared" si="58"/>
        <v>1.4624321208617705</v>
      </c>
    </row>
    <row r="176" spans="1:45" x14ac:dyDescent="0.25">
      <c r="A176" s="15">
        <f t="shared" ca="1" si="59"/>
        <v>0</v>
      </c>
      <c r="B176">
        <f t="shared" ca="1" si="60"/>
        <v>0</v>
      </c>
      <c r="D176">
        <v>15</v>
      </c>
      <c r="E176">
        <f t="shared" si="63"/>
        <v>9.1103717538288613</v>
      </c>
      <c r="F176">
        <f t="shared" si="92"/>
        <v>7.8103217927968398</v>
      </c>
      <c r="G176">
        <f t="shared" si="65"/>
        <v>9.0825999576580134</v>
      </c>
      <c r="H176">
        <f t="shared" si="89"/>
        <v>7.8426002071475409</v>
      </c>
      <c r="I176">
        <f t="shared" si="90"/>
        <v>2.9207609664472597E-4</v>
      </c>
      <c r="J176">
        <f t="shared" si="66"/>
        <v>1.106700000000014</v>
      </c>
      <c r="K176">
        <f t="shared" si="91"/>
        <v>3.1293867497649203E-4</v>
      </c>
      <c r="L176">
        <f t="shared" si="67"/>
        <v>1.1793750000000147</v>
      </c>
      <c r="M176" s="7">
        <f t="shared" si="68"/>
        <v>9.1103717538288613</v>
      </c>
      <c r="N176" s="7">
        <f t="shared" si="69"/>
        <v>7.8103217927968398</v>
      </c>
      <c r="O176" s="7">
        <f t="shared" si="70"/>
        <v>9.0825999576580134</v>
      </c>
      <c r="P176">
        <f t="shared" si="71"/>
        <v>7.8426002071475409</v>
      </c>
      <c r="Q176" s="7">
        <f t="shared" si="72"/>
        <v>1.106700000000014</v>
      </c>
      <c r="R176" s="7">
        <f t="shared" si="73"/>
        <v>1.1793750000000147</v>
      </c>
      <c r="S176" s="7">
        <f t="shared" si="74"/>
        <v>0.33561340130172906</v>
      </c>
      <c r="T176" s="7">
        <f t="shared" si="75"/>
        <v>2.6267198388456836</v>
      </c>
      <c r="U176" s="7">
        <f t="shared" si="76"/>
        <v>-1.5264277722373338</v>
      </c>
      <c r="V176">
        <f t="shared" si="77"/>
        <v>-9.0825999576580134</v>
      </c>
      <c r="W176">
        <f t="shared" si="78"/>
        <v>7.8426002071475409</v>
      </c>
      <c r="X176">
        <f t="shared" si="79"/>
        <v>-9.1103717538288613</v>
      </c>
      <c r="Y176" s="10">
        <f t="shared" si="80"/>
        <v>7.8103217927968398</v>
      </c>
      <c r="Z176" s="10">
        <f t="shared" si="81"/>
        <v>1.1793750000000147</v>
      </c>
      <c r="AA176" s="10">
        <f t="shared" si="82"/>
        <v>1.106700000000014</v>
      </c>
      <c r="AB176" s="7">
        <f t="shared" si="83"/>
        <v>0.33561340130172906</v>
      </c>
      <c r="AC176" s="7">
        <f t="shared" si="84"/>
        <v>2.6267198388456836</v>
      </c>
      <c r="AD176" s="7">
        <f t="shared" si="85"/>
        <v>1.5264277722373338</v>
      </c>
      <c r="AE176" s="10">
        <f t="shared" si="86"/>
        <v>0.67122680260345813</v>
      </c>
      <c r="AF176" s="10">
        <f t="shared" si="87"/>
        <v>5.2534396776913672</v>
      </c>
      <c r="AG176" s="10">
        <f t="shared" si="88"/>
        <v>0</v>
      </c>
      <c r="AJ176">
        <v>3.0368728984701239</v>
      </c>
      <c r="AK176">
        <v>-194.91649750047</v>
      </c>
      <c r="AL176">
        <v>19.657485745375002</v>
      </c>
      <c r="AM176">
        <v>-216.57388611163333</v>
      </c>
      <c r="AN176">
        <v>21.841650828194446</v>
      </c>
      <c r="AQ176">
        <v>174</v>
      </c>
      <c r="AR176">
        <f t="shared" si="57"/>
        <v>-11.934262744419279</v>
      </c>
      <c r="AS176">
        <f t="shared" si="58"/>
        <v>1.2543415592118448</v>
      </c>
    </row>
    <row r="177" spans="1:45" x14ac:dyDescent="0.25">
      <c r="A177" s="15">
        <f t="shared" ca="1" si="59"/>
        <v>0</v>
      </c>
      <c r="B177">
        <f t="shared" ca="1" si="60"/>
        <v>0</v>
      </c>
      <c r="D177">
        <v>16</v>
      </c>
      <c r="E177">
        <f t="shared" si="63"/>
        <v>9.0825999576580134</v>
      </c>
      <c r="F177">
        <f t="shared" si="92"/>
        <v>7.8426002071475409</v>
      </c>
      <c r="G177">
        <f t="shared" si="65"/>
        <v>9.0546279159703715</v>
      </c>
      <c r="H177">
        <f t="shared" si="89"/>
        <v>7.874878621498242</v>
      </c>
      <c r="I177">
        <f t="shared" si="90"/>
        <v>3.1293867497649203E-4</v>
      </c>
      <c r="J177">
        <f t="shared" si="66"/>
        <v>1.1793750000000147</v>
      </c>
      <c r="K177">
        <f t="shared" si="91"/>
        <v>3.3380125330825821E-4</v>
      </c>
      <c r="L177">
        <f t="shared" si="67"/>
        <v>1.2512000000000156</v>
      </c>
      <c r="M177" s="7">
        <f t="shared" si="68"/>
        <v>9.0825999576580134</v>
      </c>
      <c r="N177" s="7">
        <f t="shared" si="69"/>
        <v>7.8426002071475409</v>
      </c>
      <c r="O177" s="7">
        <f t="shared" si="70"/>
        <v>9.0546279159703715</v>
      </c>
      <c r="P177">
        <f t="shared" si="71"/>
        <v>7.874878621498242</v>
      </c>
      <c r="Q177" s="7">
        <f t="shared" si="72"/>
        <v>1.1793750000000147</v>
      </c>
      <c r="R177" s="7">
        <f t="shared" si="73"/>
        <v>1.2512000000000156</v>
      </c>
      <c r="S177" s="7">
        <f t="shared" si="74"/>
        <v>0.35573413400620213</v>
      </c>
      <c r="T177" s="7">
        <f t="shared" si="75"/>
        <v>2.7956754619363617</v>
      </c>
      <c r="U177" s="7">
        <f t="shared" si="76"/>
        <v>-1.612984537336055</v>
      </c>
      <c r="V177">
        <f t="shared" si="77"/>
        <v>-9.0546279159703715</v>
      </c>
      <c r="W177">
        <f t="shared" si="78"/>
        <v>7.874878621498242</v>
      </c>
      <c r="X177">
        <f t="shared" si="79"/>
        <v>-9.0825999576580134</v>
      </c>
      <c r="Y177" s="10">
        <f t="shared" si="80"/>
        <v>7.8426002071475409</v>
      </c>
      <c r="Z177" s="10">
        <f t="shared" si="81"/>
        <v>1.2512000000000156</v>
      </c>
      <c r="AA177" s="10">
        <f t="shared" si="82"/>
        <v>1.1793750000000147</v>
      </c>
      <c r="AB177" s="7">
        <f t="shared" si="83"/>
        <v>0.35573413400620213</v>
      </c>
      <c r="AC177" s="7">
        <f t="shared" si="84"/>
        <v>2.7956754619363617</v>
      </c>
      <c r="AD177" s="7">
        <f t="shared" si="85"/>
        <v>1.612984537336055</v>
      </c>
      <c r="AE177" s="10">
        <f t="shared" si="86"/>
        <v>0.71146826801240426</v>
      </c>
      <c r="AF177" s="10">
        <f t="shared" si="87"/>
        <v>5.5913509238727235</v>
      </c>
      <c r="AG177" s="10">
        <f t="shared" si="88"/>
        <v>0</v>
      </c>
      <c r="AJ177">
        <v>3.054326190990067</v>
      </c>
      <c r="AK177">
        <v>-195.08123084825701</v>
      </c>
      <c r="AL177">
        <v>16.374108775518113</v>
      </c>
      <c r="AM177">
        <v>-216.75692316473001</v>
      </c>
      <c r="AN177">
        <v>18.193454195020127</v>
      </c>
      <c r="AQ177">
        <v>175</v>
      </c>
      <c r="AR177">
        <f t="shared" si="57"/>
        <v>-11.954336377100947</v>
      </c>
      <c r="AS177">
        <f t="shared" si="58"/>
        <v>1.0458689129718983</v>
      </c>
    </row>
    <row r="178" spans="1:45" x14ac:dyDescent="0.25">
      <c r="A178" s="15">
        <f t="shared" ca="1" si="59"/>
        <v>0</v>
      </c>
      <c r="B178">
        <f t="shared" ca="1" si="60"/>
        <v>0</v>
      </c>
      <c r="D178">
        <v>17</v>
      </c>
      <c r="E178">
        <f t="shared" si="63"/>
        <v>9.0546279159703715</v>
      </c>
      <c r="F178">
        <f t="shared" si="92"/>
        <v>7.874878621498242</v>
      </c>
      <c r="G178">
        <f t="shared" si="65"/>
        <v>9.0264537671460197</v>
      </c>
      <c r="H178">
        <f t="shared" si="89"/>
        <v>7.9071570358489431</v>
      </c>
      <c r="I178">
        <f t="shared" si="90"/>
        <v>3.3380125330825821E-4</v>
      </c>
      <c r="J178">
        <f t="shared" si="66"/>
        <v>1.2512000000000156</v>
      </c>
      <c r="K178">
        <f t="shared" si="91"/>
        <v>3.5466383164002433E-4</v>
      </c>
      <c r="L178">
        <f t="shared" si="67"/>
        <v>1.3221750000000163</v>
      </c>
      <c r="M178" s="7">
        <f t="shared" si="68"/>
        <v>9.0546279159703715</v>
      </c>
      <c r="N178" s="7">
        <f t="shared" si="69"/>
        <v>7.874878621498242</v>
      </c>
      <c r="O178" s="7">
        <f t="shared" si="70"/>
        <v>9.0264537671460197</v>
      </c>
      <c r="P178">
        <f t="shared" si="71"/>
        <v>7.9071570358489431</v>
      </c>
      <c r="Q178" s="7">
        <f t="shared" si="72"/>
        <v>1.2512000000000156</v>
      </c>
      <c r="R178" s="7">
        <f t="shared" si="73"/>
        <v>1.3221750000000163</v>
      </c>
      <c r="S178" s="7">
        <f t="shared" si="74"/>
        <v>0.37546846320988003</v>
      </c>
      <c r="T178" s="7">
        <f t="shared" si="75"/>
        <v>2.9628809010408337</v>
      </c>
      <c r="U178" s="7">
        <f t="shared" si="76"/>
        <v>-1.6971960481027628</v>
      </c>
      <c r="V178">
        <f t="shared" si="77"/>
        <v>-9.0264537671460197</v>
      </c>
      <c r="W178">
        <f t="shared" si="78"/>
        <v>7.9071570358489431</v>
      </c>
      <c r="X178">
        <f t="shared" si="79"/>
        <v>-9.0546279159703715</v>
      </c>
      <c r="Y178" s="10">
        <f t="shared" si="80"/>
        <v>7.874878621498242</v>
      </c>
      <c r="Z178" s="10">
        <f t="shared" si="81"/>
        <v>1.3221750000000163</v>
      </c>
      <c r="AA178" s="10">
        <f t="shared" si="82"/>
        <v>1.2512000000000156</v>
      </c>
      <c r="AB178" s="7">
        <f t="shared" si="83"/>
        <v>0.37546846320988003</v>
      </c>
      <c r="AC178" s="7">
        <f t="shared" si="84"/>
        <v>2.9628809010408337</v>
      </c>
      <c r="AD178" s="7">
        <f t="shared" si="85"/>
        <v>1.6971960481027628</v>
      </c>
      <c r="AE178" s="10">
        <f t="shared" si="86"/>
        <v>0.75093692641976006</v>
      </c>
      <c r="AF178" s="10">
        <f t="shared" si="87"/>
        <v>5.9257618020816674</v>
      </c>
      <c r="AG178" s="10">
        <f t="shared" si="88"/>
        <v>0</v>
      </c>
      <c r="AJ178">
        <v>3.0717794835100101</v>
      </c>
      <c r="AK178">
        <v>-195.21522545072975</v>
      </c>
      <c r="AL178">
        <v>13.094565075692101</v>
      </c>
      <c r="AM178">
        <v>-216.90580605636637</v>
      </c>
      <c r="AN178">
        <v>14.549516750769001</v>
      </c>
      <c r="AQ178">
        <v>176</v>
      </c>
      <c r="AR178">
        <f t="shared" si="57"/>
        <v>-11.970768603117889</v>
      </c>
      <c r="AS178">
        <f t="shared" si="58"/>
        <v>0.83707768492950629</v>
      </c>
    </row>
    <row r="179" spans="1:45" x14ac:dyDescent="0.25">
      <c r="A179" s="15">
        <f t="shared" ca="1" si="59"/>
        <v>0</v>
      </c>
      <c r="B179">
        <f t="shared" ca="1" si="60"/>
        <v>0</v>
      </c>
      <c r="D179">
        <v>18</v>
      </c>
      <c r="E179">
        <f t="shared" si="63"/>
        <v>9.0264537671460197</v>
      </c>
      <c r="F179">
        <f t="shared" si="92"/>
        <v>7.9071570358489431</v>
      </c>
      <c r="G179">
        <f t="shared" si="65"/>
        <v>8.9980756127137074</v>
      </c>
      <c r="H179">
        <f t="shared" si="89"/>
        <v>7.9394354501996443</v>
      </c>
      <c r="I179">
        <f t="shared" si="90"/>
        <v>3.5466383164002433E-4</v>
      </c>
      <c r="J179">
        <f t="shared" si="66"/>
        <v>1.3221750000000163</v>
      </c>
      <c r="K179">
        <f t="shared" si="91"/>
        <v>3.7552640997179051E-4</v>
      </c>
      <c r="L179">
        <f t="shared" si="67"/>
        <v>1.3923000000000172</v>
      </c>
      <c r="M179" s="7">
        <f t="shared" si="68"/>
        <v>9.0264537671460197</v>
      </c>
      <c r="N179" s="7">
        <f t="shared" si="69"/>
        <v>7.9071570358489431</v>
      </c>
      <c r="O179" s="7">
        <f t="shared" si="70"/>
        <v>8.9980756127137074</v>
      </c>
      <c r="P179">
        <f t="shared" si="71"/>
        <v>7.9394354501996443</v>
      </c>
      <c r="Q179" s="7">
        <f t="shared" si="72"/>
        <v>1.3221750000000163</v>
      </c>
      <c r="R179" s="7">
        <f t="shared" si="73"/>
        <v>1.3923000000000172</v>
      </c>
      <c r="S179" s="7">
        <f t="shared" si="74"/>
        <v>0.39481722630958732</v>
      </c>
      <c r="T179" s="7">
        <f t="shared" si="75"/>
        <v>3.1283053736641726</v>
      </c>
      <c r="U179" s="7">
        <f t="shared" si="76"/>
        <v>-1.7790760230379503</v>
      </c>
      <c r="V179">
        <f t="shared" si="77"/>
        <v>-8.9980756127137074</v>
      </c>
      <c r="W179">
        <f t="shared" si="78"/>
        <v>7.9394354501996443</v>
      </c>
      <c r="X179">
        <f t="shared" si="79"/>
        <v>-9.0264537671460197</v>
      </c>
      <c r="Y179" s="10">
        <f t="shared" si="80"/>
        <v>7.9071570358489431</v>
      </c>
      <c r="Z179" s="10">
        <f t="shared" si="81"/>
        <v>1.3923000000000172</v>
      </c>
      <c r="AA179" s="10">
        <f t="shared" si="82"/>
        <v>1.3221750000000163</v>
      </c>
      <c r="AB179" s="7">
        <f t="shared" si="83"/>
        <v>0.39481722630958732</v>
      </c>
      <c r="AC179" s="7">
        <f t="shared" si="84"/>
        <v>3.1283053736641726</v>
      </c>
      <c r="AD179" s="7">
        <f t="shared" si="85"/>
        <v>1.7790760230379503</v>
      </c>
      <c r="AE179" s="10">
        <f t="shared" si="86"/>
        <v>0.78963445261917464</v>
      </c>
      <c r="AF179" s="10">
        <f t="shared" si="87"/>
        <v>6.2566107473283452</v>
      </c>
      <c r="AG179" s="10">
        <f t="shared" si="88"/>
        <v>0</v>
      </c>
      <c r="AJ179">
        <v>3.0892327760299532</v>
      </c>
      <c r="AK179">
        <v>-195.31894988015517</v>
      </c>
      <c r="AL179">
        <v>9.8181432782367271</v>
      </c>
      <c r="AM179">
        <v>-217.02105542239462</v>
      </c>
      <c r="AN179">
        <v>10.909048086929696</v>
      </c>
      <c r="AQ179">
        <v>177</v>
      </c>
      <c r="AR179">
        <f t="shared" si="57"/>
        <v>-11.983554417054886</v>
      </c>
      <c r="AS179">
        <f t="shared" si="58"/>
        <v>0.62803147491532574</v>
      </c>
    </row>
    <row r="180" spans="1:45" x14ac:dyDescent="0.25">
      <c r="A180" s="15">
        <f t="shared" ca="1" si="59"/>
        <v>0</v>
      </c>
      <c r="B180">
        <f t="shared" ca="1" si="60"/>
        <v>0</v>
      </c>
      <c r="D180">
        <v>19</v>
      </c>
      <c r="E180">
        <f t="shared" si="63"/>
        <v>8.9980756127137074</v>
      </c>
      <c r="F180">
        <f t="shared" si="92"/>
        <v>7.9394354501996443</v>
      </c>
      <c r="G180">
        <f t="shared" si="65"/>
        <v>8.9694915163422611</v>
      </c>
      <c r="H180">
        <f t="shared" si="89"/>
        <v>7.9717138645503454</v>
      </c>
      <c r="I180">
        <f t="shared" si="90"/>
        <v>3.7552640997179051E-4</v>
      </c>
      <c r="J180">
        <f t="shared" si="66"/>
        <v>1.3923000000000172</v>
      </c>
      <c r="K180">
        <f t="shared" si="91"/>
        <v>3.9638898830355663E-4</v>
      </c>
      <c r="L180">
        <f t="shared" si="67"/>
        <v>1.4615750000000178</v>
      </c>
      <c r="M180" s="7">
        <f t="shared" si="68"/>
        <v>8.9980756127137074</v>
      </c>
      <c r="N180" s="7">
        <f t="shared" si="69"/>
        <v>7.9394354501996443</v>
      </c>
      <c r="O180" s="7">
        <f t="shared" si="70"/>
        <v>8.9694915163422611</v>
      </c>
      <c r="P180">
        <f t="shared" si="71"/>
        <v>7.9717138645503454</v>
      </c>
      <c r="Q180" s="7">
        <f t="shared" si="72"/>
        <v>1.3923000000000172</v>
      </c>
      <c r="R180" s="7">
        <f t="shared" si="73"/>
        <v>1.4615750000000178</v>
      </c>
      <c r="S180" s="7">
        <f t="shared" si="74"/>
        <v>0.41378127518040619</v>
      </c>
      <c r="T180" s="7">
        <f t="shared" si="75"/>
        <v>3.2919183206138181</v>
      </c>
      <c r="U180" s="7">
        <f t="shared" si="76"/>
        <v>-1.8586383521576899</v>
      </c>
      <c r="V180">
        <f t="shared" si="77"/>
        <v>-8.9694915163422611</v>
      </c>
      <c r="W180">
        <f t="shared" si="78"/>
        <v>7.9717138645503454</v>
      </c>
      <c r="X180">
        <f t="shared" si="79"/>
        <v>-8.9980756127137074</v>
      </c>
      <c r="Y180" s="10">
        <f t="shared" si="80"/>
        <v>7.9394354501996443</v>
      </c>
      <c r="Z180" s="10">
        <f t="shared" si="81"/>
        <v>1.4615750000000178</v>
      </c>
      <c r="AA180" s="10">
        <f t="shared" si="82"/>
        <v>1.3923000000000172</v>
      </c>
      <c r="AB180" s="7">
        <f t="shared" si="83"/>
        <v>0.41378127518040619</v>
      </c>
      <c r="AC180" s="7">
        <f t="shared" si="84"/>
        <v>3.2919183206138181</v>
      </c>
      <c r="AD180" s="7">
        <f t="shared" si="85"/>
        <v>1.8586383521576899</v>
      </c>
      <c r="AE180" s="10">
        <f t="shared" si="86"/>
        <v>0.82756255036081239</v>
      </c>
      <c r="AF180" s="10">
        <f t="shared" si="87"/>
        <v>6.5838366412276361</v>
      </c>
      <c r="AG180" s="10">
        <f t="shared" si="88"/>
        <v>0</v>
      </c>
      <c r="AJ180">
        <v>3.1066860685498963</v>
      </c>
      <c r="AK180">
        <v>-195.39277274866828</v>
      </c>
      <c r="AL180">
        <v>6.5440954336340491</v>
      </c>
      <c r="AM180">
        <v>-217.10308083185365</v>
      </c>
      <c r="AN180">
        <v>7.2712171484822763</v>
      </c>
      <c r="AQ180">
        <v>178</v>
      </c>
      <c r="AR180">
        <f t="shared" si="57"/>
        <v>-11.992689924229149</v>
      </c>
      <c r="AS180">
        <f t="shared" si="58"/>
        <v>0.41879396043001371</v>
      </c>
    </row>
    <row r="181" spans="1:45" x14ac:dyDescent="0.25">
      <c r="A181" s="15">
        <f t="shared" ca="1" si="59"/>
        <v>0</v>
      </c>
      <c r="B181">
        <f t="shared" ca="1" si="60"/>
        <v>0</v>
      </c>
      <c r="D181">
        <v>20</v>
      </c>
      <c r="E181">
        <f t="shared" si="63"/>
        <v>8.9694915163422611</v>
      </c>
      <c r="F181">
        <f t="shared" si="92"/>
        <v>7.9717138645503454</v>
      </c>
      <c r="G181">
        <f t="shared" si="65"/>
        <v>8.9406995027957645</v>
      </c>
      <c r="H181">
        <f t="shared" si="89"/>
        <v>8.0039922789010465</v>
      </c>
      <c r="I181">
        <f t="shared" si="90"/>
        <v>3.9638898830355663E-4</v>
      </c>
      <c r="J181">
        <f t="shared" si="66"/>
        <v>1.4615750000000178</v>
      </c>
      <c r="K181">
        <f t="shared" si="91"/>
        <v>4.172515666353228E-4</v>
      </c>
      <c r="L181">
        <f t="shared" si="67"/>
        <v>1.5300000000000189</v>
      </c>
      <c r="M181" s="7">
        <f t="shared" si="68"/>
        <v>8.9694915163422611</v>
      </c>
      <c r="N181" s="7">
        <f t="shared" si="69"/>
        <v>7.9717138645503454</v>
      </c>
      <c r="O181" s="7">
        <f t="shared" si="70"/>
        <v>8.9406995027957645</v>
      </c>
      <c r="P181">
        <f t="shared" si="71"/>
        <v>8.0039922789010465</v>
      </c>
      <c r="Q181" s="7">
        <f t="shared" si="72"/>
        <v>1.4615750000000178</v>
      </c>
      <c r="R181" s="7">
        <f t="shared" si="73"/>
        <v>1.5300000000000189</v>
      </c>
      <c r="S181" s="7">
        <f t="shared" si="74"/>
        <v>0.43236147622684223</v>
      </c>
      <c r="T181" s="7">
        <f t="shared" si="75"/>
        <v>3.4536894087449519</v>
      </c>
      <c r="U181" s="7">
        <f t="shared" si="76"/>
        <v>-1.9358970969935794</v>
      </c>
      <c r="V181">
        <f t="shared" si="77"/>
        <v>-8.9406995027957645</v>
      </c>
      <c r="W181">
        <f t="shared" si="78"/>
        <v>8.0039922789010465</v>
      </c>
      <c r="X181">
        <f t="shared" si="79"/>
        <v>-8.9694915163422611</v>
      </c>
      <c r="Y181" s="10">
        <f t="shared" si="80"/>
        <v>7.9717138645503454</v>
      </c>
      <c r="Z181" s="10">
        <f t="shared" si="81"/>
        <v>1.5300000000000189</v>
      </c>
      <c r="AA181" s="10">
        <f t="shared" si="82"/>
        <v>1.4615750000000178</v>
      </c>
      <c r="AB181" s="7">
        <f t="shared" si="83"/>
        <v>0.43236147622684223</v>
      </c>
      <c r="AC181" s="7">
        <f t="shared" si="84"/>
        <v>3.4536894087449519</v>
      </c>
      <c r="AD181" s="7">
        <f t="shared" si="85"/>
        <v>1.9358970969935794</v>
      </c>
      <c r="AE181" s="10">
        <f t="shared" si="86"/>
        <v>0.86472295245368447</v>
      </c>
      <c r="AF181" s="10">
        <f t="shared" si="87"/>
        <v>6.9073788174899038</v>
      </c>
      <c r="AG181" s="10">
        <f t="shared" si="88"/>
        <v>0</v>
      </c>
      <c r="AJ181">
        <v>3.1241393610698394</v>
      </c>
      <c r="AK181">
        <v>-195.43695961238922</v>
      </c>
      <c r="AL181">
        <v>3.2716458126756827</v>
      </c>
      <c r="AM181">
        <v>-217.15217734709913</v>
      </c>
      <c r="AN181">
        <v>3.6351620140840919</v>
      </c>
      <c r="AQ181">
        <v>179</v>
      </c>
      <c r="AR181">
        <f t="shared" si="57"/>
        <v>-11.998172341876696</v>
      </c>
      <c r="AS181">
        <f t="shared" si="58"/>
        <v>0.20942887724740128</v>
      </c>
    </row>
    <row r="182" spans="1:45" x14ac:dyDescent="0.25">
      <c r="A182" s="15">
        <f t="shared" ca="1" si="59"/>
        <v>0</v>
      </c>
      <c r="B182">
        <f t="shared" ca="1" si="60"/>
        <v>0</v>
      </c>
      <c r="D182">
        <v>21</v>
      </c>
      <c r="E182">
        <f t="shared" si="63"/>
        <v>8.9406995027957645</v>
      </c>
      <c r="F182">
        <f t="shared" si="92"/>
        <v>8.0039922789010465</v>
      </c>
      <c r="G182">
        <f t="shared" si="65"/>
        <v>8.9116975568509424</v>
      </c>
      <c r="H182">
        <f t="shared" si="89"/>
        <v>8.0362706932517476</v>
      </c>
      <c r="I182">
        <f t="shared" si="90"/>
        <v>4.172515666353228E-4</v>
      </c>
      <c r="J182">
        <f t="shared" si="66"/>
        <v>1.5300000000000189</v>
      </c>
      <c r="K182">
        <f t="shared" si="91"/>
        <v>4.3811414496708892E-4</v>
      </c>
      <c r="L182">
        <f t="shared" si="67"/>
        <v>1.5975750000000193</v>
      </c>
      <c r="M182" s="7">
        <f t="shared" si="68"/>
        <v>8.9406995027957645</v>
      </c>
      <c r="N182" s="7">
        <f t="shared" si="69"/>
        <v>8.0039922789010465</v>
      </c>
      <c r="O182" s="7">
        <f t="shared" si="70"/>
        <v>8.9116975568509424</v>
      </c>
      <c r="P182">
        <f t="shared" si="71"/>
        <v>8.0362706932517476</v>
      </c>
      <c r="Q182" s="7">
        <f t="shared" si="72"/>
        <v>1.5300000000000189</v>
      </c>
      <c r="R182" s="7">
        <f t="shared" si="73"/>
        <v>1.5975750000000193</v>
      </c>
      <c r="S182" s="7">
        <f t="shared" si="74"/>
        <v>0.45055871043397372</v>
      </c>
      <c r="T182" s="7">
        <f t="shared" si="75"/>
        <v>3.6135885337156624</v>
      </c>
      <c r="U182" s="7">
        <f t="shared" si="76"/>
        <v>-2.0108664905926874</v>
      </c>
      <c r="V182">
        <f t="shared" si="77"/>
        <v>-8.9116975568509424</v>
      </c>
      <c r="W182">
        <f t="shared" si="78"/>
        <v>8.0362706932517476</v>
      </c>
      <c r="X182">
        <f t="shared" si="79"/>
        <v>-8.9406995027957645</v>
      </c>
      <c r="Y182" s="10">
        <f t="shared" si="80"/>
        <v>8.0039922789010465</v>
      </c>
      <c r="Z182" s="10">
        <f t="shared" si="81"/>
        <v>1.5975750000000193</v>
      </c>
      <c r="AA182" s="10">
        <f t="shared" si="82"/>
        <v>1.5300000000000189</v>
      </c>
      <c r="AB182" s="7">
        <f t="shared" si="83"/>
        <v>0.45055871043397372</v>
      </c>
      <c r="AC182" s="7">
        <f t="shared" si="84"/>
        <v>3.6135885337156624</v>
      </c>
      <c r="AD182" s="7">
        <f t="shared" si="85"/>
        <v>2.0108664905926874</v>
      </c>
      <c r="AE182" s="10">
        <f t="shared" si="86"/>
        <v>0.90111742086794744</v>
      </c>
      <c r="AF182" s="10">
        <f t="shared" si="87"/>
        <v>7.2271770674313247</v>
      </c>
      <c r="AG182" s="10">
        <f t="shared" si="88"/>
        <v>0</v>
      </c>
      <c r="AJ182">
        <v>3.1415926535897825</v>
      </c>
      <c r="AK182">
        <v>-195.45167071178926</v>
      </c>
      <c r="AL182">
        <v>1.6117963364975045E-12</v>
      </c>
      <c r="AM182">
        <v>-217.16852301309916</v>
      </c>
      <c r="AN182">
        <v>1.7908848183305606E-12</v>
      </c>
      <c r="AQ182">
        <v>180</v>
      </c>
      <c r="AR182">
        <f t="shared" si="57"/>
        <v>-12</v>
      </c>
      <c r="AS182">
        <f t="shared" si="58"/>
        <v>1.470178145890344E-15</v>
      </c>
    </row>
    <row r="183" spans="1:45" x14ac:dyDescent="0.25">
      <c r="A183" s="15">
        <f t="shared" ca="1" si="59"/>
        <v>0</v>
      </c>
      <c r="B183">
        <f t="shared" ca="1" si="60"/>
        <v>0</v>
      </c>
      <c r="D183">
        <v>22</v>
      </c>
      <c r="E183">
        <f t="shared" si="63"/>
        <v>8.9116975568509424</v>
      </c>
      <c r="F183">
        <f t="shared" si="92"/>
        <v>8.0362706932517476</v>
      </c>
      <c r="G183">
        <f t="shared" si="65"/>
        <v>8.8824836221750356</v>
      </c>
      <c r="H183">
        <f t="shared" si="89"/>
        <v>8.0685491076024487</v>
      </c>
      <c r="I183">
        <f t="shared" si="90"/>
        <v>4.3811414496708892E-4</v>
      </c>
      <c r="J183">
        <f t="shared" si="66"/>
        <v>1.5975750000000193</v>
      </c>
      <c r="K183">
        <f t="shared" si="91"/>
        <v>4.5897672329885505E-4</v>
      </c>
      <c r="L183">
        <f t="shared" si="67"/>
        <v>1.6643000000000199</v>
      </c>
      <c r="M183" s="7">
        <f t="shared" si="68"/>
        <v>8.9116975568509424</v>
      </c>
      <c r="N183" s="7">
        <f t="shared" si="69"/>
        <v>8.0362706932517476</v>
      </c>
      <c r="O183" s="7">
        <f t="shared" si="70"/>
        <v>8.8824836221750356</v>
      </c>
      <c r="P183">
        <f t="shared" si="71"/>
        <v>8.0685491076024487</v>
      </c>
      <c r="Q183" s="7">
        <f t="shared" si="72"/>
        <v>1.5975750000000193</v>
      </c>
      <c r="R183" s="7">
        <f t="shared" si="73"/>
        <v>1.6643000000000199</v>
      </c>
      <c r="S183" s="7">
        <f t="shared" si="74"/>
        <v>0.46837387341853032</v>
      </c>
      <c r="T183" s="7">
        <f t="shared" si="75"/>
        <v>3.7715858227514283</v>
      </c>
      <c r="U183" s="7">
        <f t="shared" si="76"/>
        <v>-2.083560937517499</v>
      </c>
      <c r="V183">
        <f t="shared" si="77"/>
        <v>-8.8824836221750356</v>
      </c>
      <c r="W183">
        <f t="shared" si="78"/>
        <v>8.0685491076024487</v>
      </c>
      <c r="X183">
        <f t="shared" si="79"/>
        <v>-8.9116975568509424</v>
      </c>
      <c r="Y183" s="10">
        <f t="shared" si="80"/>
        <v>8.0362706932517476</v>
      </c>
      <c r="Z183" s="10">
        <f t="shared" si="81"/>
        <v>1.6643000000000199</v>
      </c>
      <c r="AA183" s="10">
        <f t="shared" si="82"/>
        <v>1.5975750000000193</v>
      </c>
      <c r="AB183" s="7">
        <f t="shared" si="83"/>
        <v>0.46837387341853032</v>
      </c>
      <c r="AC183" s="7">
        <f t="shared" si="84"/>
        <v>3.7715858227514283</v>
      </c>
      <c r="AD183" s="7">
        <f t="shared" si="85"/>
        <v>2.083560937517499</v>
      </c>
      <c r="AE183" s="10">
        <f t="shared" si="86"/>
        <v>0.93674774683706064</v>
      </c>
      <c r="AF183" s="10">
        <f t="shared" si="87"/>
        <v>7.5431716455028566</v>
      </c>
      <c r="AG183" s="10">
        <f t="shared" si="88"/>
        <v>0</v>
      </c>
      <c r="AJ183">
        <v>3.1590459461097256</v>
      </c>
      <c r="AK183">
        <v>-195.43695961238973</v>
      </c>
      <c r="AL183">
        <v>-3.2716458126705166</v>
      </c>
      <c r="AM183">
        <v>-217.15217734709969</v>
      </c>
      <c r="AN183">
        <v>-3.6351620140783516</v>
      </c>
      <c r="AQ183">
        <v>181</v>
      </c>
      <c r="AR183">
        <f t="shared" si="57"/>
        <v>-11.998172341876696</v>
      </c>
      <c r="AS183">
        <f t="shared" si="58"/>
        <v>-0.20942887724740364</v>
      </c>
    </row>
    <row r="184" spans="1:45" x14ac:dyDescent="0.25">
      <c r="A184" s="15">
        <f t="shared" ca="1" si="59"/>
        <v>0</v>
      </c>
      <c r="B184">
        <f t="shared" ca="1" si="60"/>
        <v>0</v>
      </c>
      <c r="D184">
        <v>23</v>
      </c>
      <c r="E184">
        <f t="shared" si="63"/>
        <v>8.8824836221750356</v>
      </c>
      <c r="F184">
        <f t="shared" si="92"/>
        <v>8.0685491076024487</v>
      </c>
      <c r="G184">
        <f t="shared" si="65"/>
        <v>8.8530556001623744</v>
      </c>
      <c r="H184">
        <f t="shared" si="89"/>
        <v>8.1008275219531498</v>
      </c>
      <c r="I184">
        <f t="shared" si="90"/>
        <v>4.5897672329885505E-4</v>
      </c>
      <c r="J184">
        <f t="shared" si="66"/>
        <v>1.6643000000000199</v>
      </c>
      <c r="K184">
        <f t="shared" si="91"/>
        <v>4.7983930163062117E-4</v>
      </c>
      <c r="L184">
        <f t="shared" si="67"/>
        <v>1.7301750000000207</v>
      </c>
      <c r="M184" s="7">
        <f t="shared" si="68"/>
        <v>8.8824836221750356</v>
      </c>
      <c r="N184" s="7">
        <f t="shared" si="69"/>
        <v>8.0685491076024487</v>
      </c>
      <c r="O184" s="7">
        <f t="shared" si="70"/>
        <v>8.8530556001623744</v>
      </c>
      <c r="P184">
        <f t="shared" si="71"/>
        <v>8.1008275219531498</v>
      </c>
      <c r="Q184" s="7">
        <f t="shared" si="72"/>
        <v>1.6643000000000199</v>
      </c>
      <c r="R184" s="7">
        <f t="shared" si="73"/>
        <v>1.7301750000000207</v>
      </c>
      <c r="S184" s="7">
        <f t="shared" si="74"/>
        <v>0.48580787547983634</v>
      </c>
      <c r="T184" s="7">
        <f t="shared" si="75"/>
        <v>3.9276516374184256</v>
      </c>
      <c r="U184" s="7">
        <f t="shared" si="76"/>
        <v>-2.153995013845853</v>
      </c>
      <c r="V184">
        <f t="shared" si="77"/>
        <v>-8.8530556001623744</v>
      </c>
      <c r="W184">
        <f t="shared" si="78"/>
        <v>8.1008275219531498</v>
      </c>
      <c r="X184">
        <f t="shared" si="79"/>
        <v>-8.8824836221750356</v>
      </c>
      <c r="Y184" s="10">
        <f t="shared" si="80"/>
        <v>8.0685491076024487</v>
      </c>
      <c r="Z184" s="10">
        <f t="shared" si="81"/>
        <v>1.7301750000000207</v>
      </c>
      <c r="AA184" s="10">
        <f t="shared" si="82"/>
        <v>1.6643000000000199</v>
      </c>
      <c r="AB184" s="7">
        <f t="shared" si="83"/>
        <v>0.48580787547983634</v>
      </c>
      <c r="AC184" s="7">
        <f t="shared" si="84"/>
        <v>3.9276516374184256</v>
      </c>
      <c r="AD184" s="7">
        <f t="shared" si="85"/>
        <v>2.153995013845853</v>
      </c>
      <c r="AE184" s="10">
        <f t="shared" si="86"/>
        <v>0.97161575095967267</v>
      </c>
      <c r="AF184" s="10">
        <f t="shared" si="87"/>
        <v>7.8553032748368512</v>
      </c>
      <c r="AG184" s="10">
        <f t="shared" si="88"/>
        <v>0</v>
      </c>
      <c r="AJ184">
        <v>3.1764992386296687</v>
      </c>
      <c r="AK184">
        <v>-195.39277274866839</v>
      </c>
      <c r="AL184">
        <v>-6.544095433630396</v>
      </c>
      <c r="AM184">
        <v>-217.10308083185376</v>
      </c>
      <c r="AN184">
        <v>-7.2712171484782173</v>
      </c>
      <c r="AQ184">
        <v>182</v>
      </c>
      <c r="AR184">
        <f t="shared" si="57"/>
        <v>-11.992689924229149</v>
      </c>
      <c r="AS184">
        <f t="shared" si="58"/>
        <v>-0.41879396043001083</v>
      </c>
    </row>
    <row r="185" spans="1:45" x14ac:dyDescent="0.25">
      <c r="A185" s="15">
        <f t="shared" ca="1" si="59"/>
        <v>0</v>
      </c>
      <c r="B185">
        <f t="shared" ca="1" si="60"/>
        <v>0</v>
      </c>
      <c r="D185">
        <v>24</v>
      </c>
      <c r="E185">
        <f t="shared" si="63"/>
        <v>8.8530556001623744</v>
      </c>
      <c r="F185">
        <f t="shared" si="92"/>
        <v>8.1008275219531498</v>
      </c>
      <c r="G185">
        <f t="shared" si="65"/>
        <v>8.823411348727829</v>
      </c>
      <c r="H185">
        <f t="shared" si="89"/>
        <v>8.1331059363038509</v>
      </c>
      <c r="I185">
        <f t="shared" si="90"/>
        <v>4.7983930163062117E-4</v>
      </c>
      <c r="J185">
        <f t="shared" si="66"/>
        <v>1.7301750000000207</v>
      </c>
      <c r="K185">
        <f t="shared" si="91"/>
        <v>5.0070187996238734E-4</v>
      </c>
      <c r="L185">
        <f t="shared" si="67"/>
        <v>1.7952000000000212</v>
      </c>
      <c r="M185" s="7">
        <f t="shared" si="68"/>
        <v>8.8530556001623744</v>
      </c>
      <c r="N185" s="7">
        <f t="shared" si="69"/>
        <v>8.1008275219531498</v>
      </c>
      <c r="O185" s="7">
        <f t="shared" si="70"/>
        <v>8.823411348727829</v>
      </c>
      <c r="P185">
        <f t="shared" si="71"/>
        <v>8.1331059363038509</v>
      </c>
      <c r="Q185" s="7">
        <f t="shared" si="72"/>
        <v>1.7301750000000207</v>
      </c>
      <c r="R185" s="7">
        <f t="shared" si="73"/>
        <v>1.7952000000000212</v>
      </c>
      <c r="S185" s="7">
        <f t="shared" si="74"/>
        <v>0.50286164165055491</v>
      </c>
      <c r="T185" s="7">
        <f t="shared" si="75"/>
        <v>4.0817565764050574</v>
      </c>
      <c r="U185" s="7">
        <f t="shared" si="76"/>
        <v>-2.2221834671708791</v>
      </c>
      <c r="V185">
        <f t="shared" si="77"/>
        <v>-8.823411348727829</v>
      </c>
      <c r="W185">
        <f t="shared" si="78"/>
        <v>8.1331059363038509</v>
      </c>
      <c r="X185">
        <f t="shared" si="79"/>
        <v>-8.8530556001623744</v>
      </c>
      <c r="Y185" s="10">
        <f t="shared" si="80"/>
        <v>8.1008275219531498</v>
      </c>
      <c r="Z185" s="10">
        <f t="shared" si="81"/>
        <v>1.7952000000000212</v>
      </c>
      <c r="AA185" s="10">
        <f t="shared" si="82"/>
        <v>1.7301750000000207</v>
      </c>
      <c r="AB185" s="7">
        <f t="shared" si="83"/>
        <v>0.50286164165055491</v>
      </c>
      <c r="AC185" s="7">
        <f t="shared" si="84"/>
        <v>4.0817565764050574</v>
      </c>
      <c r="AD185" s="7">
        <f t="shared" si="85"/>
        <v>2.2221834671708791</v>
      </c>
      <c r="AE185" s="10">
        <f t="shared" si="86"/>
        <v>1.0057232833011098</v>
      </c>
      <c r="AF185" s="10">
        <f t="shared" si="87"/>
        <v>8.1635131528101148</v>
      </c>
      <c r="AG185" s="10">
        <f t="shared" si="88"/>
        <v>0</v>
      </c>
      <c r="AJ185">
        <v>3.1939525311496118</v>
      </c>
      <c r="AK185">
        <v>-195.31894988015677</v>
      </c>
      <c r="AL185">
        <v>-9.8181432782329274</v>
      </c>
      <c r="AM185">
        <v>-217.02105542239639</v>
      </c>
      <c r="AN185">
        <v>-10.909048086925475</v>
      </c>
      <c r="AQ185">
        <v>183</v>
      </c>
      <c r="AR185">
        <f t="shared" si="57"/>
        <v>-11.983554417054886</v>
      </c>
      <c r="AS185">
        <f t="shared" si="58"/>
        <v>-0.62803147491532263</v>
      </c>
    </row>
    <row r="186" spans="1:45" x14ac:dyDescent="0.25">
      <c r="A186" s="15">
        <f t="shared" ca="1" si="59"/>
        <v>0</v>
      </c>
      <c r="B186">
        <f t="shared" ca="1" si="60"/>
        <v>0</v>
      </c>
      <c r="D186">
        <v>25</v>
      </c>
      <c r="E186">
        <f t="shared" si="63"/>
        <v>8.823411348727829</v>
      </c>
      <c r="F186">
        <f t="shared" si="92"/>
        <v>8.1331059363038509</v>
      </c>
      <c r="G186">
        <f t="shared" si="65"/>
        <v>8.7935486810550909</v>
      </c>
      <c r="H186">
        <f t="shared" si="89"/>
        <v>8.165384350654552</v>
      </c>
      <c r="I186">
        <f t="shared" si="90"/>
        <v>5.0070187996238734E-4</v>
      </c>
      <c r="J186">
        <f t="shared" si="66"/>
        <v>1.7952000000000212</v>
      </c>
      <c r="K186">
        <f t="shared" si="91"/>
        <v>5.2156445829415346E-4</v>
      </c>
      <c r="L186">
        <f t="shared" si="67"/>
        <v>1.8593750000000218</v>
      </c>
      <c r="M186" s="7">
        <f t="shared" si="68"/>
        <v>8.823411348727829</v>
      </c>
      <c r="N186" s="7">
        <f t="shared" si="69"/>
        <v>8.1331059363038509</v>
      </c>
      <c r="O186" s="7">
        <f t="shared" si="70"/>
        <v>8.7935486810550909</v>
      </c>
      <c r="P186">
        <f t="shared" si="71"/>
        <v>8.165384350654552</v>
      </c>
      <c r="Q186" s="7">
        <f t="shared" si="72"/>
        <v>1.7952000000000212</v>
      </c>
      <c r="R186" s="7">
        <f t="shared" si="73"/>
        <v>1.8593750000000218</v>
      </c>
      <c r="S186" s="7">
        <f t="shared" si="74"/>
        <v>0.51953611174716152</v>
      </c>
      <c r="T186" s="7">
        <f t="shared" si="75"/>
        <v>4.2338714783111255</v>
      </c>
      <c r="U186" s="7">
        <f t="shared" si="76"/>
        <v>-2.2881412166009349</v>
      </c>
      <c r="V186">
        <f t="shared" si="77"/>
        <v>-8.7935486810550909</v>
      </c>
      <c r="W186">
        <f t="shared" si="78"/>
        <v>8.165384350654552</v>
      </c>
      <c r="X186">
        <f t="shared" si="79"/>
        <v>-8.823411348727829</v>
      </c>
      <c r="Y186" s="10">
        <f t="shared" si="80"/>
        <v>8.1331059363038509</v>
      </c>
      <c r="Z186" s="10">
        <f t="shared" si="81"/>
        <v>1.8593750000000218</v>
      </c>
      <c r="AA186" s="10">
        <f t="shared" si="82"/>
        <v>1.7952000000000212</v>
      </c>
      <c r="AB186" s="7">
        <f t="shared" si="83"/>
        <v>0.51953611174716152</v>
      </c>
      <c r="AC186" s="7">
        <f t="shared" si="84"/>
        <v>4.2338714783111255</v>
      </c>
      <c r="AD186" s="7">
        <f t="shared" si="85"/>
        <v>2.2881412166009349</v>
      </c>
      <c r="AE186" s="10">
        <f t="shared" si="86"/>
        <v>1.039072223494323</v>
      </c>
      <c r="AF186" s="10">
        <f t="shared" si="87"/>
        <v>8.4677429566222511</v>
      </c>
      <c r="AG186" s="10">
        <f t="shared" si="88"/>
        <v>0</v>
      </c>
      <c r="AJ186">
        <v>3.2114058236695548</v>
      </c>
      <c r="AK186">
        <v>-195.21522545072952</v>
      </c>
      <c r="AL186">
        <v>-13.094565075687624</v>
      </c>
      <c r="AM186">
        <v>-216.90580605636612</v>
      </c>
      <c r="AN186">
        <v>-14.549516750764028</v>
      </c>
      <c r="AQ186">
        <v>184</v>
      </c>
      <c r="AR186">
        <f t="shared" si="57"/>
        <v>-11.970768603117889</v>
      </c>
      <c r="AS186">
        <f t="shared" si="58"/>
        <v>-0.8370776849295033</v>
      </c>
    </row>
    <row r="187" spans="1:45" x14ac:dyDescent="0.25">
      <c r="A187" s="15">
        <f t="shared" ca="1" si="59"/>
        <v>0</v>
      </c>
      <c r="B187">
        <f t="shared" ca="1" si="60"/>
        <v>0</v>
      </c>
      <c r="D187">
        <v>26</v>
      </c>
      <c r="E187">
        <f t="shared" si="63"/>
        <v>8.7935486810550909</v>
      </c>
      <c r="F187">
        <f t="shared" si="92"/>
        <v>8.165384350654552</v>
      </c>
      <c r="G187">
        <f t="shared" si="65"/>
        <v>8.7634653642977582</v>
      </c>
      <c r="H187">
        <f t="shared" si="89"/>
        <v>8.1976627650052531</v>
      </c>
      <c r="I187">
        <f t="shared" si="90"/>
        <v>5.2156445829415346E-4</v>
      </c>
      <c r="J187">
        <f t="shared" si="66"/>
        <v>1.8593750000000218</v>
      </c>
      <c r="K187">
        <f t="shared" si="91"/>
        <v>5.4242703662591958E-4</v>
      </c>
      <c r="L187">
        <f t="shared" si="67"/>
        <v>1.9227000000000223</v>
      </c>
      <c r="M187" s="7">
        <f t="shared" si="68"/>
        <v>8.7935486810550909</v>
      </c>
      <c r="N187" s="7">
        <f t="shared" si="69"/>
        <v>8.165384350654552</v>
      </c>
      <c r="O187" s="7">
        <f t="shared" si="70"/>
        <v>8.7634653642977582</v>
      </c>
      <c r="P187">
        <f t="shared" si="71"/>
        <v>8.1976627650052531</v>
      </c>
      <c r="Q187" s="7">
        <f t="shared" si="72"/>
        <v>1.8593750000000218</v>
      </c>
      <c r="R187" s="7">
        <f t="shared" si="73"/>
        <v>1.9227000000000223</v>
      </c>
      <c r="S187" s="7">
        <f t="shared" si="74"/>
        <v>0.53583224042006883</v>
      </c>
      <c r="T187" s="7">
        <f t="shared" si="75"/>
        <v>4.3839674244439131</v>
      </c>
      <c r="U187" s="7">
        <f t="shared" si="76"/>
        <v>-2.3518833527595331</v>
      </c>
      <c r="V187">
        <f t="shared" si="77"/>
        <v>-8.7634653642977582</v>
      </c>
      <c r="W187">
        <f t="shared" si="78"/>
        <v>8.1976627650052531</v>
      </c>
      <c r="X187">
        <f t="shared" si="79"/>
        <v>-8.7935486810550909</v>
      </c>
      <c r="Y187" s="10">
        <f t="shared" si="80"/>
        <v>8.165384350654552</v>
      </c>
      <c r="Z187" s="10">
        <f t="shared" si="81"/>
        <v>1.9227000000000223</v>
      </c>
      <c r="AA187" s="10">
        <f t="shared" si="82"/>
        <v>1.8593750000000218</v>
      </c>
      <c r="AB187" s="7">
        <f t="shared" si="83"/>
        <v>0.53583224042006883</v>
      </c>
      <c r="AC187" s="7">
        <f t="shared" si="84"/>
        <v>4.3839674244439122</v>
      </c>
      <c r="AD187" s="7">
        <f t="shared" si="85"/>
        <v>2.3518833527595331</v>
      </c>
      <c r="AE187" s="10">
        <f t="shared" si="86"/>
        <v>1.0716644808401377</v>
      </c>
      <c r="AF187" s="10">
        <f t="shared" si="87"/>
        <v>8.7679348488878261</v>
      </c>
      <c r="AG187" s="10">
        <f t="shared" si="88"/>
        <v>0</v>
      </c>
      <c r="AJ187">
        <v>3.2288591161894979</v>
      </c>
      <c r="AK187">
        <v>-195.08123084825655</v>
      </c>
      <c r="AL187">
        <v>-16.374108775514092</v>
      </c>
      <c r="AM187">
        <v>-216.7569231647295</v>
      </c>
      <c r="AN187">
        <v>-18.193454195015658</v>
      </c>
      <c r="AQ187">
        <v>185</v>
      </c>
      <c r="AR187">
        <f t="shared" si="57"/>
        <v>-11.954336377100947</v>
      </c>
      <c r="AS187">
        <f t="shared" si="58"/>
        <v>-1.0458689129718954</v>
      </c>
    </row>
    <row r="188" spans="1:45" x14ac:dyDescent="0.25">
      <c r="A188" s="15">
        <f t="shared" ca="1" si="59"/>
        <v>0</v>
      </c>
      <c r="B188">
        <f t="shared" ca="1" si="60"/>
        <v>0</v>
      </c>
      <c r="D188">
        <v>27</v>
      </c>
      <c r="E188">
        <f t="shared" si="63"/>
        <v>8.7634653642977582</v>
      </c>
      <c r="F188">
        <f t="shared" si="92"/>
        <v>8.1976627650052531</v>
      </c>
      <c r="G188">
        <f t="shared" si="65"/>
        <v>8.7331591182309918</v>
      </c>
      <c r="H188">
        <f t="shared" si="89"/>
        <v>8.2299411793559543</v>
      </c>
      <c r="I188">
        <f t="shared" si="90"/>
        <v>5.4242703662591958E-4</v>
      </c>
      <c r="J188">
        <f t="shared" si="66"/>
        <v>1.9227000000000223</v>
      </c>
      <c r="K188">
        <f t="shared" si="91"/>
        <v>5.6328961495768571E-4</v>
      </c>
      <c r="L188">
        <f t="shared" si="67"/>
        <v>1.985175000000023</v>
      </c>
      <c r="M188" s="7">
        <f t="shared" si="68"/>
        <v>8.7634653642977582</v>
      </c>
      <c r="N188" s="7">
        <f t="shared" si="69"/>
        <v>8.1976627650052531</v>
      </c>
      <c r="O188" s="7">
        <f t="shared" si="70"/>
        <v>8.7331591182309918</v>
      </c>
      <c r="P188">
        <f t="shared" si="71"/>
        <v>8.2299411793559543</v>
      </c>
      <c r="Q188" s="7">
        <f t="shared" si="72"/>
        <v>1.9227000000000223</v>
      </c>
      <c r="R188" s="7">
        <f t="shared" si="73"/>
        <v>1.985175000000023</v>
      </c>
      <c r="S188" s="7">
        <f t="shared" si="74"/>
        <v>0.55175099720331988</v>
      </c>
      <c r="T188" s="7">
        <f t="shared" si="75"/>
        <v>4.532015741620441</v>
      </c>
      <c r="U188" s="7">
        <f t="shared" si="76"/>
        <v>-2.4134251377852691</v>
      </c>
      <c r="V188">
        <f t="shared" si="77"/>
        <v>-8.7331591182309918</v>
      </c>
      <c r="W188">
        <f t="shared" si="78"/>
        <v>8.2299411793559543</v>
      </c>
      <c r="X188">
        <f t="shared" si="79"/>
        <v>-8.7634653642977582</v>
      </c>
      <c r="Y188" s="10">
        <f t="shared" si="80"/>
        <v>8.1976627650052531</v>
      </c>
      <c r="Z188" s="10">
        <f t="shared" si="81"/>
        <v>1.985175000000023</v>
      </c>
      <c r="AA188" s="10">
        <f t="shared" si="82"/>
        <v>1.9227000000000223</v>
      </c>
      <c r="AB188" s="7">
        <f t="shared" si="83"/>
        <v>0.55175099720331988</v>
      </c>
      <c r="AC188" s="7">
        <f t="shared" si="84"/>
        <v>4.5320157416204419</v>
      </c>
      <c r="AD188" s="7">
        <f t="shared" si="85"/>
        <v>2.4134251377852691</v>
      </c>
      <c r="AE188" s="10">
        <f t="shared" si="86"/>
        <v>1.1035019944066398</v>
      </c>
      <c r="AF188" s="10">
        <f t="shared" si="87"/>
        <v>9.0640314832408819</v>
      </c>
      <c r="AG188" s="10">
        <f t="shared" si="88"/>
        <v>0</v>
      </c>
      <c r="AJ188">
        <v>3.246312408709441</v>
      </c>
      <c r="AK188">
        <v>-194.9164975004706</v>
      </c>
      <c r="AL188">
        <v>-19.657485745371126</v>
      </c>
      <c r="AM188">
        <v>-216.57388611163398</v>
      </c>
      <c r="AN188">
        <v>-21.84165082819014</v>
      </c>
      <c r="AQ188">
        <v>186</v>
      </c>
      <c r="AR188">
        <f t="shared" si="57"/>
        <v>-11.934262744419279</v>
      </c>
      <c r="AS188">
        <f t="shared" si="58"/>
        <v>-1.2543415592118419</v>
      </c>
    </row>
    <row r="189" spans="1:45" x14ac:dyDescent="0.25">
      <c r="A189" s="15">
        <f t="shared" ca="1" si="59"/>
        <v>0</v>
      </c>
      <c r="B189">
        <f t="shared" ca="1" si="60"/>
        <v>0</v>
      </c>
      <c r="D189">
        <v>28</v>
      </c>
      <c r="E189">
        <f t="shared" si="63"/>
        <v>8.7331591182309918</v>
      </c>
      <c r="F189">
        <f t="shared" si="92"/>
        <v>8.2299411793559543</v>
      </c>
      <c r="G189">
        <f t="shared" si="65"/>
        <v>8.7026276138514529</v>
      </c>
      <c r="H189">
        <f t="shared" si="89"/>
        <v>8.2622195937066554</v>
      </c>
      <c r="I189">
        <f t="shared" si="90"/>
        <v>5.6328961495768571E-4</v>
      </c>
      <c r="J189">
        <f t="shared" si="66"/>
        <v>1.985175000000023</v>
      </c>
      <c r="K189">
        <f t="shared" si="91"/>
        <v>5.8415219328945194E-4</v>
      </c>
      <c r="L189">
        <f t="shared" si="67"/>
        <v>2.0468000000000237</v>
      </c>
      <c r="M189" s="7">
        <f t="shared" si="68"/>
        <v>8.7331591182309918</v>
      </c>
      <c r="N189" s="7">
        <f t="shared" si="69"/>
        <v>8.2299411793559543</v>
      </c>
      <c r="O189" s="7">
        <f t="shared" si="70"/>
        <v>8.7026276138514529</v>
      </c>
      <c r="P189">
        <f t="shared" si="71"/>
        <v>8.2622195937066554</v>
      </c>
      <c r="Q189" s="7">
        <f t="shared" si="72"/>
        <v>1.985175000000023</v>
      </c>
      <c r="R189" s="7">
        <f t="shared" si="73"/>
        <v>2.0468000000000237</v>
      </c>
      <c r="S189" s="7">
        <f t="shared" si="74"/>
        <v>0.56729336656376206</v>
      </c>
      <c r="T189" s="7">
        <f t="shared" si="75"/>
        <v>4.6779880049750462</v>
      </c>
      <c r="U189" s="7">
        <f t="shared" si="76"/>
        <v>-2.4727820053317466</v>
      </c>
      <c r="V189">
        <f t="shared" si="77"/>
        <v>-8.7026276138514529</v>
      </c>
      <c r="W189">
        <f t="shared" si="78"/>
        <v>8.2622195937066554</v>
      </c>
      <c r="X189">
        <f t="shared" si="79"/>
        <v>-8.7331591182309918</v>
      </c>
      <c r="Y189" s="10">
        <f t="shared" si="80"/>
        <v>8.2299411793559543</v>
      </c>
      <c r="Z189" s="10">
        <f t="shared" si="81"/>
        <v>2.0468000000000237</v>
      </c>
      <c r="AA189" s="10">
        <f t="shared" si="82"/>
        <v>1.985175000000023</v>
      </c>
      <c r="AB189" s="7">
        <f t="shared" si="83"/>
        <v>0.56729336656376206</v>
      </c>
      <c r="AC189" s="7">
        <f t="shared" si="84"/>
        <v>4.6779880049750462</v>
      </c>
      <c r="AD189" s="7">
        <f t="shared" si="85"/>
        <v>2.4727820053317466</v>
      </c>
      <c r="AE189" s="10">
        <f t="shared" si="86"/>
        <v>1.1345867331275241</v>
      </c>
      <c r="AF189" s="10">
        <f t="shared" si="87"/>
        <v>9.3559760099500924</v>
      </c>
      <c r="AG189" s="10">
        <f t="shared" si="88"/>
        <v>0</v>
      </c>
      <c r="AJ189">
        <v>3.2637657012293841</v>
      </c>
      <c r="AK189">
        <v>-194.72046080381699</v>
      </c>
      <c r="AL189">
        <v>-22.945362353627729</v>
      </c>
      <c r="AM189">
        <v>-216.35606755979666</v>
      </c>
      <c r="AN189">
        <v>-25.494847059586366</v>
      </c>
      <c r="AQ189">
        <v>187</v>
      </c>
      <c r="AR189">
        <f t="shared" si="57"/>
        <v>-11.910553819695865</v>
      </c>
      <c r="AS189">
        <f t="shared" si="58"/>
        <v>-1.4624321208617677</v>
      </c>
    </row>
    <row r="190" spans="1:45" x14ac:dyDescent="0.25">
      <c r="A190" s="15">
        <f t="shared" ca="1" si="59"/>
        <v>0</v>
      </c>
      <c r="B190">
        <f t="shared" ca="1" si="60"/>
        <v>0</v>
      </c>
      <c r="D190">
        <v>29</v>
      </c>
      <c r="E190">
        <f t="shared" si="63"/>
        <v>8.7026276138514529</v>
      </c>
      <c r="F190">
        <f t="shared" si="92"/>
        <v>8.2622195937066554</v>
      </c>
      <c r="G190">
        <f t="shared" si="65"/>
        <v>8.6718684719230232</v>
      </c>
      <c r="H190">
        <f t="shared" si="89"/>
        <v>8.2944980080573565</v>
      </c>
      <c r="I190">
        <f t="shared" si="90"/>
        <v>5.8415219328945194E-4</v>
      </c>
      <c r="J190">
        <f t="shared" si="66"/>
        <v>2.0468000000000237</v>
      </c>
      <c r="K190">
        <f t="shared" si="91"/>
        <v>6.0501477162121806E-4</v>
      </c>
      <c r="L190">
        <f t="shared" si="67"/>
        <v>2.1075750000000237</v>
      </c>
      <c r="M190" s="7">
        <f t="shared" si="68"/>
        <v>8.7026276138514529</v>
      </c>
      <c r="N190" s="7">
        <f t="shared" si="69"/>
        <v>8.2622195937066554</v>
      </c>
      <c r="O190" s="7">
        <f t="shared" si="70"/>
        <v>8.6718684719230232</v>
      </c>
      <c r="P190">
        <f t="shared" si="71"/>
        <v>8.2944980080573565</v>
      </c>
      <c r="Q190" s="7">
        <f t="shared" si="72"/>
        <v>2.0468000000000237</v>
      </c>
      <c r="R190" s="7">
        <f t="shared" si="73"/>
        <v>2.1075750000000237</v>
      </c>
      <c r="S190" s="7">
        <f t="shared" si="74"/>
        <v>0.58246034794960144</v>
      </c>
      <c r="T190" s="7">
        <f t="shared" si="75"/>
        <v>4.8218560407713769</v>
      </c>
      <c r="U190" s="7">
        <f t="shared" si="76"/>
        <v>-2.5299695605674959</v>
      </c>
      <c r="V190">
        <f t="shared" si="77"/>
        <v>-8.6718684719230232</v>
      </c>
      <c r="W190">
        <f t="shared" si="78"/>
        <v>8.2944980080573565</v>
      </c>
      <c r="X190">
        <f t="shared" si="79"/>
        <v>-8.7026276138514529</v>
      </c>
      <c r="Y190" s="10">
        <f t="shared" si="80"/>
        <v>8.2622195937066554</v>
      </c>
      <c r="Z190" s="10">
        <f t="shared" si="81"/>
        <v>2.1075750000000237</v>
      </c>
      <c r="AA190" s="10">
        <f t="shared" si="82"/>
        <v>2.0468000000000237</v>
      </c>
      <c r="AB190" s="7">
        <f t="shared" si="83"/>
        <v>0.58246034794960144</v>
      </c>
      <c r="AC190" s="7">
        <f t="shared" si="84"/>
        <v>4.8218560407713769</v>
      </c>
      <c r="AD190" s="7">
        <f t="shared" si="85"/>
        <v>2.5299695605674954</v>
      </c>
      <c r="AE190" s="10">
        <f t="shared" si="86"/>
        <v>1.1649206958992029</v>
      </c>
      <c r="AF190" s="10">
        <f t="shared" si="87"/>
        <v>9.6437120815427537</v>
      </c>
      <c r="AG190" s="10">
        <f t="shared" si="88"/>
        <v>0</v>
      </c>
      <c r="AJ190">
        <v>3.2812189937493272</v>
      </c>
      <c r="AK190">
        <v>-194.49246479866011</v>
      </c>
      <c r="AL190">
        <v>-26.23835201568227</v>
      </c>
      <c r="AM190">
        <v>-216.1027386651779</v>
      </c>
      <c r="AN190">
        <v>-29.153724461869189</v>
      </c>
      <c r="AQ190">
        <v>188</v>
      </c>
      <c r="AR190">
        <f t="shared" si="57"/>
        <v>-11.883216824898843</v>
      </c>
      <c r="AS190">
        <f t="shared" si="58"/>
        <v>-1.6700772115207863</v>
      </c>
    </row>
    <row r="191" spans="1:45" x14ac:dyDescent="0.25">
      <c r="A191" s="15">
        <f t="shared" ca="1" si="59"/>
        <v>0</v>
      </c>
      <c r="B191">
        <f t="shared" ca="1" si="60"/>
        <v>0</v>
      </c>
      <c r="D191">
        <v>30</v>
      </c>
      <c r="E191">
        <f t="shared" si="63"/>
        <v>8.6718684719230232</v>
      </c>
      <c r="F191">
        <f t="shared" si="92"/>
        <v>8.2944980080573565</v>
      </c>
      <c r="G191">
        <f t="shared" si="65"/>
        <v>8.6408792614657717</v>
      </c>
      <c r="H191">
        <f t="shared" si="89"/>
        <v>8.3267764224080576</v>
      </c>
      <c r="I191">
        <f t="shared" si="90"/>
        <v>6.0501477162121806E-4</v>
      </c>
      <c r="J191">
        <f t="shared" si="66"/>
        <v>2.1075750000000237</v>
      </c>
      <c r="K191">
        <f t="shared" si="91"/>
        <v>6.2587734995298407E-4</v>
      </c>
      <c r="L191">
        <f t="shared" si="67"/>
        <v>2.1675000000000244</v>
      </c>
      <c r="M191" s="7">
        <f t="shared" si="68"/>
        <v>8.6718684719230232</v>
      </c>
      <c r="N191" s="7">
        <f t="shared" si="69"/>
        <v>8.2944980080573565</v>
      </c>
      <c r="O191" s="7">
        <f t="shared" si="70"/>
        <v>8.6408792614657717</v>
      </c>
      <c r="P191">
        <f t="shared" si="71"/>
        <v>8.3267764224080576</v>
      </c>
      <c r="Q191" s="7">
        <f t="shared" si="72"/>
        <v>2.1075750000000237</v>
      </c>
      <c r="R191" s="7">
        <f t="shared" si="73"/>
        <v>2.1675000000000244</v>
      </c>
      <c r="S191" s="7">
        <f t="shared" si="74"/>
        <v>0.59725295583823634</v>
      </c>
      <c r="T191" s="7">
        <f t="shared" si="75"/>
        <v>4.9635919292177837</v>
      </c>
      <c r="U191" s="7">
        <f t="shared" si="76"/>
        <v>-2.5850035801758855</v>
      </c>
      <c r="V191">
        <f t="shared" si="77"/>
        <v>-8.6408792614657717</v>
      </c>
      <c r="W191">
        <f t="shared" si="78"/>
        <v>8.3267764224080576</v>
      </c>
      <c r="X191">
        <f t="shared" si="79"/>
        <v>-8.6718684719230232</v>
      </c>
      <c r="Y191" s="10">
        <f t="shared" si="80"/>
        <v>8.2944980080573565</v>
      </c>
      <c r="Z191" s="10">
        <f t="shared" si="81"/>
        <v>2.1675000000000244</v>
      </c>
      <c r="AA191" s="10">
        <f t="shared" si="82"/>
        <v>2.1075750000000237</v>
      </c>
      <c r="AB191" s="7">
        <f t="shared" si="83"/>
        <v>0.59725295583823634</v>
      </c>
      <c r="AC191" s="7">
        <f t="shared" si="84"/>
        <v>4.9635919292177837</v>
      </c>
      <c r="AD191" s="7">
        <f t="shared" si="85"/>
        <v>2.5850035801758859</v>
      </c>
      <c r="AE191" s="10">
        <f t="shared" si="86"/>
        <v>1.1945059116764727</v>
      </c>
      <c r="AF191" s="10">
        <f t="shared" si="87"/>
        <v>9.9271838584355674</v>
      </c>
      <c r="AG191" s="10">
        <f t="shared" si="88"/>
        <v>0</v>
      </c>
      <c r="AJ191">
        <v>3.2986722862692703</v>
      </c>
      <c r="AK191">
        <v>-194.23176758038844</v>
      </c>
      <c r="AL191">
        <v>-29.537007789375888</v>
      </c>
      <c r="AM191">
        <v>-215.81307508932048</v>
      </c>
      <c r="AN191">
        <v>-32.818897543750985</v>
      </c>
      <c r="AQ191">
        <v>189</v>
      </c>
      <c r="AR191">
        <f t="shared" si="57"/>
        <v>-11.852260087141653</v>
      </c>
      <c r="AS191">
        <f t="shared" si="58"/>
        <v>-1.8772135804827688</v>
      </c>
    </row>
    <row r="192" spans="1:45" x14ac:dyDescent="0.25">
      <c r="A192" s="15">
        <f t="shared" ca="1" si="59"/>
        <v>0</v>
      </c>
      <c r="B192">
        <f t="shared" ca="1" si="60"/>
        <v>0</v>
      </c>
      <c r="D192">
        <v>31</v>
      </c>
      <c r="E192">
        <f t="shared" si="63"/>
        <v>8.6408792614657717</v>
      </c>
      <c r="F192">
        <f t="shared" si="92"/>
        <v>8.3267764224080576</v>
      </c>
      <c r="G192">
        <f t="shared" si="65"/>
        <v>8.6096574981853955</v>
      </c>
      <c r="H192">
        <f t="shared" si="89"/>
        <v>8.3590548367587587</v>
      </c>
      <c r="I192">
        <f t="shared" si="90"/>
        <v>6.2587734995298407E-4</v>
      </c>
      <c r="J192">
        <f t="shared" si="66"/>
        <v>2.1675000000000244</v>
      </c>
      <c r="K192">
        <f t="shared" si="91"/>
        <v>6.467399282847503E-4</v>
      </c>
      <c r="L192">
        <f t="shared" si="67"/>
        <v>2.2265750000000253</v>
      </c>
      <c r="M192" s="7">
        <f t="shared" si="68"/>
        <v>8.6408792614657717</v>
      </c>
      <c r="N192" s="7">
        <f t="shared" si="69"/>
        <v>8.3267764224080576</v>
      </c>
      <c r="O192" s="7">
        <f t="shared" si="70"/>
        <v>8.6096574981853955</v>
      </c>
      <c r="P192">
        <f t="shared" si="71"/>
        <v>8.3590548367587587</v>
      </c>
      <c r="Q192" s="7">
        <f t="shared" si="72"/>
        <v>2.1675000000000244</v>
      </c>
      <c r="R192" s="7">
        <f t="shared" si="73"/>
        <v>2.2265750000000253</v>
      </c>
      <c r="S192" s="7">
        <f t="shared" si="74"/>
        <v>0.61167221978325637</v>
      </c>
      <c r="T192" s="7">
        <f t="shared" si="75"/>
        <v>5.1031680072850261</v>
      </c>
      <c r="U192" s="7">
        <f t="shared" si="76"/>
        <v>-2.6379000123550407</v>
      </c>
      <c r="V192">
        <f t="shared" si="77"/>
        <v>-8.6096574981853955</v>
      </c>
      <c r="W192">
        <f t="shared" si="78"/>
        <v>8.3590548367587587</v>
      </c>
      <c r="X192">
        <f t="shared" si="79"/>
        <v>-8.6408792614657717</v>
      </c>
      <c r="Y192" s="10">
        <f t="shared" si="80"/>
        <v>8.3267764224080576</v>
      </c>
      <c r="Z192" s="10">
        <f t="shared" si="81"/>
        <v>2.2265750000000253</v>
      </c>
      <c r="AA192" s="10">
        <f t="shared" si="82"/>
        <v>2.1675000000000244</v>
      </c>
      <c r="AB192" s="7">
        <f t="shared" si="83"/>
        <v>0.61167221978325637</v>
      </c>
      <c r="AC192" s="7">
        <f t="shared" si="84"/>
        <v>5.1031680072850261</v>
      </c>
      <c r="AD192" s="7">
        <f t="shared" si="85"/>
        <v>2.6379000123550407</v>
      </c>
      <c r="AE192" s="10">
        <f t="shared" si="86"/>
        <v>1.2233444395665127</v>
      </c>
      <c r="AF192" s="10">
        <f t="shared" si="87"/>
        <v>10.206336014570052</v>
      </c>
      <c r="AG192" s="10">
        <f t="shared" si="88"/>
        <v>0</v>
      </c>
      <c r="AJ192">
        <v>3.3161255787892134</v>
      </c>
      <c r="AK192">
        <v>-193.93754730431795</v>
      </c>
      <c r="AL192">
        <v>-32.841815572217506</v>
      </c>
      <c r="AM192">
        <v>-215.48616367146437</v>
      </c>
      <c r="AN192">
        <v>-36.490906191352785</v>
      </c>
      <c r="AQ192">
        <v>190</v>
      </c>
      <c r="AR192">
        <f t="shared" si="57"/>
        <v>-11.817693036146496</v>
      </c>
      <c r="AS192">
        <f t="shared" si="58"/>
        <v>-2.0837781320031654</v>
      </c>
    </row>
    <row r="193" spans="1:45" x14ac:dyDescent="0.25">
      <c r="A193" s="15">
        <f t="shared" ca="1" si="59"/>
        <v>0</v>
      </c>
      <c r="B193">
        <f t="shared" ca="1" si="60"/>
        <v>0</v>
      </c>
      <c r="D193">
        <v>32</v>
      </c>
      <c r="E193">
        <f t="shared" si="63"/>
        <v>8.6096574981853955</v>
      </c>
      <c r="F193">
        <f t="shared" si="92"/>
        <v>8.3590548367587587</v>
      </c>
      <c r="G193">
        <f t="shared" si="65"/>
        <v>8.5782006428402422</v>
      </c>
      <c r="H193">
        <f t="shared" si="89"/>
        <v>8.3913332511094598</v>
      </c>
      <c r="I193">
        <f t="shared" si="90"/>
        <v>6.467399282847503E-4</v>
      </c>
      <c r="J193">
        <f t="shared" si="66"/>
        <v>2.2265750000000253</v>
      </c>
      <c r="K193">
        <f t="shared" si="91"/>
        <v>6.6760250661651642E-4</v>
      </c>
      <c r="L193">
        <f t="shared" si="67"/>
        <v>2.284800000000025</v>
      </c>
      <c r="M193" s="7">
        <f t="shared" si="68"/>
        <v>8.6096574981853955</v>
      </c>
      <c r="N193" s="7">
        <f t="shared" si="69"/>
        <v>8.3590548367587587</v>
      </c>
      <c r="O193" s="7">
        <f t="shared" si="70"/>
        <v>8.5782006428402422</v>
      </c>
      <c r="P193">
        <f t="shared" si="71"/>
        <v>8.3913332511094598</v>
      </c>
      <c r="Q193" s="7">
        <f t="shared" si="72"/>
        <v>2.2265750000000253</v>
      </c>
      <c r="R193" s="7">
        <f t="shared" si="73"/>
        <v>2.284800000000025</v>
      </c>
      <c r="S193" s="7">
        <f t="shared" si="74"/>
        <v>0.62571918446048469</v>
      </c>
      <c r="T193" s="7">
        <f t="shared" si="75"/>
        <v>5.240556871525051</v>
      </c>
      <c r="U193" s="7">
        <f t="shared" si="76"/>
        <v>-2.6886749768177411</v>
      </c>
      <c r="V193">
        <f t="shared" si="77"/>
        <v>-8.5782006428402422</v>
      </c>
      <c r="W193">
        <f t="shared" si="78"/>
        <v>8.3913332511094598</v>
      </c>
      <c r="X193">
        <f t="shared" si="79"/>
        <v>-8.6096574981853955</v>
      </c>
      <c r="Y193" s="10">
        <f t="shared" si="80"/>
        <v>8.3590548367587587</v>
      </c>
      <c r="Z193" s="10">
        <f t="shared" si="81"/>
        <v>2.284800000000025</v>
      </c>
      <c r="AA193" s="10">
        <f t="shared" si="82"/>
        <v>2.2265750000000253</v>
      </c>
      <c r="AB193" s="7">
        <f t="shared" si="83"/>
        <v>0.62571918446048469</v>
      </c>
      <c r="AC193" s="7">
        <f t="shared" si="84"/>
        <v>5.2405568715250519</v>
      </c>
      <c r="AD193" s="7">
        <f t="shared" si="85"/>
        <v>2.6886749768177411</v>
      </c>
      <c r="AE193" s="10">
        <f t="shared" si="86"/>
        <v>1.2514383689209694</v>
      </c>
      <c r="AF193" s="10">
        <f t="shared" si="87"/>
        <v>10.481113743050102</v>
      </c>
      <c r="AG193" s="10">
        <f t="shared" si="88"/>
        <v>0</v>
      </c>
      <c r="AJ193">
        <v>3.3335788713091565</v>
      </c>
      <c r="AK193">
        <v>-193.60890878473472</v>
      </c>
      <c r="AL193">
        <v>-36.153187973795383</v>
      </c>
      <c r="AM193">
        <v>-215.12100976081635</v>
      </c>
      <c r="AN193">
        <v>-40.17020885977265</v>
      </c>
      <c r="AQ193">
        <v>191</v>
      </c>
      <c r="AR193">
        <f t="shared" si="57"/>
        <v>-11.779526201371969</v>
      </c>
      <c r="AS193">
        <f t="shared" si="58"/>
        <v>-2.2897079445185367</v>
      </c>
    </row>
    <row r="194" spans="1:45" x14ac:dyDescent="0.25">
      <c r="A194" s="15">
        <f t="shared" ca="1" si="59"/>
        <v>0</v>
      </c>
      <c r="B194">
        <f t="shared" ca="1" si="60"/>
        <v>0</v>
      </c>
      <c r="D194">
        <v>33</v>
      </c>
      <c r="E194">
        <f t="shared" si="63"/>
        <v>8.5782006428402422</v>
      </c>
      <c r="F194">
        <f t="shared" si="92"/>
        <v>8.3913332511094598</v>
      </c>
      <c r="G194">
        <f t="shared" si="65"/>
        <v>8.5465060995428708</v>
      </c>
      <c r="H194">
        <f t="shared" si="89"/>
        <v>8.4236116654601609</v>
      </c>
      <c r="I194">
        <f t="shared" si="90"/>
        <v>6.6760250661651642E-4</v>
      </c>
      <c r="J194">
        <f t="shared" si="66"/>
        <v>2.284800000000025</v>
      </c>
      <c r="K194">
        <f t="shared" si="91"/>
        <v>6.8846508494828265E-4</v>
      </c>
      <c r="L194">
        <f t="shared" si="67"/>
        <v>2.3421750000000263</v>
      </c>
      <c r="M194" s="7">
        <f t="shared" si="68"/>
        <v>8.5782006428402422</v>
      </c>
      <c r="N194" s="7">
        <f t="shared" si="69"/>
        <v>8.3913332511094598</v>
      </c>
      <c r="O194" s="7">
        <f t="shared" si="70"/>
        <v>8.5465060995428708</v>
      </c>
      <c r="P194">
        <f t="shared" si="71"/>
        <v>8.4236116654601609</v>
      </c>
      <c r="Q194" s="7">
        <f t="shared" si="72"/>
        <v>2.284800000000025</v>
      </c>
      <c r="R194" s="7">
        <f t="shared" si="73"/>
        <v>2.3421750000000263</v>
      </c>
      <c r="S194" s="7">
        <f t="shared" si="74"/>
        <v>0.63939490971293544</v>
      </c>
      <c r="T194" s="7">
        <f t="shared" si="75"/>
        <v>5.3757313808895866</v>
      </c>
      <c r="U194" s="7">
        <f t="shared" si="76"/>
        <v>-2.737344764791326</v>
      </c>
      <c r="V194">
        <f t="shared" si="77"/>
        <v>-8.5465060995428708</v>
      </c>
      <c r="W194">
        <f t="shared" si="78"/>
        <v>8.4236116654601609</v>
      </c>
      <c r="X194">
        <f t="shared" si="79"/>
        <v>-8.5782006428402422</v>
      </c>
      <c r="Y194" s="10">
        <f t="shared" si="80"/>
        <v>8.3913332511094598</v>
      </c>
      <c r="Z194" s="10">
        <f t="shared" si="81"/>
        <v>2.3421750000000263</v>
      </c>
      <c r="AA194" s="10">
        <f t="shared" si="82"/>
        <v>2.284800000000025</v>
      </c>
      <c r="AB194" s="7">
        <f t="shared" si="83"/>
        <v>0.63939490971293544</v>
      </c>
      <c r="AC194" s="7">
        <f t="shared" si="84"/>
        <v>5.3757313808895866</v>
      </c>
      <c r="AD194" s="7">
        <f t="shared" si="85"/>
        <v>2.737344764791326</v>
      </c>
      <c r="AE194" s="10">
        <f t="shared" si="86"/>
        <v>1.2787898194258709</v>
      </c>
      <c r="AF194" s="10">
        <f t="shared" si="87"/>
        <v>10.751462761779173</v>
      </c>
      <c r="AG194" s="10">
        <f t="shared" si="88"/>
        <v>0</v>
      </c>
      <c r="AJ194">
        <v>3.3510321638290996</v>
      </c>
      <c r="AK194">
        <v>-193.24489052422911</v>
      </c>
      <c r="AL194">
        <v>-39.471458888871503</v>
      </c>
      <c r="AM194">
        <v>-214.71654502692121</v>
      </c>
      <c r="AN194">
        <v>-43.857176543190555</v>
      </c>
      <c r="AQ194">
        <v>192</v>
      </c>
      <c r="AR194">
        <f t="shared" si="57"/>
        <v>-11.737771208805666</v>
      </c>
      <c r="AS194">
        <f t="shared" si="58"/>
        <v>-2.4949402898131141</v>
      </c>
    </row>
    <row r="195" spans="1:45" x14ac:dyDescent="0.25">
      <c r="A195" s="15">
        <f t="shared" ca="1" si="59"/>
        <v>0</v>
      </c>
      <c r="B195">
        <f t="shared" ca="1" si="60"/>
        <v>0</v>
      </c>
      <c r="D195">
        <v>34</v>
      </c>
      <c r="E195">
        <f t="shared" si="63"/>
        <v>8.5465060995428708</v>
      </c>
      <c r="F195">
        <f t="shared" si="92"/>
        <v>8.4236116654601609</v>
      </c>
      <c r="G195">
        <f t="shared" si="65"/>
        <v>8.514571213992884</v>
      </c>
      <c r="H195">
        <f t="shared" si="89"/>
        <v>8.455890079810862</v>
      </c>
      <c r="I195">
        <f t="shared" si="90"/>
        <v>6.8846508494828265E-4</v>
      </c>
      <c r="J195">
        <f t="shared" si="66"/>
        <v>2.3421750000000263</v>
      </c>
      <c r="K195">
        <f t="shared" si="91"/>
        <v>7.0932766328004866E-4</v>
      </c>
      <c r="L195">
        <f t="shared" si="67"/>
        <v>2.398700000000026</v>
      </c>
      <c r="M195" s="7">
        <f t="shared" si="68"/>
        <v>8.5465060995428708</v>
      </c>
      <c r="N195" s="7">
        <f t="shared" si="69"/>
        <v>8.4236116654601609</v>
      </c>
      <c r="O195" s="7">
        <f t="shared" si="70"/>
        <v>8.514571213992884</v>
      </c>
      <c r="P195">
        <f t="shared" si="71"/>
        <v>8.455890079810862</v>
      </c>
      <c r="Q195" s="7">
        <f t="shared" si="72"/>
        <v>2.3421750000000263</v>
      </c>
      <c r="R195" s="7">
        <f t="shared" si="73"/>
        <v>2.398700000000026</v>
      </c>
      <c r="S195" s="7">
        <f t="shared" si="74"/>
        <v>0.65270047059454084</v>
      </c>
      <c r="T195" s="7">
        <f t="shared" si="75"/>
        <v>5.5086646595470379</v>
      </c>
      <c r="U195" s="7">
        <f t="shared" si="76"/>
        <v>-2.7839258390175896</v>
      </c>
      <c r="V195">
        <f t="shared" si="77"/>
        <v>-8.514571213992884</v>
      </c>
      <c r="W195">
        <f t="shared" si="78"/>
        <v>8.455890079810862</v>
      </c>
      <c r="X195">
        <f t="shared" si="79"/>
        <v>-8.5465060995428708</v>
      </c>
      <c r="Y195" s="10">
        <f t="shared" si="80"/>
        <v>8.4236116654601609</v>
      </c>
      <c r="Z195" s="10">
        <f t="shared" si="81"/>
        <v>2.398700000000026</v>
      </c>
      <c r="AA195" s="10">
        <f t="shared" si="82"/>
        <v>2.3421750000000263</v>
      </c>
      <c r="AB195" s="7">
        <f t="shared" si="83"/>
        <v>0.65270047059454084</v>
      </c>
      <c r="AC195" s="7">
        <f t="shared" si="84"/>
        <v>5.5086646595470379</v>
      </c>
      <c r="AD195" s="7">
        <f t="shared" si="85"/>
        <v>2.7839258390175896</v>
      </c>
      <c r="AE195" s="10">
        <f t="shared" si="86"/>
        <v>1.3054009411890817</v>
      </c>
      <c r="AF195" s="10">
        <f t="shared" si="87"/>
        <v>11.017329319094076</v>
      </c>
      <c r="AG195" s="10">
        <f t="shared" si="88"/>
        <v>0</v>
      </c>
      <c r="AJ195">
        <v>3.3684854563490427</v>
      </c>
      <c r="AK195">
        <v>-192.84447218861791</v>
      </c>
      <c r="AL195">
        <v>-42.79687883568775</v>
      </c>
      <c r="AM195">
        <v>-214.27163576513101</v>
      </c>
      <c r="AN195">
        <v>-47.552087595208612</v>
      </c>
      <c r="AQ195">
        <v>193</v>
      </c>
      <c r="AR195">
        <f t="shared" ref="AR195:AR258" si="93">$B$3*COS(RADIANS(AQ195))</f>
        <v>-11.692440777422823</v>
      </c>
      <c r="AS195">
        <f t="shared" ref="AS195:AS258" si="94">$B$3*SIN(RADIANS(AQ195))</f>
        <v>-2.6994126521263797</v>
      </c>
    </row>
    <row r="196" spans="1:45" x14ac:dyDescent="0.25">
      <c r="A196" s="15">
        <f t="shared" ca="1" si="59"/>
        <v>0</v>
      </c>
      <c r="B196">
        <f t="shared" ca="1" si="60"/>
        <v>0</v>
      </c>
      <c r="D196">
        <v>35</v>
      </c>
      <c r="E196">
        <f t="shared" si="63"/>
        <v>8.514571213992884</v>
      </c>
      <c r="F196">
        <f t="shared" si="92"/>
        <v>8.455890079810862</v>
      </c>
      <c r="G196">
        <f t="shared" si="65"/>
        <v>8.482393271637612</v>
      </c>
      <c r="H196">
        <f t="shared" si="89"/>
        <v>8.4881684941615632</v>
      </c>
      <c r="I196">
        <f t="shared" si="90"/>
        <v>7.0932766328004866E-4</v>
      </c>
      <c r="J196">
        <f t="shared" si="66"/>
        <v>2.398700000000026</v>
      </c>
      <c r="K196">
        <f t="shared" si="91"/>
        <v>7.3019024161181478E-4</v>
      </c>
      <c r="L196">
        <f t="shared" si="67"/>
        <v>2.454375000000026</v>
      </c>
      <c r="M196" s="7">
        <f t="shared" si="68"/>
        <v>8.514571213992884</v>
      </c>
      <c r="N196" s="7">
        <f t="shared" si="69"/>
        <v>8.455890079810862</v>
      </c>
      <c r="O196" s="7">
        <f t="shared" si="70"/>
        <v>8.482393271637612</v>
      </c>
      <c r="P196">
        <f t="shared" si="71"/>
        <v>8.4881684941615632</v>
      </c>
      <c r="Q196" s="7">
        <f t="shared" si="72"/>
        <v>2.398700000000026</v>
      </c>
      <c r="R196" s="7">
        <f t="shared" si="73"/>
        <v>2.454375000000026</v>
      </c>
      <c r="S196" s="7">
        <f t="shared" si="74"/>
        <v>0.66563695741250073</v>
      </c>
      <c r="T196" s="7">
        <f t="shared" si="75"/>
        <v>5.6393300996962035</v>
      </c>
      <c r="U196" s="7">
        <f t="shared" si="76"/>
        <v>-2.8284348337526701</v>
      </c>
      <c r="V196">
        <f t="shared" si="77"/>
        <v>-8.482393271637612</v>
      </c>
      <c r="W196">
        <f t="shared" si="78"/>
        <v>8.4881684941615632</v>
      </c>
      <c r="X196">
        <f t="shared" si="79"/>
        <v>-8.514571213992884</v>
      </c>
      <c r="Y196" s="10">
        <f t="shared" si="80"/>
        <v>8.455890079810862</v>
      </c>
      <c r="Z196" s="10">
        <f t="shared" si="81"/>
        <v>2.454375000000026</v>
      </c>
      <c r="AA196" s="10">
        <f t="shared" si="82"/>
        <v>2.398700000000026</v>
      </c>
      <c r="AB196" s="7">
        <f t="shared" si="83"/>
        <v>0.66563695741250073</v>
      </c>
      <c r="AC196" s="7">
        <f t="shared" si="84"/>
        <v>5.6393300996962052</v>
      </c>
      <c r="AD196" s="7">
        <f t="shared" si="85"/>
        <v>2.8284348337526697</v>
      </c>
      <c r="AE196" s="10">
        <f t="shared" si="86"/>
        <v>1.3312739148250015</v>
      </c>
      <c r="AF196" s="10">
        <f t="shared" si="87"/>
        <v>11.278660199392409</v>
      </c>
      <c r="AG196" s="10">
        <f t="shared" si="88"/>
        <v>0</v>
      </c>
      <c r="AJ196">
        <v>3.3859387488689858</v>
      </c>
      <c r="AK196">
        <v>-192.40658235523154</v>
      </c>
      <c r="AL196">
        <v>-46.129611060937954</v>
      </c>
      <c r="AM196">
        <v>-213.7850915058128</v>
      </c>
      <c r="AN196">
        <v>-51.255123401042169</v>
      </c>
      <c r="AQ196">
        <v>194</v>
      </c>
      <c r="AR196">
        <f t="shared" si="93"/>
        <v>-11.643548715311958</v>
      </c>
      <c r="AS196">
        <f t="shared" si="94"/>
        <v>-2.9030627471960102</v>
      </c>
    </row>
    <row r="197" spans="1:45" x14ac:dyDescent="0.25">
      <c r="A197" s="15">
        <f t="shared" ca="1" si="59"/>
        <v>0</v>
      </c>
      <c r="B197">
        <f t="shared" ca="1" si="60"/>
        <v>0</v>
      </c>
      <c r="D197">
        <v>36</v>
      </c>
      <c r="E197">
        <f t="shared" si="63"/>
        <v>8.482393271637612</v>
      </c>
      <c r="F197">
        <f t="shared" si="92"/>
        <v>8.4881684941615632</v>
      </c>
      <c r="G197">
        <f t="shared" si="65"/>
        <v>8.4499694957569993</v>
      </c>
      <c r="H197">
        <f t="shared" si="89"/>
        <v>8.5204469085122643</v>
      </c>
      <c r="I197">
        <f t="shared" si="90"/>
        <v>7.3019024161181478E-4</v>
      </c>
      <c r="J197">
        <f t="shared" si="66"/>
        <v>2.454375000000026</v>
      </c>
      <c r="K197">
        <f t="shared" si="91"/>
        <v>7.5105281994358101E-4</v>
      </c>
      <c r="L197">
        <f t="shared" si="67"/>
        <v>2.5092000000000265</v>
      </c>
      <c r="M197" s="7">
        <f t="shared" si="68"/>
        <v>8.482393271637612</v>
      </c>
      <c r="N197" s="7">
        <f t="shared" si="69"/>
        <v>8.4881684941615632</v>
      </c>
      <c r="O197" s="7">
        <f t="shared" si="70"/>
        <v>8.4499694957569993</v>
      </c>
      <c r="P197">
        <f t="shared" si="71"/>
        <v>8.5204469085122643</v>
      </c>
      <c r="Q197" s="7">
        <f t="shared" si="72"/>
        <v>2.454375000000026</v>
      </c>
      <c r="R197" s="7">
        <f t="shared" si="73"/>
        <v>2.5092000000000265</v>
      </c>
      <c r="S197" s="7">
        <f t="shared" si="74"/>
        <v>0.67820547576808565</v>
      </c>
      <c r="T197" s="7">
        <f t="shared" si="75"/>
        <v>5.7677013643750197</v>
      </c>
      <c r="U197" s="7">
        <f t="shared" si="76"/>
        <v>-2.8708885547669314</v>
      </c>
      <c r="V197">
        <f t="shared" si="77"/>
        <v>-8.4499694957569993</v>
      </c>
      <c r="W197">
        <f t="shared" si="78"/>
        <v>8.5204469085122643</v>
      </c>
      <c r="X197">
        <f t="shared" si="79"/>
        <v>-8.482393271637612</v>
      </c>
      <c r="Y197" s="10">
        <f t="shared" si="80"/>
        <v>8.4881684941615632</v>
      </c>
      <c r="Z197" s="10">
        <f t="shared" si="81"/>
        <v>2.5092000000000265</v>
      </c>
      <c r="AA197" s="10">
        <f t="shared" si="82"/>
        <v>2.454375000000026</v>
      </c>
      <c r="AB197" s="7">
        <f t="shared" si="83"/>
        <v>0.67820547576808565</v>
      </c>
      <c r="AC197" s="7">
        <f t="shared" si="84"/>
        <v>5.7677013643750197</v>
      </c>
      <c r="AD197" s="7">
        <f t="shared" si="85"/>
        <v>2.8708885547669314</v>
      </c>
      <c r="AE197" s="10">
        <f t="shared" si="86"/>
        <v>1.3564109515361713</v>
      </c>
      <c r="AF197" s="10">
        <f t="shared" si="87"/>
        <v>11.535402728750039</v>
      </c>
      <c r="AG197" s="10">
        <f t="shared" si="88"/>
        <v>0</v>
      </c>
      <c r="AJ197">
        <v>3.4033920413889289</v>
      </c>
      <c r="AK197">
        <v>-191.93010647165804</v>
      </c>
      <c r="AL197">
        <v>-49.469728429858542</v>
      </c>
      <c r="AM197">
        <v>-213.25567385739782</v>
      </c>
      <c r="AN197">
        <v>-54.966364922065047</v>
      </c>
      <c r="AQ197">
        <v>195</v>
      </c>
      <c r="AR197">
        <f t="shared" si="93"/>
        <v>-11.59110991546882</v>
      </c>
      <c r="AS197">
        <f t="shared" si="94"/>
        <v>-3.1058285412302498</v>
      </c>
    </row>
    <row r="198" spans="1:45" x14ac:dyDescent="0.25">
      <c r="A198" s="15">
        <f t="shared" ca="1" si="59"/>
        <v>0</v>
      </c>
      <c r="B198">
        <f t="shared" ca="1" si="60"/>
        <v>0</v>
      </c>
      <c r="D198">
        <v>37</v>
      </c>
      <c r="E198">
        <f t="shared" si="63"/>
        <v>8.4499694957569993</v>
      </c>
      <c r="F198">
        <f t="shared" si="92"/>
        <v>8.5204469085122643</v>
      </c>
      <c r="G198">
        <f t="shared" si="65"/>
        <v>8.4172970454688478</v>
      </c>
      <c r="H198">
        <f t="shared" si="89"/>
        <v>8.5527253228629654</v>
      </c>
      <c r="I198">
        <f t="shared" si="90"/>
        <v>7.5105281994358101E-4</v>
      </c>
      <c r="J198">
        <f t="shared" si="66"/>
        <v>2.5092000000000265</v>
      </c>
      <c r="K198">
        <f t="shared" si="91"/>
        <v>7.7191539827534713E-4</v>
      </c>
      <c r="L198">
        <f t="shared" si="67"/>
        <v>2.5631750000000268</v>
      </c>
      <c r="M198" s="7">
        <f t="shared" si="68"/>
        <v>8.4499694957569993</v>
      </c>
      <c r="N198" s="7">
        <f t="shared" si="69"/>
        <v>8.5204469085122643</v>
      </c>
      <c r="O198" s="7">
        <f t="shared" si="70"/>
        <v>8.4172970454688478</v>
      </c>
      <c r="P198">
        <f t="shared" si="71"/>
        <v>8.5527253228629654</v>
      </c>
      <c r="Q198" s="7">
        <f t="shared" si="72"/>
        <v>2.5092000000000265</v>
      </c>
      <c r="R198" s="7">
        <f t="shared" si="73"/>
        <v>2.5631750000000268</v>
      </c>
      <c r="S198" s="7">
        <f t="shared" si="74"/>
        <v>0.69040714659571945</v>
      </c>
      <c r="T198" s="7">
        <f t="shared" si="75"/>
        <v>5.8937523902625326</v>
      </c>
      <c r="U198" s="7">
        <f t="shared" si="76"/>
        <v>-2.9113039793448467</v>
      </c>
      <c r="V198">
        <f t="shared" si="77"/>
        <v>-8.4172970454688478</v>
      </c>
      <c r="W198">
        <f t="shared" si="78"/>
        <v>8.5527253228629654</v>
      </c>
      <c r="X198">
        <f t="shared" si="79"/>
        <v>-8.4499694957569993</v>
      </c>
      <c r="Y198" s="10">
        <f t="shared" si="80"/>
        <v>8.5204469085122643</v>
      </c>
      <c r="Z198" s="10">
        <f t="shared" si="81"/>
        <v>2.5631750000000268</v>
      </c>
      <c r="AA198" s="10">
        <f t="shared" si="82"/>
        <v>2.5092000000000265</v>
      </c>
      <c r="AB198" s="7">
        <f t="shared" si="83"/>
        <v>0.69040714659571945</v>
      </c>
      <c r="AC198" s="7">
        <f t="shared" si="84"/>
        <v>5.8937523902625326</v>
      </c>
      <c r="AD198" s="7">
        <f t="shared" si="85"/>
        <v>2.9113039793448463</v>
      </c>
      <c r="AE198" s="10">
        <f t="shared" si="86"/>
        <v>1.3808142931914389</v>
      </c>
      <c r="AF198" s="10">
        <f t="shared" si="87"/>
        <v>11.787504780525065</v>
      </c>
      <c r="AG198" s="10">
        <f t="shared" si="88"/>
        <v>0</v>
      </c>
      <c r="AJ198">
        <v>3.420845333908872</v>
      </c>
      <c r="AK198">
        <v>-191.41389497226251</v>
      </c>
      <c r="AL198">
        <v>-52.817211119972711</v>
      </c>
      <c r="AM198">
        <v>-212.68210552473613</v>
      </c>
      <c r="AN198">
        <v>-58.685790133303009</v>
      </c>
      <c r="AQ198">
        <v>196</v>
      </c>
      <c r="AR198">
        <f t="shared" si="93"/>
        <v>-11.535140351259827</v>
      </c>
      <c r="AS198">
        <f t="shared" si="94"/>
        <v>-3.307648269803988</v>
      </c>
    </row>
    <row r="199" spans="1:45" x14ac:dyDescent="0.25">
      <c r="A199" s="15">
        <f t="shared" ca="1" si="59"/>
        <v>0</v>
      </c>
      <c r="B199">
        <f t="shared" ca="1" si="60"/>
        <v>0</v>
      </c>
      <c r="D199">
        <v>38</v>
      </c>
      <c r="E199">
        <f t="shared" si="63"/>
        <v>8.4172970454688478</v>
      </c>
      <c r="F199">
        <f t="shared" si="92"/>
        <v>8.5527253228629654</v>
      </c>
      <c r="G199">
        <f t="shared" si="65"/>
        <v>8.384373013650297</v>
      </c>
      <c r="H199">
        <f t="shared" si="89"/>
        <v>8.5850037372136665</v>
      </c>
      <c r="I199">
        <f t="shared" si="90"/>
        <v>7.7191539827534713E-4</v>
      </c>
      <c r="J199">
        <f t="shared" si="66"/>
        <v>2.5631750000000268</v>
      </c>
      <c r="K199">
        <f t="shared" si="91"/>
        <v>7.9277797660711326E-4</v>
      </c>
      <c r="L199">
        <f t="shared" si="67"/>
        <v>2.6163000000000274</v>
      </c>
      <c r="M199" s="7">
        <f t="shared" si="68"/>
        <v>8.4172970454688478</v>
      </c>
      <c r="N199" s="7">
        <f t="shared" si="69"/>
        <v>8.5527253228629654</v>
      </c>
      <c r="O199" s="7">
        <f t="shared" si="70"/>
        <v>8.384373013650297</v>
      </c>
      <c r="P199">
        <f t="shared" si="71"/>
        <v>8.5850037372136665</v>
      </c>
      <c r="Q199" s="7">
        <f t="shared" si="72"/>
        <v>2.5631750000000268</v>
      </c>
      <c r="R199" s="7">
        <f t="shared" si="73"/>
        <v>2.6163000000000274</v>
      </c>
      <c r="S199" s="7">
        <f t="shared" si="74"/>
        <v>0.70224310620014829</v>
      </c>
      <c r="T199" s="7">
        <f t="shared" si="75"/>
        <v>6.0174573904720354</v>
      </c>
      <c r="U199" s="7">
        <f t="shared" si="76"/>
        <v>-2.9496982562848593</v>
      </c>
      <c r="V199">
        <f t="shared" si="77"/>
        <v>-8.384373013650297</v>
      </c>
      <c r="W199">
        <f t="shared" si="78"/>
        <v>8.5850037372136665</v>
      </c>
      <c r="X199">
        <f t="shared" si="79"/>
        <v>-8.4172970454688478</v>
      </c>
      <c r="Y199" s="10">
        <f t="shared" si="80"/>
        <v>8.5527253228629654</v>
      </c>
      <c r="Z199" s="10">
        <f t="shared" si="81"/>
        <v>2.6163000000000274</v>
      </c>
      <c r="AA199" s="10">
        <f t="shared" si="82"/>
        <v>2.5631750000000268</v>
      </c>
      <c r="AB199" s="7">
        <f t="shared" si="83"/>
        <v>0.70224310620014829</v>
      </c>
      <c r="AC199" s="7">
        <f t="shared" si="84"/>
        <v>6.0174573904720372</v>
      </c>
      <c r="AD199" s="7">
        <f t="shared" si="85"/>
        <v>2.9496982562848593</v>
      </c>
      <c r="AE199" s="10">
        <f t="shared" si="86"/>
        <v>1.4044862124002966</v>
      </c>
      <c r="AF199" s="10">
        <f t="shared" si="87"/>
        <v>12.034914780944073</v>
      </c>
      <c r="AG199" s="10">
        <f t="shared" si="88"/>
        <v>0</v>
      </c>
      <c r="AJ199">
        <v>3.4382986264288151</v>
      </c>
      <c r="AK199">
        <v>-190.85677139137093</v>
      </c>
      <c r="AL199">
        <v>-56.171945078830738</v>
      </c>
      <c r="AM199">
        <v>-212.06307932374546</v>
      </c>
      <c r="AN199">
        <v>-62.41327230981193</v>
      </c>
      <c r="AQ199">
        <v>197</v>
      </c>
      <c r="AR199">
        <f t="shared" si="93"/>
        <v>-11.475657071556425</v>
      </c>
      <c r="AS199">
        <f t="shared" si="94"/>
        <v>-3.5084604566728412</v>
      </c>
    </row>
    <row r="200" spans="1:45" x14ac:dyDescent="0.25">
      <c r="A200" s="15">
        <f t="shared" ca="1" si="59"/>
        <v>0</v>
      </c>
      <c r="B200">
        <f t="shared" ca="1" si="60"/>
        <v>0</v>
      </c>
      <c r="D200">
        <v>39</v>
      </c>
      <c r="E200">
        <f t="shared" si="63"/>
        <v>8.384373013650297</v>
      </c>
      <c r="F200">
        <f t="shared" si="92"/>
        <v>8.5850037372136665</v>
      </c>
      <c r="G200">
        <f t="shared" si="65"/>
        <v>8.3511944247712364</v>
      </c>
      <c r="H200">
        <f t="shared" si="89"/>
        <v>8.6172821515643676</v>
      </c>
      <c r="I200">
        <f t="shared" si="90"/>
        <v>7.9277797660711326E-4</v>
      </c>
      <c r="J200">
        <f t="shared" si="66"/>
        <v>2.6163000000000274</v>
      </c>
      <c r="K200">
        <f t="shared" si="91"/>
        <v>8.1364055493887938E-4</v>
      </c>
      <c r="L200">
        <f t="shared" si="67"/>
        <v>2.6685750000000281</v>
      </c>
      <c r="M200" s="7">
        <f t="shared" si="68"/>
        <v>8.384373013650297</v>
      </c>
      <c r="N200" s="7">
        <f t="shared" si="69"/>
        <v>8.5850037372136665</v>
      </c>
      <c r="O200" s="7">
        <f t="shared" si="70"/>
        <v>8.3511944247712364</v>
      </c>
      <c r="P200">
        <f t="shared" si="71"/>
        <v>8.6172821515643676</v>
      </c>
      <c r="Q200" s="7">
        <f t="shared" si="72"/>
        <v>2.6163000000000274</v>
      </c>
      <c r="R200" s="7">
        <f t="shared" si="73"/>
        <v>2.6685750000000281</v>
      </c>
      <c r="S200" s="7">
        <f t="shared" si="74"/>
        <v>0.71371450629149147</v>
      </c>
      <c r="T200" s="7">
        <f t="shared" si="75"/>
        <v>6.138790857333202</v>
      </c>
      <c r="U200" s="7">
        <f t="shared" si="76"/>
        <v>-2.9860887058992529</v>
      </c>
      <c r="V200">
        <f t="shared" si="77"/>
        <v>-8.3511944247712364</v>
      </c>
      <c r="W200">
        <f t="shared" si="78"/>
        <v>8.6172821515643676</v>
      </c>
      <c r="X200">
        <f t="shared" si="79"/>
        <v>-8.384373013650297</v>
      </c>
      <c r="Y200" s="10">
        <f t="shared" si="80"/>
        <v>8.5850037372136665</v>
      </c>
      <c r="Z200" s="10">
        <f t="shared" si="81"/>
        <v>2.6685750000000281</v>
      </c>
      <c r="AA200" s="10">
        <f t="shared" si="82"/>
        <v>2.6163000000000274</v>
      </c>
      <c r="AB200" s="7">
        <f t="shared" si="83"/>
        <v>0.71371450629149147</v>
      </c>
      <c r="AC200" s="7">
        <f t="shared" si="84"/>
        <v>6.1387908573332028</v>
      </c>
      <c r="AD200" s="7">
        <f t="shared" si="85"/>
        <v>2.9860887058992529</v>
      </c>
      <c r="AE200" s="10">
        <f t="shared" si="86"/>
        <v>1.4274290125829829</v>
      </c>
      <c r="AF200" s="10">
        <f t="shared" si="87"/>
        <v>12.277581714666404</v>
      </c>
      <c r="AG200" s="10">
        <f t="shared" si="88"/>
        <v>0</v>
      </c>
      <c r="AJ200">
        <v>3.4557519189487582</v>
      </c>
      <c r="AK200">
        <v>-190.01947691993394</v>
      </c>
      <c r="AL200">
        <v>-60.018280193522401</v>
      </c>
      <c r="AM200">
        <v>-211.13275213325991</v>
      </c>
      <c r="AN200">
        <v>-66.686977992802667</v>
      </c>
      <c r="AQ200">
        <v>198</v>
      </c>
      <c r="AR200">
        <f t="shared" si="93"/>
        <v>-11.412678195541844</v>
      </c>
      <c r="AS200">
        <f t="shared" si="94"/>
        <v>-3.7082039324993676</v>
      </c>
    </row>
    <row r="201" spans="1:45" x14ac:dyDescent="0.25">
      <c r="A201" s="15">
        <f t="shared" ca="1" si="59"/>
        <v>0</v>
      </c>
      <c r="B201">
        <f t="shared" ca="1" si="60"/>
        <v>0</v>
      </c>
      <c r="D201">
        <v>40</v>
      </c>
      <c r="E201">
        <f t="shared" si="63"/>
        <v>8.3511944247712364</v>
      </c>
      <c r="F201">
        <f t="shared" si="92"/>
        <v>8.6172821515643676</v>
      </c>
      <c r="G201">
        <f t="shared" si="65"/>
        <v>8.317758232634981</v>
      </c>
      <c r="H201">
        <f t="shared" si="89"/>
        <v>8.6495605659150687</v>
      </c>
      <c r="I201">
        <f t="shared" si="90"/>
        <v>8.1364055493887938E-4</v>
      </c>
      <c r="J201">
        <f t="shared" si="66"/>
        <v>2.6685750000000281</v>
      </c>
      <c r="K201">
        <f t="shared" si="91"/>
        <v>8.3450313327064561E-4</v>
      </c>
      <c r="L201">
        <f t="shared" si="67"/>
        <v>2.7200000000000277</v>
      </c>
      <c r="M201" s="7">
        <f t="shared" si="68"/>
        <v>8.3511944247712364</v>
      </c>
      <c r="N201" s="7">
        <f t="shared" si="69"/>
        <v>8.6172821515643676</v>
      </c>
      <c r="O201" s="7">
        <f t="shared" si="70"/>
        <v>8.317758232634981</v>
      </c>
      <c r="P201">
        <f t="shared" si="71"/>
        <v>8.6495605659150687</v>
      </c>
      <c r="Q201" s="7">
        <f t="shared" si="72"/>
        <v>2.6685750000000281</v>
      </c>
      <c r="R201" s="7">
        <f t="shared" si="73"/>
        <v>2.7200000000000277</v>
      </c>
      <c r="S201" s="7">
        <f t="shared" si="74"/>
        <v>0.72482251401794895</v>
      </c>
      <c r="T201" s="7">
        <f t="shared" si="75"/>
        <v>6.2577275651607387</v>
      </c>
      <c r="U201" s="7">
        <f t="shared" si="76"/>
        <v>-3.0204928200140047</v>
      </c>
      <c r="V201">
        <f t="shared" si="77"/>
        <v>-8.317758232634981</v>
      </c>
      <c r="W201">
        <f t="shared" si="78"/>
        <v>8.6495605659150687</v>
      </c>
      <c r="X201">
        <f t="shared" si="79"/>
        <v>-8.3511944247712364</v>
      </c>
      <c r="Y201" s="10">
        <f t="shared" si="80"/>
        <v>8.6172821515643676</v>
      </c>
      <c r="Z201" s="10">
        <f t="shared" si="81"/>
        <v>2.7200000000000277</v>
      </c>
      <c r="AA201" s="10">
        <f t="shared" si="82"/>
        <v>2.6685750000000281</v>
      </c>
      <c r="AB201" s="7">
        <f t="shared" si="83"/>
        <v>0.72482251401794895</v>
      </c>
      <c r="AC201" s="7">
        <f t="shared" si="84"/>
        <v>6.2577275651607387</v>
      </c>
      <c r="AD201" s="7">
        <f t="shared" si="85"/>
        <v>3.0204928200140042</v>
      </c>
      <c r="AE201" s="10">
        <f t="shared" si="86"/>
        <v>1.4496450280358979</v>
      </c>
      <c r="AF201" s="10">
        <f t="shared" si="87"/>
        <v>12.515455130321477</v>
      </c>
      <c r="AG201" s="10">
        <f t="shared" si="88"/>
        <v>0</v>
      </c>
      <c r="AJ201">
        <v>3.4732052114687013</v>
      </c>
      <c r="AK201">
        <v>-189.34283997252228</v>
      </c>
      <c r="AL201">
        <v>-63.405168113071937</v>
      </c>
      <c r="AM201">
        <v>-210.38093330280253</v>
      </c>
      <c r="AN201">
        <v>-70.450186792302148</v>
      </c>
      <c r="AQ201">
        <v>199</v>
      </c>
      <c r="AR201">
        <f t="shared" si="93"/>
        <v>-11.346222907191802</v>
      </c>
      <c r="AS201">
        <f t="shared" si="94"/>
        <v>-3.9068178534858813</v>
      </c>
    </row>
    <row r="202" spans="1:45" x14ac:dyDescent="0.25">
      <c r="A202" s="15">
        <f t="shared" ca="1" si="59"/>
        <v>0</v>
      </c>
      <c r="B202">
        <f t="shared" ca="1" si="60"/>
        <v>0</v>
      </c>
      <c r="D202">
        <v>41</v>
      </c>
      <c r="E202">
        <f t="shared" si="63"/>
        <v>8.317758232634981</v>
      </c>
      <c r="F202">
        <f t="shared" si="92"/>
        <v>8.6495605659150687</v>
      </c>
      <c r="G202">
        <f t="shared" si="65"/>
        <v>8.2840613180213616</v>
      </c>
      <c r="H202">
        <f t="shared" si="89"/>
        <v>8.6818389802657698</v>
      </c>
      <c r="I202">
        <f t="shared" si="90"/>
        <v>8.3450313327064561E-4</v>
      </c>
      <c r="J202">
        <f t="shared" si="66"/>
        <v>2.7200000000000277</v>
      </c>
      <c r="K202">
        <f t="shared" si="91"/>
        <v>8.5536571160241173E-4</v>
      </c>
      <c r="L202">
        <f t="shared" si="67"/>
        <v>2.770575000000028</v>
      </c>
      <c r="M202" s="7">
        <f t="shared" si="68"/>
        <v>8.317758232634981</v>
      </c>
      <c r="N202" s="7">
        <f t="shared" si="69"/>
        <v>8.6495605659150687</v>
      </c>
      <c r="O202" s="7">
        <f t="shared" si="70"/>
        <v>8.2840613180213616</v>
      </c>
      <c r="P202">
        <f t="shared" si="71"/>
        <v>8.6818389802657698</v>
      </c>
      <c r="Q202" s="7">
        <f t="shared" si="72"/>
        <v>2.7200000000000277</v>
      </c>
      <c r="R202" s="7">
        <f t="shared" si="73"/>
        <v>2.770575000000028</v>
      </c>
      <c r="S202" s="7">
        <f t="shared" si="74"/>
        <v>0.73556831199592798</v>
      </c>
      <c r="T202" s="7">
        <f t="shared" si="75"/>
        <v>6.3742425730070513</v>
      </c>
      <c r="U202" s="7">
        <f t="shared" si="76"/>
        <v>-3.0529282619686282</v>
      </c>
      <c r="V202">
        <f t="shared" si="77"/>
        <v>-8.2840613180213616</v>
      </c>
      <c r="W202">
        <f t="shared" si="78"/>
        <v>8.6818389802657698</v>
      </c>
      <c r="X202">
        <f t="shared" si="79"/>
        <v>-8.317758232634981</v>
      </c>
      <c r="Y202" s="10">
        <f t="shared" si="80"/>
        <v>8.6495605659150687</v>
      </c>
      <c r="Z202" s="10">
        <f t="shared" si="81"/>
        <v>2.770575000000028</v>
      </c>
      <c r="AA202" s="10">
        <f t="shared" si="82"/>
        <v>2.7200000000000277</v>
      </c>
      <c r="AB202" s="7">
        <f t="shared" si="83"/>
        <v>0.73556831199592798</v>
      </c>
      <c r="AC202" s="7">
        <f t="shared" si="84"/>
        <v>6.3742425730070522</v>
      </c>
      <c r="AD202" s="7">
        <f t="shared" si="85"/>
        <v>3.0529282619686282</v>
      </c>
      <c r="AE202" s="10">
        <f t="shared" si="86"/>
        <v>1.471136623991856</v>
      </c>
      <c r="AF202" s="10">
        <f t="shared" si="87"/>
        <v>12.748485146014104</v>
      </c>
      <c r="AG202" s="10">
        <f t="shared" si="88"/>
        <v>0</v>
      </c>
      <c r="AJ202">
        <v>3.4906585039886444</v>
      </c>
      <c r="AK202">
        <v>-188.62131987357665</v>
      </c>
      <c r="AL202">
        <v>-66.793557559105821</v>
      </c>
      <c r="AM202">
        <v>-209.57924430397406</v>
      </c>
      <c r="AN202">
        <v>-74.215063954562027</v>
      </c>
      <c r="AQ202">
        <v>200</v>
      </c>
      <c r="AR202">
        <f t="shared" si="93"/>
        <v>-11.276311449430901</v>
      </c>
      <c r="AS202">
        <f t="shared" si="94"/>
        <v>-4.1042417199080239</v>
      </c>
    </row>
    <row r="203" spans="1:45" x14ac:dyDescent="0.25">
      <c r="A203" s="15">
        <f t="shared" ca="1" si="59"/>
        <v>0</v>
      </c>
      <c r="B203">
        <f t="shared" ca="1" si="60"/>
        <v>0</v>
      </c>
      <c r="D203">
        <v>42</v>
      </c>
      <c r="E203">
        <f t="shared" si="63"/>
        <v>8.2840613180213616</v>
      </c>
      <c r="F203">
        <f t="shared" si="92"/>
        <v>8.6818389802657698</v>
      </c>
      <c r="G203">
        <f t="shared" si="65"/>
        <v>8.2501004862269802</v>
      </c>
      <c r="H203">
        <f t="shared" si="89"/>
        <v>8.7141173946164709</v>
      </c>
      <c r="I203">
        <f t="shared" si="90"/>
        <v>8.5536571160241173E-4</v>
      </c>
      <c r="J203">
        <f t="shared" si="66"/>
        <v>2.770575000000028</v>
      </c>
      <c r="K203">
        <f t="shared" si="91"/>
        <v>8.7622828993417785E-4</v>
      </c>
      <c r="L203">
        <f t="shared" si="67"/>
        <v>2.8203000000000285</v>
      </c>
      <c r="M203" s="7">
        <f t="shared" si="68"/>
        <v>8.2840613180213616</v>
      </c>
      <c r="N203" s="7">
        <f t="shared" si="69"/>
        <v>8.6818389802657698</v>
      </c>
      <c r="O203" s="7">
        <f t="shared" si="70"/>
        <v>8.2501004862269802</v>
      </c>
      <c r="P203">
        <f t="shared" si="71"/>
        <v>8.7141173946164709</v>
      </c>
      <c r="Q203" s="7">
        <f t="shared" si="72"/>
        <v>2.770575000000028</v>
      </c>
      <c r="R203" s="7">
        <f t="shared" si="73"/>
        <v>2.8203000000000285</v>
      </c>
      <c r="S203" s="7">
        <f t="shared" si="74"/>
        <v>0.74595309833732693</v>
      </c>
      <c r="T203" s="7">
        <f t="shared" si="75"/>
        <v>6.4883112273959807</v>
      </c>
      <c r="U203" s="7">
        <f t="shared" si="76"/>
        <v>-3.0834128666160185</v>
      </c>
      <c r="V203">
        <f t="shared" si="77"/>
        <v>-8.2501004862269802</v>
      </c>
      <c r="W203">
        <f t="shared" si="78"/>
        <v>8.7141173946164709</v>
      </c>
      <c r="X203">
        <f t="shared" si="79"/>
        <v>-8.2840613180213616</v>
      </c>
      <c r="Y203" s="10">
        <f t="shared" si="80"/>
        <v>8.6818389802657698</v>
      </c>
      <c r="Z203" s="10">
        <f t="shared" si="81"/>
        <v>2.8203000000000285</v>
      </c>
      <c r="AA203" s="10">
        <f t="shared" si="82"/>
        <v>2.770575000000028</v>
      </c>
      <c r="AB203" s="7">
        <f t="shared" si="83"/>
        <v>0.74595309833732693</v>
      </c>
      <c r="AC203" s="7">
        <f t="shared" si="84"/>
        <v>6.4883112273959815</v>
      </c>
      <c r="AD203" s="7">
        <f t="shared" si="85"/>
        <v>3.0834128666160185</v>
      </c>
      <c r="AE203" s="10">
        <f t="shared" si="86"/>
        <v>1.4919061966746539</v>
      </c>
      <c r="AF203" s="10">
        <f t="shared" si="87"/>
        <v>12.976622454791961</v>
      </c>
      <c r="AG203" s="10">
        <f t="shared" si="88"/>
        <v>0</v>
      </c>
      <c r="AJ203">
        <v>3.5081117965085875</v>
      </c>
      <c r="AK203">
        <v>-187.29392209923284</v>
      </c>
      <c r="AL203">
        <v>-70.677650042712898</v>
      </c>
      <c r="AM203">
        <v>-208.10435788803647</v>
      </c>
      <c r="AN203">
        <v>-78.530722269680993</v>
      </c>
      <c r="AQ203">
        <v>201</v>
      </c>
      <c r="AR203">
        <f t="shared" si="93"/>
        <v>-11.202965117966421</v>
      </c>
      <c r="AS203">
        <f t="shared" si="94"/>
        <v>-4.300415394543605</v>
      </c>
    </row>
    <row r="204" spans="1:45" x14ac:dyDescent="0.25">
      <c r="A204" s="15">
        <f t="shared" ca="1" si="59"/>
        <v>0</v>
      </c>
      <c r="B204">
        <f t="shared" ca="1" si="60"/>
        <v>0</v>
      </c>
      <c r="D204">
        <v>43</v>
      </c>
      <c r="E204">
        <f t="shared" si="63"/>
        <v>8.2501004862269802</v>
      </c>
      <c r="F204">
        <f t="shared" si="92"/>
        <v>8.7141173946164709</v>
      </c>
      <c r="G204">
        <f t="shared" si="65"/>
        <v>8.2158724644970906</v>
      </c>
      <c r="H204">
        <f t="shared" si="89"/>
        <v>8.7463958089671721</v>
      </c>
      <c r="I204">
        <f t="shared" si="90"/>
        <v>8.7622828993417785E-4</v>
      </c>
      <c r="J204">
        <f t="shared" si="66"/>
        <v>2.8203000000000285</v>
      </c>
      <c r="K204">
        <f t="shared" si="91"/>
        <v>8.9709086826594386E-4</v>
      </c>
      <c r="L204">
        <f t="shared" si="67"/>
        <v>2.8691750000000282</v>
      </c>
      <c r="M204" s="7">
        <f t="shared" si="68"/>
        <v>8.2501004862269802</v>
      </c>
      <c r="N204" s="7">
        <f t="shared" si="69"/>
        <v>8.7141173946164709</v>
      </c>
      <c r="O204" s="7">
        <f t="shared" si="70"/>
        <v>8.2158724644970906</v>
      </c>
      <c r="P204">
        <f t="shared" si="71"/>
        <v>8.7463958089671721</v>
      </c>
      <c r="Q204" s="7">
        <f t="shared" si="72"/>
        <v>2.8203000000000285</v>
      </c>
      <c r="R204" s="7">
        <f t="shared" si="73"/>
        <v>2.8691750000000282</v>
      </c>
      <c r="S204" s="7">
        <f t="shared" si="74"/>
        <v>0.7559780866736957</v>
      </c>
      <c r="T204" s="7">
        <f t="shared" si="75"/>
        <v>6.5999091650345898</v>
      </c>
      <c r="U204" s="7">
        <f t="shared" si="76"/>
        <v>-3.1119646403222716</v>
      </c>
      <c r="V204">
        <f t="shared" si="77"/>
        <v>-8.2158724644970906</v>
      </c>
      <c r="W204">
        <f t="shared" si="78"/>
        <v>8.7463958089671721</v>
      </c>
      <c r="X204">
        <f t="shared" si="79"/>
        <v>-8.2501004862269802</v>
      </c>
      <c r="Y204" s="10">
        <f t="shared" si="80"/>
        <v>8.7141173946164709</v>
      </c>
      <c r="Z204" s="10">
        <f t="shared" si="81"/>
        <v>2.8691750000000282</v>
      </c>
      <c r="AA204" s="10">
        <f t="shared" si="82"/>
        <v>2.8203000000000285</v>
      </c>
      <c r="AB204" s="7">
        <f t="shared" si="83"/>
        <v>0.7559780866736957</v>
      </c>
      <c r="AC204" s="7">
        <f t="shared" si="84"/>
        <v>6.5999091650345898</v>
      </c>
      <c r="AD204" s="7">
        <f t="shared" si="85"/>
        <v>3.1119646403222716</v>
      </c>
      <c r="AE204" s="10">
        <f t="shared" si="86"/>
        <v>1.5119561733473914</v>
      </c>
      <c r="AF204" s="10">
        <f t="shared" si="87"/>
        <v>13.19981833006918</v>
      </c>
      <c r="AG204" s="10">
        <f t="shared" si="88"/>
        <v>0</v>
      </c>
      <c r="AJ204">
        <v>3.5255650890285306</v>
      </c>
      <c r="AK204">
        <v>-185.75623078619563</v>
      </c>
      <c r="AL204">
        <v>-74.641494607167871</v>
      </c>
      <c r="AM204">
        <v>-206.3958119846618</v>
      </c>
      <c r="AN204">
        <v>-82.934994007964306</v>
      </c>
      <c r="AQ204">
        <v>202</v>
      </c>
      <c r="AR204">
        <f t="shared" si="93"/>
        <v>-11.126206254801449</v>
      </c>
      <c r="AS204">
        <f t="shared" si="94"/>
        <v>-4.4952791209909444</v>
      </c>
    </row>
    <row r="205" spans="1:45" x14ac:dyDescent="0.25">
      <c r="A205" s="15">
        <f t="shared" ca="1" si="59"/>
        <v>0</v>
      </c>
      <c r="B205">
        <f t="shared" ca="1" si="60"/>
        <v>0</v>
      </c>
      <c r="D205">
        <v>44</v>
      </c>
      <c r="E205">
        <f t="shared" si="63"/>
        <v>8.2158724644970906</v>
      </c>
      <c r="F205">
        <f t="shared" si="92"/>
        <v>8.7463958089671721</v>
      </c>
      <c r="G205">
        <f t="shared" si="65"/>
        <v>8.1813738993432121</v>
      </c>
      <c r="H205">
        <f t="shared" si="89"/>
        <v>8.7786742233178732</v>
      </c>
      <c r="I205">
        <f t="shared" si="90"/>
        <v>8.9709086826594386E-4</v>
      </c>
      <c r="J205">
        <f t="shared" si="66"/>
        <v>2.8691750000000282</v>
      </c>
      <c r="K205">
        <f t="shared" si="91"/>
        <v>9.1795344659771009E-4</v>
      </c>
      <c r="L205">
        <f t="shared" si="67"/>
        <v>2.9172000000000291</v>
      </c>
      <c r="M205" s="7">
        <f t="shared" si="68"/>
        <v>8.2158724644970906</v>
      </c>
      <c r="N205" s="7">
        <f t="shared" si="69"/>
        <v>8.7463958089671721</v>
      </c>
      <c r="O205" s="7">
        <f t="shared" si="70"/>
        <v>8.1813738993432121</v>
      </c>
      <c r="P205">
        <f t="shared" si="71"/>
        <v>8.7786742233178732</v>
      </c>
      <c r="Q205" s="7">
        <f t="shared" si="72"/>
        <v>2.8691750000000282</v>
      </c>
      <c r="R205" s="7">
        <f t="shared" si="73"/>
        <v>2.9172000000000291</v>
      </c>
      <c r="S205" s="7">
        <f t="shared" si="74"/>
        <v>0.76564450617697244</v>
      </c>
      <c r="T205" s="7">
        <f t="shared" si="75"/>
        <v>6.7090123154995851</v>
      </c>
      <c r="U205" s="7">
        <f t="shared" si="76"/>
        <v>-3.1386017609665089</v>
      </c>
      <c r="V205">
        <f t="shared" si="77"/>
        <v>-8.1813738993432121</v>
      </c>
      <c r="W205">
        <f t="shared" si="78"/>
        <v>8.7786742233178732</v>
      </c>
      <c r="X205">
        <f t="shared" si="79"/>
        <v>-8.2158724644970906</v>
      </c>
      <c r="Y205" s="10">
        <f t="shared" si="80"/>
        <v>8.7463958089671721</v>
      </c>
      <c r="Z205" s="10">
        <f t="shared" si="81"/>
        <v>2.9172000000000291</v>
      </c>
      <c r="AA205" s="10">
        <f t="shared" si="82"/>
        <v>2.8691750000000282</v>
      </c>
      <c r="AB205" s="7">
        <f t="shared" si="83"/>
        <v>0.76564450617697244</v>
      </c>
      <c r="AC205" s="7">
        <f t="shared" si="84"/>
        <v>6.7090123154995851</v>
      </c>
      <c r="AD205" s="7">
        <f t="shared" si="85"/>
        <v>3.1386017609665089</v>
      </c>
      <c r="AE205" s="10">
        <f t="shared" si="86"/>
        <v>1.5312890123539449</v>
      </c>
      <c r="AF205" s="10">
        <f t="shared" si="87"/>
        <v>13.41802463099917</v>
      </c>
      <c r="AG205" s="10">
        <f t="shared" si="88"/>
        <v>0</v>
      </c>
      <c r="AJ205">
        <v>3.5430183815484737</v>
      </c>
      <c r="AK205">
        <v>-184.12899743120525</v>
      </c>
      <c r="AL205">
        <v>-78.569983441939314</v>
      </c>
      <c r="AM205">
        <v>-204.58777492356137</v>
      </c>
      <c r="AN205">
        <v>-87.299981602154787</v>
      </c>
      <c r="AQ205">
        <v>203</v>
      </c>
      <c r="AR205">
        <f t="shared" si="93"/>
        <v>-11.046058241429284</v>
      </c>
      <c r="AS205">
        <f t="shared" si="94"/>
        <v>-4.6887735418712824</v>
      </c>
    </row>
    <row r="206" spans="1:45" x14ac:dyDescent="0.25">
      <c r="A206" s="15">
        <f t="shared" ca="1" si="59"/>
        <v>0</v>
      </c>
      <c r="B206">
        <f t="shared" ca="1" si="60"/>
        <v>0</v>
      </c>
      <c r="D206">
        <v>45</v>
      </c>
      <c r="E206">
        <f t="shared" si="63"/>
        <v>8.1813738993432121</v>
      </c>
      <c r="F206">
        <f t="shared" si="92"/>
        <v>8.7786742233178732</v>
      </c>
      <c r="G206">
        <f t="shared" si="65"/>
        <v>8.1466013537401718</v>
      </c>
      <c r="H206">
        <f t="shared" si="89"/>
        <v>8.8109526376685743</v>
      </c>
      <c r="I206">
        <f t="shared" si="90"/>
        <v>9.1795344659771009E-4</v>
      </c>
      <c r="J206">
        <f t="shared" si="66"/>
        <v>2.9172000000000291</v>
      </c>
      <c r="K206">
        <f t="shared" si="91"/>
        <v>9.3881602492947632E-4</v>
      </c>
      <c r="L206">
        <f t="shared" si="67"/>
        <v>2.9643750000000293</v>
      </c>
      <c r="M206" s="7">
        <f t="shared" si="68"/>
        <v>8.1813738993432121</v>
      </c>
      <c r="N206" s="7">
        <f t="shared" si="69"/>
        <v>8.7786742233178732</v>
      </c>
      <c r="O206" s="7">
        <f t="shared" si="70"/>
        <v>8.1466013537401718</v>
      </c>
      <c r="P206">
        <f t="shared" si="71"/>
        <v>8.8109526376685743</v>
      </c>
      <c r="Q206" s="7">
        <f t="shared" si="72"/>
        <v>2.9172000000000291</v>
      </c>
      <c r="R206" s="7">
        <f t="shared" si="73"/>
        <v>2.9643750000000293</v>
      </c>
      <c r="S206" s="7">
        <f t="shared" si="74"/>
        <v>0.77495360157646598</v>
      </c>
      <c r="T206" s="7">
        <f t="shared" si="75"/>
        <v>6.8155969038947788</v>
      </c>
      <c r="U206" s="7">
        <f t="shared" si="76"/>
        <v>-3.1633425779406799</v>
      </c>
      <c r="V206">
        <f t="shared" si="77"/>
        <v>-8.1466013537401718</v>
      </c>
      <c r="W206">
        <f t="shared" si="78"/>
        <v>8.8109526376685743</v>
      </c>
      <c r="X206">
        <f t="shared" si="79"/>
        <v>-8.1813738993432121</v>
      </c>
      <c r="Y206" s="10">
        <f t="shared" si="80"/>
        <v>8.7786742233178732</v>
      </c>
      <c r="Z206" s="10">
        <f t="shared" si="81"/>
        <v>2.9643750000000293</v>
      </c>
      <c r="AA206" s="10">
        <f t="shared" si="82"/>
        <v>2.9172000000000291</v>
      </c>
      <c r="AB206" s="7">
        <f t="shared" si="83"/>
        <v>0.77495360157646598</v>
      </c>
      <c r="AC206" s="7">
        <f t="shared" si="84"/>
        <v>6.8155969038947779</v>
      </c>
      <c r="AD206" s="7">
        <f t="shared" si="85"/>
        <v>3.1633425779406799</v>
      </c>
      <c r="AE206" s="10">
        <f t="shared" si="86"/>
        <v>1.549907203152932</v>
      </c>
      <c r="AF206" s="10">
        <f t="shared" si="87"/>
        <v>13.631193807789558</v>
      </c>
      <c r="AG206" s="10">
        <f t="shared" si="88"/>
        <v>0</v>
      </c>
      <c r="AJ206">
        <v>3.5604716740684168</v>
      </c>
      <c r="AK206">
        <v>-182.41344801492818</v>
      </c>
      <c r="AL206">
        <v>-82.460156767854372</v>
      </c>
      <c r="AM206">
        <v>-202.68160890547574</v>
      </c>
      <c r="AN206">
        <v>-91.622396408727084</v>
      </c>
      <c r="AQ206">
        <v>204</v>
      </c>
      <c r="AR206">
        <f t="shared" si="93"/>
        <v>-10.962545491711211</v>
      </c>
      <c r="AS206">
        <f t="shared" si="94"/>
        <v>-4.8808397169096027</v>
      </c>
    </row>
    <row r="207" spans="1:45" x14ac:dyDescent="0.25">
      <c r="A207" s="15">
        <f t="shared" ca="1" si="59"/>
        <v>0</v>
      </c>
      <c r="B207">
        <f t="shared" ca="1" si="60"/>
        <v>0</v>
      </c>
      <c r="D207">
        <v>46</v>
      </c>
      <c r="E207">
        <f t="shared" si="63"/>
        <v>8.1466013537401718</v>
      </c>
      <c r="F207">
        <f t="shared" si="92"/>
        <v>8.8109526376685743</v>
      </c>
      <c r="G207">
        <f t="shared" si="65"/>
        <v>8.1115513041958902</v>
      </c>
      <c r="H207">
        <f t="shared" si="89"/>
        <v>8.8432310520192754</v>
      </c>
      <c r="I207">
        <f t="shared" si="90"/>
        <v>9.3881602492947632E-4</v>
      </c>
      <c r="J207">
        <f t="shared" si="66"/>
        <v>2.9643750000000293</v>
      </c>
      <c r="K207">
        <f t="shared" si="91"/>
        <v>9.5967860326124233E-4</v>
      </c>
      <c r="L207">
        <f t="shared" si="67"/>
        <v>3.0107000000000288</v>
      </c>
      <c r="M207" s="7">
        <f t="shared" si="68"/>
        <v>8.1466013537401718</v>
      </c>
      <c r="N207" s="7">
        <f t="shared" si="69"/>
        <v>8.8109526376685743</v>
      </c>
      <c r="O207" s="7">
        <f t="shared" si="70"/>
        <v>8.1115513041958902</v>
      </c>
      <c r="P207">
        <f t="shared" si="71"/>
        <v>8.8432310520192754</v>
      </c>
      <c r="Q207" s="7">
        <f t="shared" si="72"/>
        <v>2.9643750000000293</v>
      </c>
      <c r="R207" s="7">
        <f t="shared" si="73"/>
        <v>3.0107000000000288</v>
      </c>
      <c r="S207" s="7">
        <f t="shared" si="74"/>
        <v>0.78390663317173104</v>
      </c>
      <c r="T207" s="7">
        <f t="shared" si="75"/>
        <v>6.9196394534755488</v>
      </c>
      <c r="U207" s="7">
        <f t="shared" si="76"/>
        <v>-3.1862056121493567</v>
      </c>
      <c r="V207">
        <f t="shared" si="77"/>
        <v>-8.1115513041958902</v>
      </c>
      <c r="W207">
        <f t="shared" si="78"/>
        <v>8.8432310520192754</v>
      </c>
      <c r="X207">
        <f t="shared" si="79"/>
        <v>-8.1466013537401718</v>
      </c>
      <c r="Y207" s="10">
        <f t="shared" si="80"/>
        <v>8.8109526376685743</v>
      </c>
      <c r="Z207" s="10">
        <f t="shared" si="81"/>
        <v>3.0107000000000288</v>
      </c>
      <c r="AA207" s="10">
        <f t="shared" si="82"/>
        <v>2.9643750000000293</v>
      </c>
      <c r="AB207" s="7">
        <f t="shared" si="83"/>
        <v>0.78390663317173104</v>
      </c>
      <c r="AC207" s="7">
        <f t="shared" si="84"/>
        <v>6.919639453475547</v>
      </c>
      <c r="AD207" s="7">
        <f t="shared" si="85"/>
        <v>3.1862056121493567</v>
      </c>
      <c r="AE207" s="10">
        <f t="shared" si="86"/>
        <v>1.5678132663434621</v>
      </c>
      <c r="AF207" s="10">
        <f t="shared" si="87"/>
        <v>13.839278906951096</v>
      </c>
      <c r="AG207" s="10">
        <f t="shared" si="88"/>
        <v>0</v>
      </c>
      <c r="AJ207">
        <v>3.5779249665883599</v>
      </c>
      <c r="AK207">
        <v>-180.6055918453967</v>
      </c>
      <c r="AL207">
        <v>-86.145236868631557</v>
      </c>
      <c r="AM207">
        <v>-200.67287982821856</v>
      </c>
      <c r="AN207">
        <v>-95.716929854035058</v>
      </c>
      <c r="AQ207">
        <v>205</v>
      </c>
      <c r="AR207">
        <f t="shared" si="93"/>
        <v>-10.875693444439801</v>
      </c>
      <c r="AS207">
        <f t="shared" si="94"/>
        <v>-5.0714191408883913</v>
      </c>
    </row>
    <row r="208" spans="1:45" x14ac:dyDescent="0.25">
      <c r="A208" s="15">
        <f t="shared" ca="1" si="59"/>
        <v>0</v>
      </c>
      <c r="B208">
        <f t="shared" ca="1" si="60"/>
        <v>0</v>
      </c>
      <c r="D208">
        <v>47</v>
      </c>
      <c r="E208">
        <f t="shared" si="63"/>
        <v>8.1115513041958902</v>
      </c>
      <c r="F208">
        <f t="shared" si="92"/>
        <v>8.8432310520192754</v>
      </c>
      <c r="G208">
        <f t="shared" si="65"/>
        <v>8.0762201376867466</v>
      </c>
      <c r="H208">
        <f t="shared" si="89"/>
        <v>8.8755094663699765</v>
      </c>
      <c r="I208">
        <f t="shared" si="90"/>
        <v>9.5967860326124233E-4</v>
      </c>
      <c r="J208">
        <f t="shared" si="66"/>
        <v>3.0107000000000288</v>
      </c>
      <c r="K208">
        <f t="shared" si="91"/>
        <v>9.8054118159300856E-4</v>
      </c>
      <c r="L208">
        <f t="shared" si="67"/>
        <v>3.0561750000000294</v>
      </c>
      <c r="M208" s="7">
        <f t="shared" si="68"/>
        <v>8.1115513041958902</v>
      </c>
      <c r="N208" s="7">
        <f t="shared" si="69"/>
        <v>8.8432310520192754</v>
      </c>
      <c r="O208" s="7">
        <f t="shared" si="70"/>
        <v>8.0762201376867466</v>
      </c>
      <c r="P208">
        <f t="shared" si="71"/>
        <v>8.8755094663699765</v>
      </c>
      <c r="Q208" s="7">
        <f t="shared" si="72"/>
        <v>3.0107000000000288</v>
      </c>
      <c r="R208" s="7">
        <f t="shared" si="73"/>
        <v>3.0561750000000294</v>
      </c>
      <c r="S208" s="7">
        <f t="shared" si="74"/>
        <v>0.79250487684095539</v>
      </c>
      <c r="T208" s="7">
        <f t="shared" si="75"/>
        <v>7.0211167882360579</v>
      </c>
      <c r="U208" s="7">
        <f t="shared" si="76"/>
        <v>-3.2072095560095226</v>
      </c>
      <c r="V208">
        <f t="shared" si="77"/>
        <v>-8.0762201376867466</v>
      </c>
      <c r="W208">
        <f t="shared" si="78"/>
        <v>8.8755094663699765</v>
      </c>
      <c r="X208">
        <f t="shared" si="79"/>
        <v>-8.1115513041958902</v>
      </c>
      <c r="Y208" s="10">
        <f t="shared" si="80"/>
        <v>8.8432310520192754</v>
      </c>
      <c r="Z208" s="10">
        <f t="shared" si="81"/>
        <v>3.0561750000000294</v>
      </c>
      <c r="AA208" s="10">
        <f t="shared" si="82"/>
        <v>3.0107000000000288</v>
      </c>
      <c r="AB208" s="7">
        <f t="shared" si="83"/>
        <v>0.79250487684095539</v>
      </c>
      <c r="AC208" s="7">
        <f t="shared" si="84"/>
        <v>7.0211167882360561</v>
      </c>
      <c r="AD208" s="7">
        <f t="shared" si="85"/>
        <v>3.2072095560095226</v>
      </c>
      <c r="AE208" s="10">
        <f t="shared" si="86"/>
        <v>1.5850097536819108</v>
      </c>
      <c r="AF208" s="10">
        <f t="shared" si="87"/>
        <v>14.042233576472114</v>
      </c>
      <c r="AG208" s="10">
        <f t="shared" si="88"/>
        <v>0</v>
      </c>
      <c r="AJ208">
        <v>3.595378259108303</v>
      </c>
      <c r="AK208">
        <v>-178.71983044517947</v>
      </c>
      <c r="AL208">
        <v>-89.051381777771397</v>
      </c>
      <c r="AM208">
        <v>-198.57758938353274</v>
      </c>
      <c r="AN208">
        <v>-98.945979753079328</v>
      </c>
      <c r="AQ208">
        <v>206</v>
      </c>
      <c r="AR208">
        <f t="shared" si="93"/>
        <v>-10.785528555590004</v>
      </c>
      <c r="AS208">
        <f t="shared" si="94"/>
        <v>-5.2604537614689297</v>
      </c>
    </row>
    <row r="209" spans="1:45" x14ac:dyDescent="0.25">
      <c r="A209" s="15">
        <f t="shared" ca="1" si="59"/>
        <v>0</v>
      </c>
      <c r="B209">
        <f t="shared" ca="1" si="60"/>
        <v>0</v>
      </c>
      <c r="D209">
        <v>48</v>
      </c>
      <c r="E209">
        <f t="shared" si="63"/>
        <v>8.0762201376867466</v>
      </c>
      <c r="F209">
        <f t="shared" si="92"/>
        <v>8.8755094663699765</v>
      </c>
      <c r="G209">
        <f t="shared" si="65"/>
        <v>8.0406041484508997</v>
      </c>
      <c r="H209">
        <f t="shared" si="89"/>
        <v>8.9077878807206776</v>
      </c>
      <c r="I209">
        <f t="shared" si="90"/>
        <v>9.8054118159300856E-4</v>
      </c>
      <c r="J209">
        <f t="shared" si="66"/>
        <v>3.0561750000000294</v>
      </c>
      <c r="K209">
        <f t="shared" si="91"/>
        <v>1.0014037599247747E-3</v>
      </c>
      <c r="L209">
        <f t="shared" si="67"/>
        <v>3.1008000000000293</v>
      </c>
      <c r="M209" s="7">
        <f t="shared" si="68"/>
        <v>8.0762201376867466</v>
      </c>
      <c r="N209" s="7">
        <f t="shared" si="69"/>
        <v>8.8755094663699765</v>
      </c>
      <c r="O209" s="7">
        <f t="shared" si="70"/>
        <v>8.0406041484508997</v>
      </c>
      <c r="P209">
        <f t="shared" si="71"/>
        <v>8.9077878807206776</v>
      </c>
      <c r="Q209" s="7">
        <f t="shared" si="72"/>
        <v>3.0561750000000294</v>
      </c>
      <c r="R209" s="7">
        <f t="shared" si="73"/>
        <v>3.1008000000000293</v>
      </c>
      <c r="S209" s="7">
        <f t="shared" si="74"/>
        <v>0.80074962404443939</v>
      </c>
      <c r="T209" s="7">
        <f t="shared" si="75"/>
        <v>7.1200060354544394</v>
      </c>
      <c r="U209" s="7">
        <f t="shared" si="76"/>
        <v>-3.2263732734503332</v>
      </c>
      <c r="V209">
        <f t="shared" si="77"/>
        <v>-8.0406041484508997</v>
      </c>
      <c r="W209">
        <f t="shared" si="78"/>
        <v>8.9077878807206776</v>
      </c>
      <c r="X209">
        <f t="shared" si="79"/>
        <v>-8.0762201376867466</v>
      </c>
      <c r="Y209" s="10">
        <f t="shared" si="80"/>
        <v>8.8755094663699765</v>
      </c>
      <c r="Z209" s="10">
        <f t="shared" si="81"/>
        <v>3.1008000000000293</v>
      </c>
      <c r="AA209" s="10">
        <f t="shared" si="82"/>
        <v>3.0561750000000294</v>
      </c>
      <c r="AB209" s="7">
        <f t="shared" si="83"/>
        <v>0.80074962404443939</v>
      </c>
      <c r="AC209" s="7">
        <f t="shared" si="84"/>
        <v>7.1200060354544394</v>
      </c>
      <c r="AD209" s="7">
        <f t="shared" si="85"/>
        <v>3.2263732734503332</v>
      </c>
      <c r="AE209" s="10">
        <f t="shared" si="86"/>
        <v>1.6014992480888788</v>
      </c>
      <c r="AF209" s="10">
        <f t="shared" si="87"/>
        <v>14.240012070908879</v>
      </c>
      <c r="AG209" s="10">
        <f t="shared" si="88"/>
        <v>0</v>
      </c>
      <c r="AJ209">
        <v>3.6128315516282461</v>
      </c>
      <c r="AK209">
        <v>-176.80339361126275</v>
      </c>
      <c r="AL209">
        <v>-91.924727768630348</v>
      </c>
      <c r="AM209">
        <v>-196.44821512362526</v>
      </c>
      <c r="AN209">
        <v>-102.13858640958927</v>
      </c>
      <c r="AQ209">
        <v>207</v>
      </c>
      <c r="AR209">
        <f t="shared" si="93"/>
        <v>-10.692078290260415</v>
      </c>
      <c r="AS209">
        <f t="shared" si="94"/>
        <v>-5.4478859968745601</v>
      </c>
    </row>
    <row r="210" spans="1:45" x14ac:dyDescent="0.25">
      <c r="A210" s="15">
        <f t="shared" ca="1" si="59"/>
        <v>0</v>
      </c>
      <c r="B210">
        <f t="shared" ca="1" si="60"/>
        <v>0</v>
      </c>
      <c r="D210">
        <v>49</v>
      </c>
      <c r="E210">
        <f t="shared" si="63"/>
        <v>8.0406041484508997</v>
      </c>
      <c r="F210">
        <f t="shared" si="92"/>
        <v>8.9077878807206776</v>
      </c>
      <c r="G210">
        <f t="shared" si="65"/>
        <v>8.0046995346314347</v>
      </c>
      <c r="H210">
        <f t="shared" si="89"/>
        <v>8.9400662950713787</v>
      </c>
      <c r="I210">
        <f t="shared" si="90"/>
        <v>1.0014037599247747E-3</v>
      </c>
      <c r="J210">
        <f t="shared" si="66"/>
        <v>3.1008000000000293</v>
      </c>
      <c r="K210">
        <f t="shared" si="91"/>
        <v>1.0222663382565408E-3</v>
      </c>
      <c r="L210">
        <f t="shared" si="67"/>
        <v>3.1445750000000294</v>
      </c>
      <c r="M210" s="7">
        <f t="shared" si="68"/>
        <v>8.0406041484508997</v>
      </c>
      <c r="N210" s="7">
        <f t="shared" si="69"/>
        <v>8.9077878807206776</v>
      </c>
      <c r="O210" s="7">
        <f t="shared" si="70"/>
        <v>8.0046995346314347</v>
      </c>
      <c r="P210">
        <f t="shared" si="71"/>
        <v>8.9400662950713787</v>
      </c>
      <c r="Q210" s="7">
        <f t="shared" si="72"/>
        <v>3.1008000000000293</v>
      </c>
      <c r="R210" s="7">
        <f t="shared" si="73"/>
        <v>3.1445750000000294</v>
      </c>
      <c r="S210" s="7">
        <f t="shared" si="74"/>
        <v>0.80864218182272629</v>
      </c>
      <c r="T210" s="7">
        <f t="shared" si="75"/>
        <v>7.2162846281909339</v>
      </c>
      <c r="U210" s="7">
        <f t="shared" si="76"/>
        <v>-3.2437157999128736</v>
      </c>
      <c r="V210">
        <f t="shared" si="77"/>
        <v>-8.0046995346314347</v>
      </c>
      <c r="W210">
        <f t="shared" si="78"/>
        <v>8.9400662950713787</v>
      </c>
      <c r="X210">
        <f t="shared" si="79"/>
        <v>-8.0406041484508997</v>
      </c>
      <c r="Y210" s="10">
        <f t="shared" si="80"/>
        <v>8.9077878807206776</v>
      </c>
      <c r="Z210" s="10">
        <f t="shared" si="81"/>
        <v>3.1445750000000294</v>
      </c>
      <c r="AA210" s="10">
        <f t="shared" si="82"/>
        <v>3.1008000000000293</v>
      </c>
      <c r="AB210" s="7">
        <f t="shared" si="83"/>
        <v>0.80864218182272629</v>
      </c>
      <c r="AC210" s="7">
        <f t="shared" si="84"/>
        <v>7.2162846281909339</v>
      </c>
      <c r="AD210" s="7">
        <f t="shared" si="85"/>
        <v>3.2437157999128736</v>
      </c>
      <c r="AE210" s="10">
        <f t="shared" si="86"/>
        <v>1.6172843636454526</v>
      </c>
      <c r="AF210" s="10">
        <f t="shared" si="87"/>
        <v>14.432569256381868</v>
      </c>
      <c r="AG210" s="10">
        <f t="shared" si="88"/>
        <v>0</v>
      </c>
      <c r="AJ210">
        <v>3.6302848441481892</v>
      </c>
      <c r="AK210">
        <v>-174.67568056849072</v>
      </c>
      <c r="AL210">
        <v>-95.236554009981987</v>
      </c>
      <c r="AM210">
        <v>-194.08408952054523</v>
      </c>
      <c r="AN210">
        <v>-105.81839334442442</v>
      </c>
      <c r="AQ210">
        <v>208</v>
      </c>
      <c r="AR210">
        <f t="shared" si="93"/>
        <v>-10.595371114307122</v>
      </c>
      <c r="AS210">
        <f t="shared" si="94"/>
        <v>-5.6336587534306908</v>
      </c>
    </row>
    <row r="211" spans="1:45" x14ac:dyDescent="0.25">
      <c r="A211" s="15">
        <f t="shared" ca="1" si="59"/>
        <v>0</v>
      </c>
      <c r="B211">
        <f t="shared" ca="1" si="60"/>
        <v>0</v>
      </c>
      <c r="D211">
        <v>50</v>
      </c>
      <c r="E211">
        <f t="shared" si="63"/>
        <v>8.0046995346314347</v>
      </c>
      <c r="F211">
        <f t="shared" si="92"/>
        <v>8.9400662950713787</v>
      </c>
      <c r="G211">
        <f t="shared" si="65"/>
        <v>7.9685023947606126</v>
      </c>
      <c r="H211">
        <f t="shared" si="89"/>
        <v>8.9723447094220798</v>
      </c>
      <c r="I211">
        <f t="shared" si="90"/>
        <v>1.0222663382565408E-3</v>
      </c>
      <c r="J211">
        <f t="shared" si="66"/>
        <v>3.1445750000000294</v>
      </c>
      <c r="K211">
        <f t="shared" si="91"/>
        <v>1.0431289165883069E-3</v>
      </c>
      <c r="L211">
        <f t="shared" si="67"/>
        <v>3.1875000000000293</v>
      </c>
      <c r="M211" s="7">
        <f t="shared" si="68"/>
        <v>8.0046995346314347</v>
      </c>
      <c r="N211" s="7">
        <f t="shared" si="69"/>
        <v>8.9400662950713787</v>
      </c>
      <c r="O211" s="7">
        <f t="shared" si="70"/>
        <v>7.9685023947606126</v>
      </c>
      <c r="P211">
        <f t="shared" si="71"/>
        <v>8.9723447094220798</v>
      </c>
      <c r="Q211" s="7">
        <f t="shared" si="72"/>
        <v>3.1445750000000294</v>
      </c>
      <c r="R211" s="7">
        <f t="shared" si="73"/>
        <v>3.1875000000000293</v>
      </c>
      <c r="S211" s="7">
        <f t="shared" si="74"/>
        <v>0.81618387278889382</v>
      </c>
      <c r="T211" s="7">
        <f t="shared" si="75"/>
        <v>7.309930307733346</v>
      </c>
      <c r="U211" s="7">
        <f t="shared" si="76"/>
        <v>-3.2592563423498953</v>
      </c>
      <c r="V211">
        <f t="shared" si="77"/>
        <v>-7.9685023947606126</v>
      </c>
      <c r="W211">
        <f t="shared" si="78"/>
        <v>8.9723447094220798</v>
      </c>
      <c r="X211">
        <f t="shared" si="79"/>
        <v>-8.0046995346314347</v>
      </c>
      <c r="Y211" s="10">
        <f t="shared" si="80"/>
        <v>8.9400662950713787</v>
      </c>
      <c r="Z211" s="10">
        <f t="shared" si="81"/>
        <v>3.1875000000000293</v>
      </c>
      <c r="AA211" s="10">
        <f t="shared" si="82"/>
        <v>3.1445750000000294</v>
      </c>
      <c r="AB211" s="7">
        <f t="shared" si="83"/>
        <v>0.81618387278889382</v>
      </c>
      <c r="AC211" s="7">
        <f t="shared" si="84"/>
        <v>7.309930307733346</v>
      </c>
      <c r="AD211" s="7">
        <f t="shared" si="85"/>
        <v>3.2592563423498953</v>
      </c>
      <c r="AE211" s="10">
        <f t="shared" si="86"/>
        <v>1.6323677455777876</v>
      </c>
      <c r="AF211" s="10">
        <f t="shared" si="87"/>
        <v>14.619860615466692</v>
      </c>
      <c r="AG211" s="10">
        <f t="shared" si="88"/>
        <v>0</v>
      </c>
      <c r="AJ211">
        <v>3.6477381366681323</v>
      </c>
      <c r="AK211">
        <v>-172.69747129451497</v>
      </c>
      <c r="AL211">
        <v>-98.002655001918114</v>
      </c>
      <c r="AM211">
        <v>-191.88607921612774</v>
      </c>
      <c r="AN211">
        <v>-108.89183889102013</v>
      </c>
      <c r="AQ211">
        <v>209</v>
      </c>
      <c r="AR211">
        <f t="shared" si="93"/>
        <v>-10.49543648567275</v>
      </c>
      <c r="AS211">
        <f t="shared" si="94"/>
        <v>-5.8177154429560431</v>
      </c>
    </row>
    <row r="212" spans="1:45" x14ac:dyDescent="0.25">
      <c r="A212" s="15">
        <f t="shared" ca="1" si="59"/>
        <v>0</v>
      </c>
      <c r="B212">
        <f t="shared" ca="1" si="60"/>
        <v>0</v>
      </c>
      <c r="D212">
        <v>51</v>
      </c>
      <c r="E212">
        <f t="shared" si="63"/>
        <v>7.9685023947606126</v>
      </c>
      <c r="F212">
        <f t="shared" si="92"/>
        <v>8.9723447094220798</v>
      </c>
      <c r="G212">
        <f t="shared" si="65"/>
        <v>7.9320087240759216</v>
      </c>
      <c r="H212">
        <f t="shared" si="89"/>
        <v>9.004623123772781</v>
      </c>
      <c r="I212">
        <f t="shared" si="90"/>
        <v>1.0431289165883069E-3</v>
      </c>
      <c r="J212">
        <f t="shared" si="66"/>
        <v>3.1875000000000293</v>
      </c>
      <c r="K212">
        <f t="shared" si="91"/>
        <v>1.063991494920073E-3</v>
      </c>
      <c r="L212">
        <f t="shared" si="67"/>
        <v>3.2295750000000294</v>
      </c>
      <c r="M212" s="7">
        <f t="shared" si="68"/>
        <v>7.9685023947606126</v>
      </c>
      <c r="N212" s="7">
        <f t="shared" si="69"/>
        <v>8.9723447094220798</v>
      </c>
      <c r="O212" s="7">
        <f t="shared" si="70"/>
        <v>7.9320087240759216</v>
      </c>
      <c r="P212">
        <f t="shared" si="71"/>
        <v>9.004623123772781</v>
      </c>
      <c r="Q212" s="7">
        <f t="shared" si="72"/>
        <v>3.1875000000000293</v>
      </c>
      <c r="R212" s="7">
        <f t="shared" si="73"/>
        <v>3.2295750000000294</v>
      </c>
      <c r="S212" s="7">
        <f t="shared" si="74"/>
        <v>0.8233760351144811</v>
      </c>
      <c r="T212" s="7">
        <f t="shared" si="75"/>
        <v>7.4009211259838379</v>
      </c>
      <c r="U212" s="7">
        <f t="shared" si="76"/>
        <v>-3.273014279225543</v>
      </c>
      <c r="V212">
        <f t="shared" si="77"/>
        <v>-7.9320087240759216</v>
      </c>
      <c r="W212">
        <f t="shared" si="78"/>
        <v>9.004623123772781</v>
      </c>
      <c r="X212">
        <f t="shared" si="79"/>
        <v>-7.9685023947606126</v>
      </c>
      <c r="Y212" s="10">
        <f t="shared" si="80"/>
        <v>8.9723447094220798</v>
      </c>
      <c r="Z212" s="10">
        <f t="shared" si="81"/>
        <v>3.2295750000000294</v>
      </c>
      <c r="AA212" s="10">
        <f t="shared" si="82"/>
        <v>3.1875000000000293</v>
      </c>
      <c r="AB212" s="7">
        <f t="shared" si="83"/>
        <v>0.8233760351144811</v>
      </c>
      <c r="AC212" s="7">
        <f t="shared" si="84"/>
        <v>7.4009211259838379</v>
      </c>
      <c r="AD212" s="7">
        <f t="shared" si="85"/>
        <v>3.273014279225543</v>
      </c>
      <c r="AE212" s="10">
        <f t="shared" si="86"/>
        <v>1.6467520702289622</v>
      </c>
      <c r="AF212" s="10">
        <f t="shared" si="87"/>
        <v>14.801842251967676</v>
      </c>
      <c r="AG212" s="10">
        <f t="shared" si="88"/>
        <v>0</v>
      </c>
      <c r="AJ212">
        <v>3.6651914291880754</v>
      </c>
      <c r="AK212">
        <v>-170.69546023617823</v>
      </c>
      <c r="AL212">
        <v>-100.73469936375048</v>
      </c>
      <c r="AM212">
        <v>-189.66162248464249</v>
      </c>
      <c r="AN212">
        <v>-111.92744373750052</v>
      </c>
      <c r="AQ212">
        <v>210</v>
      </c>
      <c r="AR212">
        <f t="shared" si="93"/>
        <v>-10.392304845413264</v>
      </c>
      <c r="AS212">
        <f t="shared" si="94"/>
        <v>-6.0000000000000018</v>
      </c>
    </row>
    <row r="213" spans="1:45" x14ac:dyDescent="0.25">
      <c r="A213" s="15">
        <f t="shared" ca="1" si="59"/>
        <v>0</v>
      </c>
      <c r="B213">
        <f t="shared" ca="1" si="60"/>
        <v>0</v>
      </c>
      <c r="D213">
        <v>52</v>
      </c>
      <c r="E213">
        <f t="shared" si="63"/>
        <v>7.9320087240759216</v>
      </c>
      <c r="F213">
        <f t="shared" si="92"/>
        <v>9.004623123772781</v>
      </c>
      <c r="G213">
        <f t="shared" si="65"/>
        <v>7.8952144106579807</v>
      </c>
      <c r="H213">
        <f t="shared" si="89"/>
        <v>9.0369015381234821</v>
      </c>
      <c r="I213">
        <f t="shared" si="90"/>
        <v>1.063991494920073E-3</v>
      </c>
      <c r="J213">
        <f t="shared" si="66"/>
        <v>3.2295750000000294</v>
      </c>
      <c r="K213">
        <f t="shared" si="91"/>
        <v>1.0848540732518392E-3</v>
      </c>
      <c r="L213">
        <f t="shared" si="67"/>
        <v>3.2708000000000288</v>
      </c>
      <c r="M213" s="7">
        <f t="shared" si="68"/>
        <v>7.9320087240759216</v>
      </c>
      <c r="N213" s="7">
        <f t="shared" si="69"/>
        <v>9.004623123772781</v>
      </c>
      <c r="O213" s="7">
        <f t="shared" si="70"/>
        <v>7.8952144106579807</v>
      </c>
      <c r="P213">
        <f t="shared" si="71"/>
        <v>9.0369015381234821</v>
      </c>
      <c r="Q213" s="7">
        <f t="shared" si="72"/>
        <v>3.2295750000000294</v>
      </c>
      <c r="R213" s="7">
        <f t="shared" si="73"/>
        <v>3.2708000000000288</v>
      </c>
      <c r="S213" s="7">
        <f t="shared" si="74"/>
        <v>0.83022002250848415</v>
      </c>
      <c r="T213" s="7">
        <f t="shared" si="75"/>
        <v>7.4892354477804206</v>
      </c>
      <c r="U213" s="7">
        <f t="shared" si="76"/>
        <v>-3.2850091605150515</v>
      </c>
      <c r="V213">
        <f t="shared" si="77"/>
        <v>-7.8952144106579807</v>
      </c>
      <c r="W213">
        <f t="shared" si="78"/>
        <v>9.0369015381234821</v>
      </c>
      <c r="X213">
        <f t="shared" si="79"/>
        <v>-7.9320087240759216</v>
      </c>
      <c r="Y213" s="10">
        <f t="shared" si="80"/>
        <v>9.004623123772781</v>
      </c>
      <c r="Z213" s="10">
        <f t="shared" si="81"/>
        <v>3.2708000000000288</v>
      </c>
      <c r="AA213" s="10">
        <f t="shared" si="82"/>
        <v>3.2295750000000294</v>
      </c>
      <c r="AB213" s="7">
        <f t="shared" si="83"/>
        <v>0.83022002250848415</v>
      </c>
      <c r="AC213" s="7">
        <f t="shared" si="84"/>
        <v>7.4892354477804215</v>
      </c>
      <c r="AD213" s="7">
        <f t="shared" si="85"/>
        <v>3.2850091605150515</v>
      </c>
      <c r="AE213" s="10">
        <f t="shared" si="86"/>
        <v>1.6604400450169683</v>
      </c>
      <c r="AF213" s="10">
        <f t="shared" si="87"/>
        <v>14.978470895560843</v>
      </c>
      <c r="AG213" s="10">
        <f t="shared" si="88"/>
        <v>0</v>
      </c>
      <c r="AJ213">
        <v>3.6826447217080185</v>
      </c>
      <c r="AK213">
        <v>-168.67055992300172</v>
      </c>
      <c r="AL213">
        <v>-103.43343833362036</v>
      </c>
      <c r="AM213">
        <v>-187.41173324777969</v>
      </c>
      <c r="AN213">
        <v>-114.9260425929115</v>
      </c>
      <c r="AQ213">
        <v>211</v>
      </c>
      <c r="AR213">
        <f t="shared" si="93"/>
        <v>-10.286007608425347</v>
      </c>
      <c r="AS213">
        <f t="shared" si="94"/>
        <v>-6.1804568989206494</v>
      </c>
    </row>
    <row r="214" spans="1:45" x14ac:dyDescent="0.25">
      <c r="A214" s="15">
        <f t="shared" ca="1" si="59"/>
        <v>0</v>
      </c>
      <c r="B214">
        <f t="shared" ca="1" si="60"/>
        <v>0</v>
      </c>
      <c r="D214">
        <v>53</v>
      </c>
      <c r="E214">
        <f t="shared" si="63"/>
        <v>7.8952144106579807</v>
      </c>
      <c r="F214">
        <f t="shared" si="92"/>
        <v>9.0369015381234821</v>
      </c>
      <c r="G214">
        <f t="shared" si="65"/>
        <v>7.8581152313796201</v>
      </c>
      <c r="H214">
        <f t="shared" si="89"/>
        <v>9.0691799524741832</v>
      </c>
      <c r="I214">
        <f t="shared" si="90"/>
        <v>1.0848540732518392E-3</v>
      </c>
      <c r="J214">
        <f t="shared" si="66"/>
        <v>3.2708000000000288</v>
      </c>
      <c r="K214">
        <f t="shared" si="91"/>
        <v>1.1057166515836053E-3</v>
      </c>
      <c r="L214">
        <f t="shared" si="67"/>
        <v>3.3111750000000288</v>
      </c>
      <c r="M214" s="7">
        <f t="shared" si="68"/>
        <v>7.8952144106579807</v>
      </c>
      <c r="N214" s="7">
        <f t="shared" si="69"/>
        <v>9.0369015381234821</v>
      </c>
      <c r="O214" s="7">
        <f t="shared" si="70"/>
        <v>7.8581152313796201</v>
      </c>
      <c r="P214">
        <f t="shared" si="71"/>
        <v>9.0691799524741832</v>
      </c>
      <c r="Q214" s="7">
        <f t="shared" si="72"/>
        <v>3.2708000000000288</v>
      </c>
      <c r="R214" s="7">
        <f t="shared" si="73"/>
        <v>3.3111750000000288</v>
      </c>
      <c r="S214" s="7">
        <f t="shared" si="74"/>
        <v>0.83671720418879925</v>
      </c>
      <c r="T214" s="7">
        <f t="shared" si="75"/>
        <v>7.5748519531460561</v>
      </c>
      <c r="U214" s="7">
        <f t="shared" si="76"/>
        <v>-3.2952607077044354</v>
      </c>
      <c r="V214">
        <f t="shared" si="77"/>
        <v>-7.8581152313796201</v>
      </c>
      <c r="W214">
        <f t="shared" si="78"/>
        <v>9.0691799524741832</v>
      </c>
      <c r="X214">
        <f t="shared" si="79"/>
        <v>-7.8952144106579807</v>
      </c>
      <c r="Y214" s="10">
        <f t="shared" si="80"/>
        <v>9.0369015381234821</v>
      </c>
      <c r="Z214" s="10">
        <f t="shared" si="81"/>
        <v>3.3111750000000288</v>
      </c>
      <c r="AA214" s="10">
        <f t="shared" si="82"/>
        <v>3.2708000000000288</v>
      </c>
      <c r="AB214" s="7">
        <f t="shared" si="83"/>
        <v>0.83671720418879925</v>
      </c>
      <c r="AC214" s="7">
        <f t="shared" si="84"/>
        <v>7.5748519531460552</v>
      </c>
      <c r="AD214" s="7">
        <f t="shared" si="85"/>
        <v>3.2952607077044349</v>
      </c>
      <c r="AE214" s="10">
        <f t="shared" si="86"/>
        <v>1.6734344083775985</v>
      </c>
      <c r="AF214" s="10">
        <f t="shared" si="87"/>
        <v>15.14970390629211</v>
      </c>
      <c r="AG214" s="10">
        <f t="shared" si="88"/>
        <v>0</v>
      </c>
      <c r="AJ214">
        <v>3.7000980142279616</v>
      </c>
      <c r="AK214">
        <v>-166.62359723724944</v>
      </c>
      <c r="AL214">
        <v>-106.0996707605734</v>
      </c>
      <c r="AM214">
        <v>-185.13733026361049</v>
      </c>
      <c r="AN214">
        <v>-117.88852306730378</v>
      </c>
      <c r="AQ214">
        <v>212</v>
      </c>
      <c r="AR214">
        <f t="shared" si="93"/>
        <v>-10.176577153877112</v>
      </c>
      <c r="AS214">
        <f t="shared" si="94"/>
        <v>-6.3590311707984579</v>
      </c>
    </row>
    <row r="215" spans="1:45" x14ac:dyDescent="0.25">
      <c r="A215" s="15">
        <f t="shared" ca="1" si="59"/>
        <v>0</v>
      </c>
      <c r="B215">
        <f t="shared" ca="1" si="60"/>
        <v>0</v>
      </c>
      <c r="D215">
        <v>54</v>
      </c>
      <c r="E215">
        <f t="shared" si="63"/>
        <v>7.8581152313796201</v>
      </c>
      <c r="F215">
        <f t="shared" si="92"/>
        <v>9.0691799524741832</v>
      </c>
      <c r="G215">
        <f t="shared" si="65"/>
        <v>7.820706847654713</v>
      </c>
      <c r="H215">
        <f t="shared" si="89"/>
        <v>9.1014583668248843</v>
      </c>
      <c r="I215">
        <f t="shared" si="90"/>
        <v>1.1057166515836053E-3</v>
      </c>
      <c r="J215">
        <f t="shared" si="66"/>
        <v>3.3111750000000288</v>
      </c>
      <c r="K215">
        <f t="shared" si="91"/>
        <v>1.1265792299153714E-3</v>
      </c>
      <c r="L215">
        <f t="shared" si="67"/>
        <v>3.3507000000000291</v>
      </c>
      <c r="M215" s="7">
        <f t="shared" si="68"/>
        <v>7.8581152313796201</v>
      </c>
      <c r="N215" s="7">
        <f t="shared" si="69"/>
        <v>9.0691799524741832</v>
      </c>
      <c r="O215" s="7">
        <f t="shared" si="70"/>
        <v>7.820706847654713</v>
      </c>
      <c r="P215">
        <f t="shared" si="71"/>
        <v>9.1014583668248843</v>
      </c>
      <c r="Q215" s="7">
        <f t="shared" si="72"/>
        <v>3.3111750000000288</v>
      </c>
      <c r="R215" s="7">
        <f t="shared" si="73"/>
        <v>3.3507000000000291</v>
      </c>
      <c r="S215" s="7">
        <f t="shared" si="74"/>
        <v>0.84286896484544682</v>
      </c>
      <c r="T215" s="7">
        <f t="shared" si="75"/>
        <v>7.6577496394574993</v>
      </c>
      <c r="U215" s="7">
        <f t="shared" si="76"/>
        <v>-3.3037888137901499</v>
      </c>
      <c r="V215">
        <f t="shared" si="77"/>
        <v>-7.820706847654713</v>
      </c>
      <c r="W215">
        <f t="shared" si="78"/>
        <v>9.1014583668248843</v>
      </c>
      <c r="X215">
        <f t="shared" si="79"/>
        <v>-7.8581152313796201</v>
      </c>
      <c r="Y215" s="10">
        <f t="shared" si="80"/>
        <v>9.0691799524741832</v>
      </c>
      <c r="Z215" s="10">
        <f t="shared" si="81"/>
        <v>3.3507000000000291</v>
      </c>
      <c r="AA215" s="10">
        <f t="shared" si="82"/>
        <v>3.3111750000000288</v>
      </c>
      <c r="AB215" s="7">
        <f t="shared" si="83"/>
        <v>0.84286896484544682</v>
      </c>
      <c r="AC215" s="7">
        <f t="shared" si="84"/>
        <v>7.6577496394574993</v>
      </c>
      <c r="AD215" s="7">
        <f t="shared" si="85"/>
        <v>3.3037888137901503</v>
      </c>
      <c r="AE215" s="10">
        <f t="shared" si="86"/>
        <v>1.6857379296908936</v>
      </c>
      <c r="AF215" s="10">
        <f t="shared" si="87"/>
        <v>15.315499278914999</v>
      </c>
      <c r="AG215" s="10">
        <f t="shared" si="88"/>
        <v>0</v>
      </c>
      <c r="AJ215">
        <v>3.7175513067479047</v>
      </c>
      <c r="AK215">
        <v>-164.55530876298442</v>
      </c>
      <c r="AL215">
        <v>-108.73423627568212</v>
      </c>
      <c r="AM215">
        <v>-182.83923195887158</v>
      </c>
      <c r="AN215">
        <v>-120.81581808409125</v>
      </c>
      <c r="AQ215">
        <v>213</v>
      </c>
      <c r="AR215">
        <f t="shared" si="93"/>
        <v>-10.064046815345089</v>
      </c>
      <c r="AS215">
        <f t="shared" si="94"/>
        <v>-6.5356684201803255</v>
      </c>
    </row>
    <row r="216" spans="1:45" x14ac:dyDescent="0.25">
      <c r="A216" s="15">
        <f t="shared" ref="A216:A222" ca="1" si="95">L102</f>
        <v>0</v>
      </c>
      <c r="B216">
        <f t="shared" ref="B216:B222" ca="1" si="96">IF(AND(A216&gt;0,A216&lt;$B$128),(0.85*$B$126)*((2*(A216/$B$128))-POWER(A216/$B$128,2)),IF(A216&gt;0,0.85*$B$126,0))/1000</f>
        <v>0</v>
      </c>
      <c r="D216">
        <v>55</v>
      </c>
      <c r="E216">
        <f t="shared" si="63"/>
        <v>7.820706847654713</v>
      </c>
      <c r="F216">
        <f t="shared" si="92"/>
        <v>9.1014583668248843</v>
      </c>
      <c r="G216">
        <f t="shared" si="65"/>
        <v>7.7829848009745115</v>
      </c>
      <c r="H216">
        <f t="shared" si="89"/>
        <v>9.1337367811755854</v>
      </c>
      <c r="I216">
        <f t="shared" si="90"/>
        <v>1.1265792299153714E-3</v>
      </c>
      <c r="J216">
        <f t="shared" si="66"/>
        <v>3.3507000000000291</v>
      </c>
      <c r="K216">
        <f t="shared" si="91"/>
        <v>1.1474418082471378E-3</v>
      </c>
      <c r="L216">
        <f t="shared" si="67"/>
        <v>3.3893750000000287</v>
      </c>
      <c r="M216" s="7">
        <f t="shared" si="68"/>
        <v>7.820706847654713</v>
      </c>
      <c r="N216" s="7">
        <f t="shared" si="69"/>
        <v>9.1014583668248843</v>
      </c>
      <c r="O216" s="7">
        <f t="shared" si="70"/>
        <v>7.7829848009745115</v>
      </c>
      <c r="P216">
        <f t="shared" si="71"/>
        <v>9.1337367811755854</v>
      </c>
      <c r="Q216" s="7">
        <f t="shared" si="72"/>
        <v>3.3507000000000291</v>
      </c>
      <c r="R216" s="7">
        <f t="shared" si="73"/>
        <v>3.3893750000000287</v>
      </c>
      <c r="S216" s="7">
        <f t="shared" si="74"/>
        <v>0.84867670459484623</v>
      </c>
      <c r="T216" s="7">
        <f t="shared" si="75"/>
        <v>7.7379078235254735</v>
      </c>
      <c r="U216" s="7">
        <f t="shared" si="76"/>
        <v>-3.3106135432787291</v>
      </c>
      <c r="V216">
        <f t="shared" si="77"/>
        <v>-7.7829848009745115</v>
      </c>
      <c r="W216">
        <f t="shared" si="78"/>
        <v>9.1337367811755854</v>
      </c>
      <c r="X216">
        <f t="shared" si="79"/>
        <v>-7.820706847654713</v>
      </c>
      <c r="Y216" s="10">
        <f t="shared" si="80"/>
        <v>9.1014583668248843</v>
      </c>
      <c r="Z216" s="10">
        <f t="shared" si="81"/>
        <v>3.3893750000000287</v>
      </c>
      <c r="AA216" s="10">
        <f t="shared" si="82"/>
        <v>3.3507000000000291</v>
      </c>
      <c r="AB216" s="7">
        <f t="shared" si="83"/>
        <v>0.84867670459484623</v>
      </c>
      <c r="AC216" s="7">
        <f t="shared" si="84"/>
        <v>7.7379078235254735</v>
      </c>
      <c r="AD216" s="7">
        <f t="shared" si="85"/>
        <v>3.3106135432787291</v>
      </c>
      <c r="AE216" s="10">
        <f t="shared" si="86"/>
        <v>1.6973534091896925</v>
      </c>
      <c r="AF216" s="10">
        <f t="shared" si="87"/>
        <v>15.475815647050947</v>
      </c>
      <c r="AG216" s="10">
        <f t="shared" si="88"/>
        <v>0</v>
      </c>
      <c r="AJ216">
        <v>3.7350045992678478</v>
      </c>
      <c r="AK216">
        <v>-162.46633667759943</v>
      </c>
      <c r="AL216">
        <v>-111.33800792202585</v>
      </c>
      <c r="AM216">
        <v>-180.51815186399935</v>
      </c>
      <c r="AN216">
        <v>-123.70889769113984</v>
      </c>
      <c r="AQ216">
        <v>214</v>
      </c>
      <c r="AR216">
        <f t="shared" si="93"/>
        <v>-9.9484508706605013</v>
      </c>
      <c r="AS216">
        <f t="shared" si="94"/>
        <v>-6.7103148416489606</v>
      </c>
    </row>
    <row r="217" spans="1:45" x14ac:dyDescent="0.25">
      <c r="A217" s="15">
        <f t="shared" ca="1" si="95"/>
        <v>0</v>
      </c>
      <c r="B217">
        <f t="shared" ca="1" si="96"/>
        <v>0</v>
      </c>
      <c r="D217">
        <v>56</v>
      </c>
      <c r="E217">
        <f t="shared" si="63"/>
        <v>7.7829848009745115</v>
      </c>
      <c r="F217">
        <f t="shared" si="92"/>
        <v>9.1337367811755854</v>
      </c>
      <c r="G217">
        <f t="shared" si="65"/>
        <v>7.7449445082183264</v>
      </c>
      <c r="H217">
        <f t="shared" si="89"/>
        <v>9.1660151955262865</v>
      </c>
      <c r="I217">
        <f t="shared" si="90"/>
        <v>1.1474418082471378E-3</v>
      </c>
      <c r="J217">
        <f t="shared" si="66"/>
        <v>3.3893750000000287</v>
      </c>
      <c r="K217">
        <f t="shared" si="91"/>
        <v>1.1683043865789039E-3</v>
      </c>
      <c r="L217">
        <f t="shared" si="67"/>
        <v>3.4272000000000289</v>
      </c>
      <c r="M217" s="7">
        <f t="shared" si="68"/>
        <v>7.7829848009745115</v>
      </c>
      <c r="N217" s="7">
        <f t="shared" si="69"/>
        <v>9.1337367811755854</v>
      </c>
      <c r="O217" s="7">
        <f t="shared" si="70"/>
        <v>7.7449445082183264</v>
      </c>
      <c r="P217">
        <f t="shared" si="71"/>
        <v>9.1660151955262865</v>
      </c>
      <c r="Q217" s="7">
        <f t="shared" si="72"/>
        <v>3.3893750000000287</v>
      </c>
      <c r="R217" s="7">
        <f t="shared" si="73"/>
        <v>3.4272000000000289</v>
      </c>
      <c r="S217" s="7">
        <f t="shared" si="74"/>
        <v>0.85414183892435502</v>
      </c>
      <c r="T217" s="7">
        <f t="shared" si="75"/>
        <v>7.8153061435768594</v>
      </c>
      <c r="U217" s="7">
        <f t="shared" si="76"/>
        <v>-3.3157551321864074</v>
      </c>
      <c r="V217">
        <f t="shared" si="77"/>
        <v>-7.7449445082183264</v>
      </c>
      <c r="W217">
        <f t="shared" si="78"/>
        <v>9.1660151955262865</v>
      </c>
      <c r="X217">
        <f t="shared" si="79"/>
        <v>-7.7829848009745115</v>
      </c>
      <c r="Y217" s="10">
        <f t="shared" si="80"/>
        <v>9.1337367811755854</v>
      </c>
      <c r="Z217" s="10">
        <f t="shared" si="81"/>
        <v>3.4272000000000289</v>
      </c>
      <c r="AA217" s="10">
        <f t="shared" si="82"/>
        <v>3.3893750000000287</v>
      </c>
      <c r="AB217" s="7">
        <f t="shared" si="83"/>
        <v>0.85414183892435502</v>
      </c>
      <c r="AC217" s="7">
        <f t="shared" si="84"/>
        <v>7.8153061435768594</v>
      </c>
      <c r="AD217" s="7">
        <f t="shared" si="85"/>
        <v>3.3157551321864074</v>
      </c>
      <c r="AE217" s="10">
        <f t="shared" si="86"/>
        <v>1.70828367784871</v>
      </c>
      <c r="AF217" s="10">
        <f t="shared" si="87"/>
        <v>15.630612287153719</v>
      </c>
      <c r="AG217" s="10">
        <f t="shared" si="88"/>
        <v>0</v>
      </c>
      <c r="AJ217">
        <v>3.7524578917877909</v>
      </c>
      <c r="AK217">
        <v>-160.35722532316765</v>
      </c>
      <c r="AL217">
        <v>-113.91188432797317</v>
      </c>
      <c r="AM217">
        <v>-178.1746948035196</v>
      </c>
      <c r="AN217">
        <v>-126.56876036441463</v>
      </c>
      <c r="AQ217">
        <v>215</v>
      </c>
      <c r="AR217">
        <f t="shared" si="93"/>
        <v>-9.8298245314679011</v>
      </c>
      <c r="AS217">
        <f t="shared" si="94"/>
        <v>-6.8829172362125544</v>
      </c>
    </row>
    <row r="218" spans="1:45" x14ac:dyDescent="0.25">
      <c r="A218" s="15">
        <f t="shared" ca="1" si="95"/>
        <v>0</v>
      </c>
      <c r="B218">
        <f t="shared" ca="1" si="96"/>
        <v>0</v>
      </c>
      <c r="D218">
        <v>57</v>
      </c>
      <c r="E218">
        <f t="shared" si="63"/>
        <v>7.7449445082183264</v>
      </c>
      <c r="F218">
        <f t="shared" si="92"/>
        <v>9.1660151955262865</v>
      </c>
      <c r="G218">
        <f t="shared" si="65"/>
        <v>7.706581256724423</v>
      </c>
      <c r="H218">
        <f t="shared" si="89"/>
        <v>9.1982936098769876</v>
      </c>
      <c r="I218">
        <f t="shared" si="90"/>
        <v>1.1683043865789039E-3</v>
      </c>
      <c r="J218">
        <f t="shared" si="66"/>
        <v>3.4272000000000289</v>
      </c>
      <c r="K218">
        <f t="shared" si="91"/>
        <v>1.1891669649106698E-3</v>
      </c>
      <c r="L218">
        <f t="shared" si="67"/>
        <v>3.464175000000028</v>
      </c>
      <c r="M218" s="7">
        <f t="shared" si="68"/>
        <v>7.7449445082183264</v>
      </c>
      <c r="N218" s="7">
        <f t="shared" si="69"/>
        <v>9.1660151955262865</v>
      </c>
      <c r="O218" s="7">
        <f t="shared" si="70"/>
        <v>7.706581256724423</v>
      </c>
      <c r="P218">
        <f t="shared" si="71"/>
        <v>9.1982936098769876</v>
      </c>
      <c r="Q218" s="7">
        <f t="shared" si="72"/>
        <v>3.4272000000000289</v>
      </c>
      <c r="R218" s="7">
        <f t="shared" si="73"/>
        <v>3.464175000000028</v>
      </c>
      <c r="S218" s="7">
        <f t="shared" si="74"/>
        <v>0.859265798626213</v>
      </c>
      <c r="T218" s="7">
        <f t="shared" si="75"/>
        <v>7.8899245611288924</v>
      </c>
      <c r="U218" s="7">
        <f t="shared" si="76"/>
        <v>-3.3192339880387052</v>
      </c>
      <c r="V218">
        <f t="shared" si="77"/>
        <v>-7.706581256724423</v>
      </c>
      <c r="W218">
        <f t="shared" si="78"/>
        <v>9.1982936098769876</v>
      </c>
      <c r="X218">
        <f t="shared" si="79"/>
        <v>-7.7449445082183264</v>
      </c>
      <c r="Y218" s="10">
        <f t="shared" si="80"/>
        <v>9.1660151955262865</v>
      </c>
      <c r="Z218" s="10">
        <f t="shared" si="81"/>
        <v>3.464175000000028</v>
      </c>
      <c r="AA218" s="10">
        <f t="shared" si="82"/>
        <v>3.4272000000000289</v>
      </c>
      <c r="AB218" s="7">
        <f t="shared" si="83"/>
        <v>0.859265798626213</v>
      </c>
      <c r="AC218" s="7">
        <f t="shared" si="84"/>
        <v>7.8899245611288924</v>
      </c>
      <c r="AD218" s="7">
        <f t="shared" si="85"/>
        <v>3.3192339880387047</v>
      </c>
      <c r="AE218" s="10">
        <f t="shared" si="86"/>
        <v>1.718531597252426</v>
      </c>
      <c r="AF218" s="10">
        <f t="shared" si="87"/>
        <v>15.779849122257785</v>
      </c>
      <c r="AG218" s="10">
        <f t="shared" si="88"/>
        <v>0</v>
      </c>
      <c r="AJ218">
        <v>3.769911184307734</v>
      </c>
      <c r="AK218">
        <v>-158.22841847931963</v>
      </c>
      <c r="AL218">
        <v>-116.45678147267171</v>
      </c>
      <c r="AM218">
        <v>-175.80935386591071</v>
      </c>
      <c r="AN218">
        <v>-129.39642385852412</v>
      </c>
      <c r="AQ218">
        <v>216</v>
      </c>
      <c r="AR218">
        <f t="shared" si="93"/>
        <v>-9.7082039324993712</v>
      </c>
      <c r="AS218">
        <f t="shared" si="94"/>
        <v>-7.0534230275096768</v>
      </c>
    </row>
    <row r="219" spans="1:45" x14ac:dyDescent="0.25">
      <c r="A219" s="15">
        <f t="shared" ca="1" si="95"/>
        <v>0</v>
      </c>
      <c r="B219">
        <f t="shared" ca="1" si="96"/>
        <v>0</v>
      </c>
      <c r="D219">
        <v>58</v>
      </c>
      <c r="E219">
        <f t="shared" si="63"/>
        <v>7.706581256724423</v>
      </c>
      <c r="F219">
        <f t="shared" si="92"/>
        <v>9.1982936098769876</v>
      </c>
      <c r="G219">
        <f t="shared" si="65"/>
        <v>7.6678901991059538</v>
      </c>
      <c r="H219">
        <f t="shared" si="89"/>
        <v>9.2305720242276887</v>
      </c>
      <c r="I219">
        <f t="shared" si="90"/>
        <v>1.1891669649106698E-3</v>
      </c>
      <c r="J219">
        <f t="shared" si="66"/>
        <v>3.464175000000028</v>
      </c>
      <c r="K219">
        <f t="shared" si="91"/>
        <v>1.2100295432424361E-3</v>
      </c>
      <c r="L219">
        <f t="shared" si="67"/>
        <v>3.5003000000000282</v>
      </c>
      <c r="M219" s="7">
        <f t="shared" si="68"/>
        <v>7.706581256724423</v>
      </c>
      <c r="N219" s="7">
        <f t="shared" si="69"/>
        <v>9.1982936098769876</v>
      </c>
      <c r="O219" s="7">
        <f t="shared" si="70"/>
        <v>7.6678901991059538</v>
      </c>
      <c r="P219">
        <f t="shared" si="71"/>
        <v>9.2305720242276887</v>
      </c>
      <c r="Q219" s="7">
        <f t="shared" si="72"/>
        <v>3.464175000000028</v>
      </c>
      <c r="R219" s="7">
        <f t="shared" si="73"/>
        <v>3.5003000000000282</v>
      </c>
      <c r="S219" s="7">
        <f t="shared" si="74"/>
        <v>0.86405002971995903</v>
      </c>
      <c r="T219" s="7">
        <f t="shared" si="75"/>
        <v>7.9617433627443219</v>
      </c>
      <c r="U219" s="7">
        <f t="shared" si="76"/>
        <v>-3.3210706898699907</v>
      </c>
      <c r="V219">
        <f t="shared" si="77"/>
        <v>-7.6678901991059538</v>
      </c>
      <c r="W219">
        <f t="shared" si="78"/>
        <v>9.2305720242276887</v>
      </c>
      <c r="X219">
        <f t="shared" si="79"/>
        <v>-7.706581256724423</v>
      </c>
      <c r="Y219" s="10">
        <f t="shared" si="80"/>
        <v>9.1982936098769876</v>
      </c>
      <c r="Z219" s="10">
        <f t="shared" si="81"/>
        <v>3.5003000000000282</v>
      </c>
      <c r="AA219" s="10">
        <f t="shared" si="82"/>
        <v>3.464175000000028</v>
      </c>
      <c r="AB219" s="7">
        <f t="shared" si="83"/>
        <v>0.86405002971995903</v>
      </c>
      <c r="AC219" s="7">
        <f t="shared" si="84"/>
        <v>7.9617433627443219</v>
      </c>
      <c r="AD219" s="7">
        <f t="shared" si="85"/>
        <v>3.3210706898699907</v>
      </c>
      <c r="AE219" s="10">
        <f t="shared" si="86"/>
        <v>1.7281000594399181</v>
      </c>
      <c r="AF219" s="10">
        <f t="shared" si="87"/>
        <v>15.923486725488644</v>
      </c>
      <c r="AG219" s="10">
        <f t="shared" si="88"/>
        <v>0</v>
      </c>
      <c r="AJ219">
        <v>3.7873644768276771</v>
      </c>
      <c r="AK219">
        <v>-156.08025738627128</v>
      </c>
      <c r="AL219">
        <v>-118.97362411136599</v>
      </c>
      <c r="AM219">
        <v>-173.4225082069681</v>
      </c>
      <c r="AN219">
        <v>-132.19291567929554</v>
      </c>
      <c r="AQ219">
        <v>217</v>
      </c>
      <c r="AR219">
        <f t="shared" si="93"/>
        <v>-9.583626120567514</v>
      </c>
      <c r="AS219">
        <f t="shared" si="94"/>
        <v>-7.2217802778245801</v>
      </c>
    </row>
    <row r="220" spans="1:45" x14ac:dyDescent="0.25">
      <c r="A220" s="15">
        <f t="shared" ca="1" si="95"/>
        <v>0</v>
      </c>
      <c r="B220">
        <f t="shared" ca="1" si="96"/>
        <v>0</v>
      </c>
      <c r="D220">
        <v>59</v>
      </c>
      <c r="E220">
        <f t="shared" si="63"/>
        <v>7.6678901991059538</v>
      </c>
      <c r="F220">
        <f t="shared" si="92"/>
        <v>9.2305720242276887</v>
      </c>
      <c r="G220">
        <f t="shared" si="65"/>
        <v>7.6288663477955962</v>
      </c>
      <c r="H220">
        <f t="shared" si="89"/>
        <v>9.2628504385783899</v>
      </c>
      <c r="I220">
        <f t="shared" si="90"/>
        <v>1.2100295432424361E-3</v>
      </c>
      <c r="J220">
        <f t="shared" si="66"/>
        <v>3.5003000000000282</v>
      </c>
      <c r="K220">
        <f t="shared" si="91"/>
        <v>1.2308921215742022E-3</v>
      </c>
      <c r="L220">
        <f t="shared" si="67"/>
        <v>3.5355750000000281</v>
      </c>
      <c r="M220" s="7">
        <f t="shared" si="68"/>
        <v>7.6678901991059538</v>
      </c>
      <c r="N220" s="7">
        <f t="shared" si="69"/>
        <v>9.2305720242276887</v>
      </c>
      <c r="O220" s="7">
        <f t="shared" si="70"/>
        <v>7.6288663477955962</v>
      </c>
      <c r="P220">
        <f t="shared" si="71"/>
        <v>9.2628504385783899</v>
      </c>
      <c r="Q220" s="7">
        <f t="shared" si="72"/>
        <v>3.5003000000000282</v>
      </c>
      <c r="R220" s="7">
        <f t="shared" si="73"/>
        <v>3.5355750000000281</v>
      </c>
      <c r="S220" s="7">
        <f t="shared" si="74"/>
        <v>0.86849599336230776</v>
      </c>
      <c r="T220" s="7">
        <f t="shared" si="75"/>
        <v>8.0307431616556055</v>
      </c>
      <c r="U220" s="7">
        <f t="shared" si="76"/>
        <v>-3.3212859882230128</v>
      </c>
      <c r="V220">
        <f t="shared" si="77"/>
        <v>-7.6288663477955962</v>
      </c>
      <c r="W220">
        <f t="shared" si="78"/>
        <v>9.2628504385783899</v>
      </c>
      <c r="X220">
        <f t="shared" si="79"/>
        <v>-7.6678901991059538</v>
      </c>
      <c r="Y220" s="10">
        <f t="shared" si="80"/>
        <v>9.2305720242276887</v>
      </c>
      <c r="Z220" s="10">
        <f t="shared" si="81"/>
        <v>3.5355750000000281</v>
      </c>
      <c r="AA220" s="10">
        <f t="shared" si="82"/>
        <v>3.5003000000000282</v>
      </c>
      <c r="AB220" s="7">
        <f t="shared" si="83"/>
        <v>0.86849599336230776</v>
      </c>
      <c r="AC220" s="7">
        <f t="shared" si="84"/>
        <v>8.0307431616556055</v>
      </c>
      <c r="AD220" s="7">
        <f t="shared" si="85"/>
        <v>3.3212859882230137</v>
      </c>
      <c r="AE220" s="10">
        <f t="shared" si="86"/>
        <v>1.7369919867246155</v>
      </c>
      <c r="AF220" s="10">
        <f t="shared" si="87"/>
        <v>16.061486323311211</v>
      </c>
      <c r="AG220" s="10">
        <f t="shared" si="88"/>
        <v>0</v>
      </c>
      <c r="AJ220">
        <v>3.8048177693476202</v>
      </c>
      <c r="AK220">
        <v>-153.91297958718621</v>
      </c>
      <c r="AL220">
        <v>-121.46333695311149</v>
      </c>
      <c r="AM220">
        <v>-171.01442176354024</v>
      </c>
      <c r="AN220">
        <v>-134.959263281235</v>
      </c>
      <c r="AQ220">
        <v>218</v>
      </c>
      <c r="AR220">
        <f t="shared" si="93"/>
        <v>-9.4561290432806651</v>
      </c>
      <c r="AS220">
        <f t="shared" si="94"/>
        <v>-7.3879377039078982</v>
      </c>
    </row>
    <row r="221" spans="1:45" x14ac:dyDescent="0.25">
      <c r="A221" s="15">
        <f t="shared" ca="1" si="95"/>
        <v>0</v>
      </c>
      <c r="B221">
        <f t="shared" ca="1" si="96"/>
        <v>0</v>
      </c>
      <c r="D221">
        <v>60</v>
      </c>
      <c r="E221">
        <f t="shared" si="63"/>
        <v>7.6288663477955962</v>
      </c>
      <c r="F221">
        <f t="shared" si="92"/>
        <v>9.2628504385783899</v>
      </c>
      <c r="G221">
        <f t="shared" si="65"/>
        <v>7.5895045693012877</v>
      </c>
      <c r="H221">
        <f t="shared" si="89"/>
        <v>9.295128852929091</v>
      </c>
      <c r="I221">
        <f t="shared" si="90"/>
        <v>1.2308921215742022E-3</v>
      </c>
      <c r="J221">
        <f t="shared" si="66"/>
        <v>3.5355750000000281</v>
      </c>
      <c r="K221">
        <f t="shared" si="91"/>
        <v>1.2517546999059681E-3</v>
      </c>
      <c r="L221">
        <f t="shared" si="67"/>
        <v>3.5700000000000278</v>
      </c>
      <c r="M221" s="7">
        <f t="shared" si="68"/>
        <v>7.6288663477955962</v>
      </c>
      <c r="N221" s="7">
        <f t="shared" si="69"/>
        <v>9.2628504385783899</v>
      </c>
      <c r="O221" s="7">
        <f t="shared" si="70"/>
        <v>7.5895045693012877</v>
      </c>
      <c r="P221">
        <f t="shared" si="71"/>
        <v>9.295128852929091</v>
      </c>
      <c r="Q221" s="7">
        <f t="shared" si="72"/>
        <v>3.5355750000000281</v>
      </c>
      <c r="R221" s="7">
        <f t="shared" si="73"/>
        <v>3.5700000000000278</v>
      </c>
      <c r="S221" s="7">
        <f t="shared" si="74"/>
        <v>0.8726051657433801</v>
      </c>
      <c r="T221" s="7">
        <f t="shared" si="75"/>
        <v>8.0969048992450112</v>
      </c>
      <c r="U221" s="7">
        <f t="shared" si="76"/>
        <v>-3.3199008051483978</v>
      </c>
      <c r="V221">
        <f t="shared" si="77"/>
        <v>-7.5895045693012877</v>
      </c>
      <c r="W221">
        <f t="shared" si="78"/>
        <v>9.295128852929091</v>
      </c>
      <c r="X221">
        <f t="shared" si="79"/>
        <v>-7.6288663477955962</v>
      </c>
      <c r="Y221" s="10">
        <f t="shared" si="80"/>
        <v>9.2628504385783899</v>
      </c>
      <c r="Z221" s="10">
        <f t="shared" si="81"/>
        <v>3.5700000000000278</v>
      </c>
      <c r="AA221" s="10">
        <f t="shared" si="82"/>
        <v>3.5355750000000281</v>
      </c>
      <c r="AB221" s="7">
        <f t="shared" si="83"/>
        <v>0.8726051657433801</v>
      </c>
      <c r="AC221" s="7">
        <f t="shared" si="84"/>
        <v>8.0969048992450112</v>
      </c>
      <c r="AD221" s="7">
        <f t="shared" si="85"/>
        <v>3.3199008051483974</v>
      </c>
      <c r="AE221" s="10">
        <f t="shared" si="86"/>
        <v>1.7452103314867602</v>
      </c>
      <c r="AF221" s="10">
        <f t="shared" si="87"/>
        <v>16.193809798490022</v>
      </c>
      <c r="AG221" s="10">
        <f t="shared" si="88"/>
        <v>0</v>
      </c>
      <c r="AJ221">
        <v>3.8222710618675633</v>
      </c>
      <c r="AK221">
        <v>-151.72671861934666</v>
      </c>
      <c r="AL221">
        <v>-123.92683567607921</v>
      </c>
      <c r="AM221">
        <v>-168.58524291038518</v>
      </c>
      <c r="AN221">
        <v>-137.69648408453244</v>
      </c>
      <c r="AQ221">
        <v>219</v>
      </c>
      <c r="AR221">
        <f t="shared" si="93"/>
        <v>-9.325751537483649</v>
      </c>
      <c r="AS221">
        <f t="shared" si="94"/>
        <v>-7.5518446925980509</v>
      </c>
    </row>
    <row r="222" spans="1:45" x14ac:dyDescent="0.25">
      <c r="A222" s="15">
        <f t="shared" ca="1" si="95"/>
        <v>0</v>
      </c>
      <c r="B222">
        <f t="shared" ca="1" si="96"/>
        <v>0</v>
      </c>
      <c r="D222">
        <v>61</v>
      </c>
      <c r="E222">
        <f t="shared" si="63"/>
        <v>7.5895045693012877</v>
      </c>
      <c r="F222">
        <f t="shared" si="92"/>
        <v>9.295128852929091</v>
      </c>
      <c r="G222">
        <f t="shared" si="65"/>
        <v>7.5497995781541203</v>
      </c>
      <c r="H222">
        <f t="shared" si="89"/>
        <v>9.3274072672797921</v>
      </c>
      <c r="I222">
        <f t="shared" si="90"/>
        <v>1.2517546999059681E-3</v>
      </c>
      <c r="J222">
        <f t="shared" si="66"/>
        <v>3.5700000000000278</v>
      </c>
      <c r="K222">
        <f t="shared" si="91"/>
        <v>1.2726172782377345E-3</v>
      </c>
      <c r="L222">
        <f t="shared" si="67"/>
        <v>3.6035750000000277</v>
      </c>
      <c r="M222" s="7">
        <f t="shared" si="68"/>
        <v>7.5895045693012877</v>
      </c>
      <c r="N222" s="7">
        <f t="shared" si="69"/>
        <v>9.295128852929091</v>
      </c>
      <c r="O222" s="7">
        <f t="shared" si="70"/>
        <v>7.5497995781541203</v>
      </c>
      <c r="P222">
        <f t="shared" si="71"/>
        <v>9.3274072672797921</v>
      </c>
      <c r="Q222" s="7">
        <f t="shared" si="72"/>
        <v>3.5700000000000278</v>
      </c>
      <c r="R222" s="7">
        <f t="shared" si="73"/>
        <v>3.6035750000000277</v>
      </c>
      <c r="S222" s="7">
        <f t="shared" si="74"/>
        <v>0.87637903796809036</v>
      </c>
      <c r="T222" s="7">
        <f t="shared" si="75"/>
        <v>8.1602098463664134</v>
      </c>
      <c r="U222" s="7">
        <f t="shared" si="76"/>
        <v>-3.3169362342041055</v>
      </c>
      <c r="V222">
        <f t="shared" si="77"/>
        <v>-7.5497995781541203</v>
      </c>
      <c r="W222">
        <f t="shared" si="78"/>
        <v>9.3274072672797921</v>
      </c>
      <c r="X222">
        <f t="shared" si="79"/>
        <v>-7.5895045693012877</v>
      </c>
      <c r="Y222" s="10">
        <f t="shared" si="80"/>
        <v>9.295128852929091</v>
      </c>
      <c r="Z222" s="10">
        <f t="shared" si="81"/>
        <v>3.6035750000000277</v>
      </c>
      <c r="AA222" s="10">
        <f t="shared" si="82"/>
        <v>3.5700000000000278</v>
      </c>
      <c r="AB222" s="7">
        <f t="shared" si="83"/>
        <v>0.87637903796809036</v>
      </c>
      <c r="AC222" s="7">
        <f t="shared" si="84"/>
        <v>8.1602098463664134</v>
      </c>
      <c r="AD222" s="7">
        <f t="shared" si="85"/>
        <v>3.3169362342041055</v>
      </c>
      <c r="AE222" s="10">
        <f t="shared" si="86"/>
        <v>1.7527580759361807</v>
      </c>
      <c r="AF222" s="10">
        <f t="shared" si="87"/>
        <v>16.320419692732827</v>
      </c>
      <c r="AG222" s="10">
        <f t="shared" si="88"/>
        <v>0</v>
      </c>
      <c r="AJ222">
        <v>3.8397243543875064</v>
      </c>
      <c r="AK222">
        <v>-149.5215045660768</v>
      </c>
      <c r="AL222">
        <v>-126.36501786396458</v>
      </c>
      <c r="AM222">
        <v>-166.13500507341865</v>
      </c>
      <c r="AN222">
        <v>-140.40557540440508</v>
      </c>
      <c r="AQ222">
        <v>220</v>
      </c>
      <c r="AR222">
        <f t="shared" si="93"/>
        <v>-9.1925333174277366</v>
      </c>
      <c r="AS222">
        <f t="shared" si="94"/>
        <v>-7.713451316238471</v>
      </c>
    </row>
    <row r="223" spans="1:45" x14ac:dyDescent="0.25">
      <c r="A223" s="15"/>
      <c r="D223">
        <v>62</v>
      </c>
      <c r="E223">
        <f t="shared" si="63"/>
        <v>7.5497995781541203</v>
      </c>
      <c r="F223">
        <f t="shared" si="92"/>
        <v>9.3274072672797921</v>
      </c>
      <c r="G223">
        <f t="shared" si="65"/>
        <v>7.5097459305279521</v>
      </c>
      <c r="H223">
        <f t="shared" si="89"/>
        <v>9.3596856816304932</v>
      </c>
      <c r="I223">
        <f t="shared" si="90"/>
        <v>1.2726172782377345E-3</v>
      </c>
      <c r="J223">
        <f t="shared" si="66"/>
        <v>3.6035750000000277</v>
      </c>
      <c r="K223">
        <f t="shared" si="91"/>
        <v>1.2934798565695006E-3</v>
      </c>
      <c r="L223">
        <f t="shared" si="67"/>
        <v>3.6363000000000274</v>
      </c>
      <c r="M223" s="7">
        <f t="shared" si="68"/>
        <v>7.5497995781541203</v>
      </c>
      <c r="N223" s="7">
        <f t="shared" si="69"/>
        <v>9.3274072672797921</v>
      </c>
      <c r="O223" s="7">
        <f t="shared" si="70"/>
        <v>7.5097459305279521</v>
      </c>
      <c r="P223">
        <f t="shared" si="71"/>
        <v>9.3596856816304932</v>
      </c>
      <c r="Q223" s="7">
        <f t="shared" si="72"/>
        <v>3.6035750000000277</v>
      </c>
      <c r="R223" s="7">
        <f t="shared" si="73"/>
        <v>3.6363000000000274</v>
      </c>
      <c r="S223" s="7">
        <f t="shared" si="74"/>
        <v>0.87981911592137307</v>
      </c>
      <c r="T223" s="7">
        <f t="shared" si="75"/>
        <v>8.22063960449311</v>
      </c>
      <c r="U223" s="7">
        <f t="shared" si="76"/>
        <v>-3.3124135404548545</v>
      </c>
      <c r="V223">
        <f t="shared" si="77"/>
        <v>-7.5097459305279521</v>
      </c>
      <c r="W223">
        <f t="shared" si="78"/>
        <v>9.3596856816304932</v>
      </c>
      <c r="X223">
        <f t="shared" si="79"/>
        <v>-7.5497995781541203</v>
      </c>
      <c r="Y223" s="10">
        <f t="shared" si="80"/>
        <v>9.3274072672797921</v>
      </c>
      <c r="Z223" s="10">
        <f t="shared" si="81"/>
        <v>3.6363000000000274</v>
      </c>
      <c r="AA223" s="10">
        <f t="shared" si="82"/>
        <v>3.6035750000000277</v>
      </c>
      <c r="AB223" s="7">
        <f t="shared" si="83"/>
        <v>0.87981911592137307</v>
      </c>
      <c r="AC223" s="7">
        <f t="shared" si="84"/>
        <v>8.22063960449311</v>
      </c>
      <c r="AD223" s="7">
        <f t="shared" si="85"/>
        <v>3.3124135404548545</v>
      </c>
      <c r="AE223" s="10">
        <f t="shared" si="86"/>
        <v>1.7596382318427461</v>
      </c>
      <c r="AF223" s="10">
        <f t="shared" si="87"/>
        <v>16.44127920898622</v>
      </c>
      <c r="AG223" s="10">
        <f t="shared" si="88"/>
        <v>0</v>
      </c>
      <c r="AJ223">
        <v>3.8571776469074495</v>
      </c>
      <c r="AK223">
        <v>-147.29726546878049</v>
      </c>
      <c r="AL223">
        <v>-128.77875394535866</v>
      </c>
      <c r="AM223">
        <v>-163.66362829864499</v>
      </c>
      <c r="AN223">
        <v>-143.08750438373184</v>
      </c>
      <c r="AQ223">
        <v>221</v>
      </c>
      <c r="AR223">
        <f t="shared" si="93"/>
        <v>-9.0565149626732655</v>
      </c>
      <c r="AS223">
        <f t="shared" si="94"/>
        <v>-7.8727083478860846</v>
      </c>
    </row>
    <row r="224" spans="1:45" x14ac:dyDescent="0.25">
      <c r="A224" s="15"/>
      <c r="D224">
        <v>63</v>
      </c>
      <c r="E224">
        <f t="shared" si="63"/>
        <v>7.5097459305279521</v>
      </c>
      <c r="F224">
        <f t="shared" si="92"/>
        <v>9.3596856816304932</v>
      </c>
      <c r="G224">
        <f t="shared" si="65"/>
        <v>7.4693380175086563</v>
      </c>
      <c r="H224">
        <f t="shared" si="89"/>
        <v>9.3919640959811943</v>
      </c>
      <c r="I224">
        <f t="shared" si="90"/>
        <v>1.2934798565695006E-3</v>
      </c>
      <c r="J224">
        <f t="shared" si="66"/>
        <v>3.6363000000000274</v>
      </c>
      <c r="K224">
        <f t="shared" si="91"/>
        <v>1.3143424349012667E-3</v>
      </c>
      <c r="L224">
        <f t="shared" si="67"/>
        <v>3.6681750000000273</v>
      </c>
      <c r="M224" s="7">
        <f t="shared" si="68"/>
        <v>7.5097459305279521</v>
      </c>
      <c r="N224" s="7">
        <f t="shared" si="69"/>
        <v>9.3596856816304932</v>
      </c>
      <c r="O224" s="7">
        <f t="shared" si="70"/>
        <v>7.4693380175086563</v>
      </c>
      <c r="P224">
        <f t="shared" si="71"/>
        <v>9.3919640959811943</v>
      </c>
      <c r="Q224" s="7">
        <f t="shared" si="72"/>
        <v>3.6363000000000274</v>
      </c>
      <c r="R224" s="7">
        <f t="shared" si="73"/>
        <v>3.6681750000000273</v>
      </c>
      <c r="S224" s="7">
        <f t="shared" si="74"/>
        <v>0.8829269201158283</v>
      </c>
      <c r="T224" s="7">
        <f t="shared" si="75"/>
        <v>8.2781761066747173</v>
      </c>
      <c r="U224" s="7">
        <f t="shared" si="76"/>
        <v>-3.3063541604715034</v>
      </c>
      <c r="V224">
        <f t="shared" si="77"/>
        <v>-7.4693380175086563</v>
      </c>
      <c r="W224">
        <f t="shared" si="78"/>
        <v>9.3919640959811943</v>
      </c>
      <c r="X224">
        <f t="shared" si="79"/>
        <v>-7.5097459305279521</v>
      </c>
      <c r="Y224" s="10">
        <f t="shared" si="80"/>
        <v>9.3596856816304932</v>
      </c>
      <c r="Z224" s="10">
        <f t="shared" si="81"/>
        <v>3.6681750000000273</v>
      </c>
      <c r="AA224" s="10">
        <f t="shared" si="82"/>
        <v>3.6363000000000274</v>
      </c>
      <c r="AB224" s="7">
        <f t="shared" si="83"/>
        <v>0.8829269201158283</v>
      </c>
      <c r="AC224" s="7">
        <f t="shared" si="84"/>
        <v>8.2781761066747173</v>
      </c>
      <c r="AD224" s="7">
        <f t="shared" si="85"/>
        <v>3.3063541604715034</v>
      </c>
      <c r="AE224" s="10">
        <f t="shared" si="86"/>
        <v>1.7658538402316566</v>
      </c>
      <c r="AF224" s="10">
        <f t="shared" si="87"/>
        <v>16.556352213349435</v>
      </c>
      <c r="AG224" s="10">
        <f t="shared" si="88"/>
        <v>0</v>
      </c>
      <c r="AJ224">
        <v>3.8746309394273926</v>
      </c>
      <c r="AK224">
        <v>-145.0538296431848</v>
      </c>
      <c r="AL224">
        <v>-131.16887826209427</v>
      </c>
      <c r="AM224">
        <v>-161.17092182576087</v>
      </c>
      <c r="AN224">
        <v>-145.74319806899362</v>
      </c>
      <c r="AQ224">
        <v>222</v>
      </c>
      <c r="AR224">
        <f t="shared" si="93"/>
        <v>-8.9177379057287318</v>
      </c>
      <c r="AS224">
        <f t="shared" si="94"/>
        <v>-8.0295672763062989</v>
      </c>
    </row>
    <row r="225" spans="4:45" x14ac:dyDescent="0.25">
      <c r="D225">
        <v>64</v>
      </c>
      <c r="E225">
        <f t="shared" si="63"/>
        <v>7.4693380175086563</v>
      </c>
      <c r="F225">
        <f t="shared" si="92"/>
        <v>9.3919640959811943</v>
      </c>
      <c r="G225">
        <f t="shared" si="65"/>
        <v>7.4285700579891669</v>
      </c>
      <c r="H225">
        <f t="shared" si="89"/>
        <v>9.4242425103318954</v>
      </c>
      <c r="I225">
        <f t="shared" si="90"/>
        <v>1.3143424349012667E-3</v>
      </c>
      <c r="J225">
        <f t="shared" si="66"/>
        <v>3.6681750000000273</v>
      </c>
      <c r="K225">
        <f t="shared" si="91"/>
        <v>1.3352050132330328E-3</v>
      </c>
      <c r="L225">
        <f t="shared" si="67"/>
        <v>3.6992000000000265</v>
      </c>
      <c r="M225" s="7">
        <f t="shared" si="68"/>
        <v>7.4693380175086563</v>
      </c>
      <c r="N225" s="7">
        <f t="shared" si="69"/>
        <v>9.3919640959811943</v>
      </c>
      <c r="O225" s="7">
        <f t="shared" si="70"/>
        <v>7.4285700579891669</v>
      </c>
      <c r="P225">
        <f t="shared" si="71"/>
        <v>9.4242425103318954</v>
      </c>
      <c r="Q225" s="7">
        <f t="shared" si="72"/>
        <v>3.6681750000000273</v>
      </c>
      <c r="R225" s="7">
        <f t="shared" si="73"/>
        <v>3.6992000000000265</v>
      </c>
      <c r="S225" s="7">
        <f t="shared" si="74"/>
        <v>0.88570398552022034</v>
      </c>
      <c r="T225" s="7">
        <f t="shared" si="75"/>
        <v>8.3328016182843818</v>
      </c>
      <c r="U225" s="7">
        <f t="shared" si="76"/>
        <v>-3.2987797023303793</v>
      </c>
      <c r="V225">
        <f t="shared" si="77"/>
        <v>-7.4285700579891669</v>
      </c>
      <c r="W225">
        <f t="shared" si="78"/>
        <v>9.4242425103318954</v>
      </c>
      <c r="X225">
        <f t="shared" si="79"/>
        <v>-7.4693380175086563</v>
      </c>
      <c r="Y225" s="10">
        <f t="shared" si="80"/>
        <v>9.3919640959811943</v>
      </c>
      <c r="Z225" s="10">
        <f t="shared" si="81"/>
        <v>3.6992000000000265</v>
      </c>
      <c r="AA225" s="10">
        <f t="shared" si="82"/>
        <v>3.6681750000000273</v>
      </c>
      <c r="AB225" s="7">
        <f t="shared" si="83"/>
        <v>0.88570398552022034</v>
      </c>
      <c r="AC225" s="7">
        <f t="shared" si="84"/>
        <v>8.3328016182843818</v>
      </c>
      <c r="AD225" s="7">
        <f t="shared" si="85"/>
        <v>3.2987797023303793</v>
      </c>
      <c r="AE225" s="10">
        <f t="shared" si="86"/>
        <v>1.7714079710404407</v>
      </c>
      <c r="AF225" s="10">
        <f t="shared" si="87"/>
        <v>16.665603236568764</v>
      </c>
      <c r="AG225" s="10">
        <f t="shared" si="88"/>
        <v>0</v>
      </c>
      <c r="AJ225">
        <v>3.8920842319473357</v>
      </c>
      <c r="AK225">
        <v>-142.79092886328138</v>
      </c>
      <c r="AL225">
        <v>-133.53618034756954</v>
      </c>
      <c r="AM225">
        <v>-158.65658762586818</v>
      </c>
      <c r="AN225">
        <v>-148.3735337195217</v>
      </c>
      <c r="AQ225">
        <v>223</v>
      </c>
      <c r="AR225">
        <f t="shared" si="93"/>
        <v>-8.7762444194300464</v>
      </c>
      <c r="AS225">
        <f t="shared" si="94"/>
        <v>-8.1839803207499813</v>
      </c>
    </row>
    <row r="226" spans="4:45" x14ac:dyDescent="0.25">
      <c r="D226">
        <v>65</v>
      </c>
      <c r="E226">
        <f t="shared" si="63"/>
        <v>7.4285700579891669</v>
      </c>
      <c r="F226">
        <f t="shared" si="92"/>
        <v>9.4242425103318954</v>
      </c>
      <c r="G226">
        <f t="shared" si="65"/>
        <v>7.3874360911645258</v>
      </c>
      <c r="H226">
        <f t="shared" si="89"/>
        <v>9.4565209246825965</v>
      </c>
      <c r="I226">
        <f t="shared" si="90"/>
        <v>1.3352050132330328E-3</v>
      </c>
      <c r="J226">
        <f t="shared" si="66"/>
        <v>3.6992000000000265</v>
      </c>
      <c r="K226">
        <f t="shared" si="91"/>
        <v>1.356067591564799E-3</v>
      </c>
      <c r="L226">
        <f t="shared" si="67"/>
        <v>3.7293750000000263</v>
      </c>
      <c r="M226" s="7">
        <f t="shared" si="68"/>
        <v>7.4285700579891669</v>
      </c>
      <c r="N226" s="7">
        <f t="shared" si="69"/>
        <v>9.4242425103318954</v>
      </c>
      <c r="O226" s="7">
        <f t="shared" si="70"/>
        <v>7.3874360911645258</v>
      </c>
      <c r="P226">
        <f t="shared" si="71"/>
        <v>9.4565209246825965</v>
      </c>
      <c r="Q226" s="7">
        <f t="shared" si="72"/>
        <v>3.6992000000000265</v>
      </c>
      <c r="R226" s="7">
        <f t="shared" si="73"/>
        <v>3.7293750000000263</v>
      </c>
      <c r="S226" s="7">
        <f t="shared" si="74"/>
        <v>0.88815186136712987</v>
      </c>
      <c r="T226" s="7">
        <f t="shared" si="75"/>
        <v>8.3844987375360152</v>
      </c>
      <c r="U226" s="7">
        <f t="shared" si="76"/>
        <v>-3.2897119456125603</v>
      </c>
      <c r="V226">
        <f t="shared" si="77"/>
        <v>-7.3874360911645258</v>
      </c>
      <c r="W226">
        <f t="shared" si="78"/>
        <v>9.4565209246825965</v>
      </c>
      <c r="X226">
        <f t="shared" si="79"/>
        <v>-7.4285700579891669</v>
      </c>
      <c r="Y226" s="10">
        <f t="shared" si="80"/>
        <v>9.4242425103318954</v>
      </c>
      <c r="Z226" s="10">
        <f t="shared" si="81"/>
        <v>3.7293750000000263</v>
      </c>
      <c r="AA226" s="10">
        <f t="shared" si="82"/>
        <v>3.6992000000000265</v>
      </c>
      <c r="AB226" s="7">
        <f t="shared" si="83"/>
        <v>0.88815186136712987</v>
      </c>
      <c r="AC226" s="7">
        <f t="shared" si="84"/>
        <v>8.3844987375360134</v>
      </c>
      <c r="AD226" s="7">
        <f t="shared" si="85"/>
        <v>3.2897119456125603</v>
      </c>
      <c r="AE226" s="10">
        <f t="shared" si="86"/>
        <v>1.7763037227342597</v>
      </c>
      <c r="AF226" s="10">
        <f t="shared" si="87"/>
        <v>16.768997475072027</v>
      </c>
      <c r="AG226" s="10">
        <f t="shared" si="88"/>
        <v>0</v>
      </c>
      <c r="AJ226">
        <v>3.9095375244672788</v>
      </c>
      <c r="AK226">
        <v>-140.5082023761849</v>
      </c>
      <c r="AL226">
        <v>-135.88139649661665</v>
      </c>
      <c r="AM226">
        <v>-156.12022486242765</v>
      </c>
      <c r="AN226">
        <v>-150.97932944068515</v>
      </c>
      <c r="AQ226">
        <v>224</v>
      </c>
      <c r="AR226">
        <f t="shared" si="93"/>
        <v>-8.632077604063813</v>
      </c>
      <c r="AS226">
        <f t="shared" si="94"/>
        <v>-8.3359004455079688</v>
      </c>
    </row>
    <row r="227" spans="4:45" x14ac:dyDescent="0.25">
      <c r="D227">
        <v>66</v>
      </c>
      <c r="E227">
        <f t="shared" ref="E227:E261" si="97">IF(F227&lt;(-1*$B$3),0,SQRT(POWER($B$3,2)-POWER(F227,2)))</f>
        <v>7.3874360911645258</v>
      </c>
      <c r="F227">
        <f t="shared" si="92"/>
        <v>9.4565209246825965</v>
      </c>
      <c r="G227">
        <f t="shared" ref="G227:G261" si="98">IF(H227&lt;(-1*$B$3),0,SQRT(POWER($B$3,2)-POWER(H227,2)))</f>
        <v>7.3459299685990231</v>
      </c>
      <c r="H227">
        <f t="shared" si="89"/>
        <v>9.4887993390332976</v>
      </c>
      <c r="I227">
        <f t="shared" si="90"/>
        <v>1.356067591564799E-3</v>
      </c>
      <c r="J227">
        <f t="shared" ref="J227:J261" si="99">((0.85*$B$126)*((2*(I227/$B$128))-POWER(I227/$B$128,2)))/1000</f>
        <v>3.7293750000000263</v>
      </c>
      <c r="K227">
        <f t="shared" si="91"/>
        <v>1.3769301698965653E-3</v>
      </c>
      <c r="L227">
        <f t="shared" ref="L227:L261" si="100">((0.85*$B$126)*((2*(K227/$B$128))-POWER(K227/$B$128,2)))/1000</f>
        <v>3.7587000000000268</v>
      </c>
      <c r="M227" s="7">
        <f t="shared" ref="M227:M261" si="101">E227</f>
        <v>7.3874360911645258</v>
      </c>
      <c r="N227" s="7">
        <f t="shared" ref="N227:N261" si="102">F227</f>
        <v>9.4565209246825965</v>
      </c>
      <c r="O227" s="7">
        <f t="shared" ref="O227:O261" si="103">G227</f>
        <v>7.3459299685990231</v>
      </c>
      <c r="P227">
        <f t="shared" ref="P227:P261" si="104">H227</f>
        <v>9.4887993390332976</v>
      </c>
      <c r="Q227" s="7">
        <f t="shared" ref="Q227:Q261" si="105">J227</f>
        <v>3.7293750000000263</v>
      </c>
      <c r="R227" s="7">
        <f t="shared" ref="R227:R261" si="106">L227</f>
        <v>3.7587000000000268</v>
      </c>
      <c r="S227" s="7">
        <f t="shared" ref="S227:S261" si="107">(1/6)*(P227-N227)*((Q227*((2*M227)+O227))+(R227*(M227+(2*O227))))</f>
        <v>0.89027211093789715</v>
      </c>
      <c r="T227" s="7">
        <f t="shared" ref="T227:T261" si="108">((1/12)*(P227-N227)*(Q227*M227*((3*N227)+P227)+Q227*O227*(N227+P227)+R227*M227*(N227+P227)+R227*O227*(N227+(3*P227))))</f>
        <v>8.4332503957491216</v>
      </c>
      <c r="U227" s="7">
        <f t="shared" ref="U227:U261" si="109">((-1/24)*(P227-N227)*(M227*M227*((3*Q227)+R227)+2*M227*O227*(Q227+R227)+O227*O227*(Q227+(3*R227))))</f>
        <v>-3.2791728414031058</v>
      </c>
      <c r="V227">
        <f t="shared" ref="V227:V261" si="110">-1*O227</f>
        <v>-7.3459299685990231</v>
      </c>
      <c r="W227">
        <f t="shared" ref="W227:W261" si="111">P227</f>
        <v>9.4887993390332976</v>
      </c>
      <c r="X227">
        <f t="shared" ref="X227:X261" si="112">-1*M227</f>
        <v>-7.3874360911645258</v>
      </c>
      <c r="Y227" s="10">
        <f t="shared" ref="Y227:Y261" si="113">N227</f>
        <v>9.4565209246825965</v>
      </c>
      <c r="Z227" s="10">
        <f t="shared" ref="Z227:Z261" si="114">R227</f>
        <v>3.7587000000000268</v>
      </c>
      <c r="AA227" s="10">
        <f t="shared" ref="AA227:AA261" si="115">Q227</f>
        <v>3.7293750000000263</v>
      </c>
      <c r="AB227" s="7">
        <f t="shared" ref="AB227:AB261" si="116">(1/6)*(Y227-W227)*((Z227*((2*V227)+X227))+(AA227*(V227+(2*X227))))</f>
        <v>0.89027211093789715</v>
      </c>
      <c r="AC227" s="7">
        <f t="shared" ref="AC227:AC261" si="117">((1/12)*(Y227-W227)*(Z227*V227*((3*W227)+Y227)+Z227*X227*(W227+Y227)+AA227*V227*(W227+Y227)+AA227*X227*(W227+(3*Y227))))</f>
        <v>8.4332503957491198</v>
      </c>
      <c r="AD227" s="7">
        <f t="shared" ref="AD227:AD261" si="118">((-1/24)*(Y227-W227)*(V227*V227*((3*Z227)+AA227)+2*V227*X227*(Z227+AA227)+X227*X227*(Z227+(3*AA227))))</f>
        <v>3.2791728414031058</v>
      </c>
      <c r="AE227" s="10">
        <f t="shared" ref="AE227:AE261" si="119">S227+AB227</f>
        <v>1.7805442218757943</v>
      </c>
      <c r="AF227" s="10">
        <f t="shared" ref="AF227:AF261" si="120">AC227+T227</f>
        <v>16.86650079149824</v>
      </c>
      <c r="AG227" s="10">
        <f t="shared" ref="AG227:AG261" si="121">AD227+U227</f>
        <v>0</v>
      </c>
      <c r="AJ227">
        <v>3.9269908169872219</v>
      </c>
      <c r="AK227">
        <v>-138.2052017545486</v>
      </c>
      <c r="AL227">
        <v>-138.20520175454399</v>
      </c>
      <c r="AM227">
        <v>-153.56133528283178</v>
      </c>
      <c r="AN227">
        <v>-153.56133528282666</v>
      </c>
      <c r="AQ227">
        <v>225</v>
      </c>
      <c r="AR227">
        <f t="shared" si="93"/>
        <v>-8.4852813742385713</v>
      </c>
      <c r="AS227">
        <f t="shared" si="94"/>
        <v>-8.4852813742385695</v>
      </c>
    </row>
    <row r="228" spans="4:45" x14ac:dyDescent="0.25">
      <c r="D228">
        <v>67</v>
      </c>
      <c r="E228">
        <f t="shared" si="97"/>
        <v>7.3459299685990231</v>
      </c>
      <c r="F228">
        <f t="shared" si="92"/>
        <v>9.4887993390332976</v>
      </c>
      <c r="G228">
        <f t="shared" si="98"/>
        <v>7.3040453458351626</v>
      </c>
      <c r="H228">
        <f t="shared" ref="H228:H261" si="122">H227+$E$159</f>
        <v>9.5210777533839988</v>
      </c>
      <c r="I228">
        <f t="shared" ref="I228:I261" si="123">($B$129*(F228-$B$136))/$B$133</f>
        <v>1.3769301698965653E-3</v>
      </c>
      <c r="J228">
        <f t="shared" si="99"/>
        <v>3.7587000000000268</v>
      </c>
      <c r="K228">
        <f t="shared" ref="K228:K261" si="124">($B$129*(H228-$B$136))/$B$133</f>
        <v>1.3977927482283312E-3</v>
      </c>
      <c r="L228">
        <f t="shared" si="100"/>
        <v>3.7871750000000257</v>
      </c>
      <c r="M228" s="7">
        <f t="shared" si="101"/>
        <v>7.3459299685990231</v>
      </c>
      <c r="N228" s="7">
        <f t="shared" si="102"/>
        <v>9.4887993390332976</v>
      </c>
      <c r="O228" s="7">
        <f t="shared" si="103"/>
        <v>7.3040453458351626</v>
      </c>
      <c r="P228">
        <f t="shared" si="104"/>
        <v>9.5210777533839988</v>
      </c>
      <c r="Q228" s="7">
        <f t="shared" si="105"/>
        <v>3.7587000000000268</v>
      </c>
      <c r="R228" s="7">
        <f t="shared" si="106"/>
        <v>3.7871750000000257</v>
      </c>
      <c r="S228" s="7">
        <f t="shared" si="107"/>
        <v>0.89206631132282044</v>
      </c>
      <c r="T228" s="7">
        <f t="shared" si="108"/>
        <v>8.4790398573367991</v>
      </c>
      <c r="U228" s="7">
        <f t="shared" si="109"/>
        <v>-3.2671845122902163</v>
      </c>
      <c r="V228">
        <f t="shared" si="110"/>
        <v>-7.3040453458351626</v>
      </c>
      <c r="W228">
        <f t="shared" si="111"/>
        <v>9.5210777533839988</v>
      </c>
      <c r="X228">
        <f t="shared" si="112"/>
        <v>-7.3459299685990231</v>
      </c>
      <c r="Y228" s="10">
        <f t="shared" si="113"/>
        <v>9.4887993390332976</v>
      </c>
      <c r="Z228" s="10">
        <f t="shared" si="114"/>
        <v>3.7871750000000257</v>
      </c>
      <c r="AA228" s="10">
        <f t="shared" si="115"/>
        <v>3.7587000000000268</v>
      </c>
      <c r="AB228" s="7">
        <f t="shared" si="116"/>
        <v>0.89206631132282044</v>
      </c>
      <c r="AC228" s="7">
        <f t="shared" si="117"/>
        <v>8.4790398573368009</v>
      </c>
      <c r="AD228" s="7">
        <f t="shared" si="118"/>
        <v>3.2671845122902163</v>
      </c>
      <c r="AE228" s="10">
        <f t="shared" si="119"/>
        <v>1.7841326226456409</v>
      </c>
      <c r="AF228" s="10">
        <f t="shared" si="120"/>
        <v>16.958079714673602</v>
      </c>
      <c r="AG228" s="10">
        <f t="shared" si="121"/>
        <v>0</v>
      </c>
      <c r="AJ228">
        <v>3.944444109507165</v>
      </c>
      <c r="AK228">
        <v>-135.88139649662233</v>
      </c>
      <c r="AL228">
        <v>-140.50820237618098</v>
      </c>
      <c r="AM228">
        <v>-150.97932944069149</v>
      </c>
      <c r="AN228">
        <v>-156.1202248624233</v>
      </c>
      <c r="AQ228">
        <v>226</v>
      </c>
      <c r="AR228">
        <f t="shared" si="93"/>
        <v>-8.335900445507967</v>
      </c>
      <c r="AS228">
        <f t="shared" si="94"/>
        <v>-8.6320776040638147</v>
      </c>
    </row>
    <row r="229" spans="4:45" x14ac:dyDescent="0.25">
      <c r="D229">
        <v>68</v>
      </c>
      <c r="E229">
        <f t="shared" si="97"/>
        <v>7.3040453458351626</v>
      </c>
      <c r="F229">
        <f t="shared" si="92"/>
        <v>9.5210777533839988</v>
      </c>
      <c r="G229">
        <f t="shared" si="98"/>
        <v>7.2617756735116359</v>
      </c>
      <c r="H229">
        <f t="shared" si="122"/>
        <v>9.5533561677346999</v>
      </c>
      <c r="I229">
        <f t="shared" si="123"/>
        <v>1.3977927482283312E-3</v>
      </c>
      <c r="J229">
        <f t="shared" si="99"/>
        <v>3.7871750000000257</v>
      </c>
      <c r="K229">
        <f t="shared" si="124"/>
        <v>1.4186553265600973E-3</v>
      </c>
      <c r="L229">
        <f t="shared" si="100"/>
        <v>3.8148000000000253</v>
      </c>
      <c r="M229" s="7">
        <f t="shared" si="101"/>
        <v>7.3040453458351626</v>
      </c>
      <c r="N229" s="7">
        <f t="shared" si="102"/>
        <v>9.5210777533839988</v>
      </c>
      <c r="O229" s="7">
        <f t="shared" si="103"/>
        <v>7.2617756735116359</v>
      </c>
      <c r="P229">
        <f t="shared" si="104"/>
        <v>9.5533561677346999</v>
      </c>
      <c r="Q229" s="7">
        <f t="shared" si="105"/>
        <v>3.7871750000000257</v>
      </c>
      <c r="R229" s="7">
        <f t="shared" si="106"/>
        <v>3.8148000000000253</v>
      </c>
      <c r="S229" s="7">
        <f t="shared" si="107"/>
        <v>0.89353605315437934</v>
      </c>
      <c r="T229" s="7">
        <f t="shared" si="108"/>
        <v>8.5218507194900095</v>
      </c>
      <c r="U229" s="7">
        <f t="shared" si="109"/>
        <v>-3.2537692523643442</v>
      </c>
      <c r="V229">
        <f t="shared" si="110"/>
        <v>-7.2617756735116359</v>
      </c>
      <c r="W229">
        <f t="shared" si="111"/>
        <v>9.5533561677346999</v>
      </c>
      <c r="X229">
        <f t="shared" si="112"/>
        <v>-7.3040453458351626</v>
      </c>
      <c r="Y229" s="10">
        <f t="shared" si="113"/>
        <v>9.5210777533839988</v>
      </c>
      <c r="Z229" s="10">
        <f t="shared" si="114"/>
        <v>3.8148000000000253</v>
      </c>
      <c r="AA229" s="10">
        <f t="shared" si="115"/>
        <v>3.7871750000000257</v>
      </c>
      <c r="AB229" s="7">
        <f t="shared" si="116"/>
        <v>0.89353605315437934</v>
      </c>
      <c r="AC229" s="7">
        <f t="shared" si="117"/>
        <v>8.5218507194900095</v>
      </c>
      <c r="AD229" s="7">
        <f t="shared" si="118"/>
        <v>3.2537692523643438</v>
      </c>
      <c r="AE229" s="10">
        <f t="shared" si="119"/>
        <v>1.7870721063087587</v>
      </c>
      <c r="AF229" s="10">
        <f t="shared" si="120"/>
        <v>17.043701438980019</v>
      </c>
      <c r="AG229" s="10">
        <f t="shared" si="121"/>
        <v>0</v>
      </c>
      <c r="AJ229">
        <v>3.9618974020271081</v>
      </c>
      <c r="AK229">
        <v>-133.53618034757582</v>
      </c>
      <c r="AL229">
        <v>-142.79092886327692</v>
      </c>
      <c r="AM229">
        <v>-148.37353371952869</v>
      </c>
      <c r="AN229">
        <v>-158.65658762586324</v>
      </c>
      <c r="AQ229">
        <v>227</v>
      </c>
      <c r="AR229">
        <f t="shared" si="93"/>
        <v>-8.1839803207499831</v>
      </c>
      <c r="AS229">
        <f t="shared" si="94"/>
        <v>-8.7762444194300464</v>
      </c>
    </row>
    <row r="230" spans="4:45" x14ac:dyDescent="0.25">
      <c r="D230">
        <v>69</v>
      </c>
      <c r="E230">
        <f t="shared" si="97"/>
        <v>7.2617756735116359</v>
      </c>
      <c r="F230">
        <f t="shared" si="92"/>
        <v>9.5533561677346999</v>
      </c>
      <c r="G230">
        <f t="shared" si="98"/>
        <v>7.2191141879546725</v>
      </c>
      <c r="H230">
        <f t="shared" si="122"/>
        <v>9.585634582085401</v>
      </c>
      <c r="I230">
        <f t="shared" si="123"/>
        <v>1.4186553265600973E-3</v>
      </c>
      <c r="J230">
        <f t="shared" si="99"/>
        <v>3.8148000000000253</v>
      </c>
      <c r="K230">
        <f t="shared" si="124"/>
        <v>1.4395179048918637E-3</v>
      </c>
      <c r="L230">
        <f t="shared" si="100"/>
        <v>3.8415750000000255</v>
      </c>
      <c r="M230" s="7">
        <f t="shared" si="101"/>
        <v>7.2617756735116359</v>
      </c>
      <c r="N230" s="7">
        <f t="shared" si="102"/>
        <v>9.5533561677346999</v>
      </c>
      <c r="O230" s="7">
        <f t="shared" si="103"/>
        <v>7.2191141879546725</v>
      </c>
      <c r="P230">
        <f t="shared" si="104"/>
        <v>9.585634582085401</v>
      </c>
      <c r="Q230" s="7">
        <f t="shared" si="105"/>
        <v>3.8148000000000253</v>
      </c>
      <c r="R230" s="7">
        <f t="shared" si="106"/>
        <v>3.8415750000000255</v>
      </c>
      <c r="S230" s="7">
        <f t="shared" si="107"/>
        <v>0.89468294031104068</v>
      </c>
      <c r="T230" s="7">
        <f t="shared" si="108"/>
        <v>8.561666911528663</v>
      </c>
      <c r="U230" s="7">
        <f t="shared" si="109"/>
        <v>-3.238949527217216</v>
      </c>
      <c r="V230">
        <f t="shared" si="110"/>
        <v>-7.2191141879546725</v>
      </c>
      <c r="W230">
        <f t="shared" si="111"/>
        <v>9.585634582085401</v>
      </c>
      <c r="X230">
        <f t="shared" si="112"/>
        <v>-7.2617756735116359</v>
      </c>
      <c r="Y230" s="10">
        <f t="shared" si="113"/>
        <v>9.5533561677346999</v>
      </c>
      <c r="Z230" s="10">
        <f t="shared" si="114"/>
        <v>3.8415750000000255</v>
      </c>
      <c r="AA230" s="10">
        <f t="shared" si="115"/>
        <v>3.8148000000000253</v>
      </c>
      <c r="AB230" s="7">
        <f t="shared" si="116"/>
        <v>0.89468294031104068</v>
      </c>
      <c r="AC230" s="7">
        <f t="shared" si="117"/>
        <v>8.5616669115286612</v>
      </c>
      <c r="AD230" s="7">
        <f t="shared" si="118"/>
        <v>3.238949527217216</v>
      </c>
      <c r="AE230" s="10">
        <f t="shared" si="119"/>
        <v>1.7893658806220814</v>
      </c>
      <c r="AF230" s="10">
        <f t="shared" si="120"/>
        <v>17.123333823057322</v>
      </c>
      <c r="AG230" s="10">
        <f t="shared" si="121"/>
        <v>0</v>
      </c>
      <c r="AJ230">
        <v>3.9793506945470511</v>
      </c>
      <c r="AK230">
        <v>-131.16887826549137</v>
      </c>
      <c r="AL230">
        <v>-145.053829647204</v>
      </c>
      <c r="AM230">
        <v>-145.74319807276819</v>
      </c>
      <c r="AN230">
        <v>-161.17092183022666</v>
      </c>
      <c r="AQ230">
        <v>228</v>
      </c>
      <c r="AR230">
        <f t="shared" si="93"/>
        <v>-8.0295672763062971</v>
      </c>
      <c r="AS230">
        <f t="shared" si="94"/>
        <v>-8.9177379057287318</v>
      </c>
    </row>
    <row r="231" spans="4:45" x14ac:dyDescent="0.25">
      <c r="D231">
        <v>70</v>
      </c>
      <c r="E231">
        <f t="shared" si="97"/>
        <v>7.2191141879546725</v>
      </c>
      <c r="F231">
        <f t="shared" si="92"/>
        <v>9.585634582085401</v>
      </c>
      <c r="G231">
        <f t="shared" si="98"/>
        <v>7.1760539012040256</v>
      </c>
      <c r="H231">
        <f t="shared" si="122"/>
        <v>9.6179129964361021</v>
      </c>
      <c r="I231">
        <f t="shared" si="123"/>
        <v>1.4395179048918637E-3</v>
      </c>
      <c r="J231">
        <f t="shared" si="99"/>
        <v>3.8415750000000255</v>
      </c>
      <c r="K231">
        <f t="shared" si="124"/>
        <v>1.4603804832236296E-3</v>
      </c>
      <c r="L231">
        <f t="shared" si="100"/>
        <v>3.8675000000000241</v>
      </c>
      <c r="M231" s="7">
        <f t="shared" si="101"/>
        <v>7.2191141879546725</v>
      </c>
      <c r="N231" s="7">
        <f t="shared" si="102"/>
        <v>9.585634582085401</v>
      </c>
      <c r="O231" s="7">
        <f t="shared" si="103"/>
        <v>7.1760539012040256</v>
      </c>
      <c r="P231">
        <f t="shared" si="104"/>
        <v>9.6179129964361021</v>
      </c>
      <c r="Q231" s="7">
        <f t="shared" si="105"/>
        <v>3.8415750000000255</v>
      </c>
      <c r="R231" s="7">
        <f t="shared" si="106"/>
        <v>3.8675000000000241</v>
      </c>
      <c r="S231" s="7">
        <f t="shared" si="107"/>
        <v>0.8955085895889654</v>
      </c>
      <c r="T231" s="7">
        <f t="shared" si="108"/>
        <v>8.5984726938871336</v>
      </c>
      <c r="U231" s="7">
        <f t="shared" si="109"/>
        <v>-3.2227479739407863</v>
      </c>
      <c r="V231">
        <f t="shared" si="110"/>
        <v>-7.1760539012040256</v>
      </c>
      <c r="W231">
        <f t="shared" si="111"/>
        <v>9.6179129964361021</v>
      </c>
      <c r="X231">
        <f t="shared" si="112"/>
        <v>-7.2191141879546725</v>
      </c>
      <c r="Y231" s="10">
        <f t="shared" si="113"/>
        <v>9.585634582085401</v>
      </c>
      <c r="Z231" s="10">
        <f t="shared" si="114"/>
        <v>3.8675000000000241</v>
      </c>
      <c r="AA231" s="10">
        <f t="shared" si="115"/>
        <v>3.8415750000000255</v>
      </c>
      <c r="AB231" s="7">
        <f t="shared" si="116"/>
        <v>0.8955085895889654</v>
      </c>
      <c r="AC231" s="7">
        <f t="shared" si="117"/>
        <v>8.5984726938871336</v>
      </c>
      <c r="AD231" s="7">
        <f t="shared" si="118"/>
        <v>3.2227479739407863</v>
      </c>
      <c r="AE231" s="10">
        <f t="shared" si="119"/>
        <v>1.7910171791779308</v>
      </c>
      <c r="AF231" s="10">
        <f t="shared" si="120"/>
        <v>17.196945387774267</v>
      </c>
      <c r="AG231" s="10">
        <f t="shared" si="121"/>
        <v>0</v>
      </c>
      <c r="AJ231">
        <v>3.9968039870669942</v>
      </c>
      <c r="AK231">
        <v>-128.77875394536545</v>
      </c>
      <c r="AL231">
        <v>-147.29726546877754</v>
      </c>
      <c r="AM231">
        <v>-143.0875043837394</v>
      </c>
      <c r="AN231">
        <v>-163.6636282986417</v>
      </c>
      <c r="AQ231">
        <v>229</v>
      </c>
      <c r="AR231">
        <f t="shared" si="93"/>
        <v>-7.8727083478860873</v>
      </c>
      <c r="AS231">
        <f t="shared" si="94"/>
        <v>-9.0565149626732637</v>
      </c>
    </row>
    <row r="232" spans="4:45" x14ac:dyDescent="0.25">
      <c r="D232">
        <v>71</v>
      </c>
      <c r="E232">
        <f t="shared" si="97"/>
        <v>7.1760539012040256</v>
      </c>
      <c r="F232">
        <f t="shared" si="92"/>
        <v>9.6179129964361021</v>
      </c>
      <c r="G232">
        <f t="shared" si="98"/>
        <v>7.1325875904314415</v>
      </c>
      <c r="H232">
        <f t="shared" si="122"/>
        <v>9.6501914107868032</v>
      </c>
      <c r="I232">
        <f t="shared" si="123"/>
        <v>1.4603804832236296E-3</v>
      </c>
      <c r="J232">
        <f t="shared" si="99"/>
        <v>3.8675000000000241</v>
      </c>
      <c r="K232">
        <f t="shared" si="124"/>
        <v>1.4812430615553959E-3</v>
      </c>
      <c r="L232">
        <f t="shared" si="100"/>
        <v>3.8925750000000239</v>
      </c>
      <c r="M232" s="7">
        <f t="shared" si="101"/>
        <v>7.1760539012040256</v>
      </c>
      <c r="N232" s="7">
        <f t="shared" si="102"/>
        <v>9.6179129964361021</v>
      </c>
      <c r="O232" s="7">
        <f t="shared" si="103"/>
        <v>7.1325875904314415</v>
      </c>
      <c r="P232">
        <f t="shared" si="104"/>
        <v>9.6501914107868032</v>
      </c>
      <c r="Q232" s="7">
        <f t="shared" si="105"/>
        <v>3.8675000000000241</v>
      </c>
      <c r="R232" s="7">
        <f t="shared" si="106"/>
        <v>3.8925750000000239</v>
      </c>
      <c r="S232" s="7">
        <f t="shared" si="107"/>
        <v>0.89601463033867901</v>
      </c>
      <c r="T232" s="7">
        <f t="shared" si="108"/>
        <v>8.6322526566986504</v>
      </c>
      <c r="U232" s="7">
        <f t="shared" si="109"/>
        <v>-3.2051874011261035</v>
      </c>
      <c r="V232">
        <f t="shared" si="110"/>
        <v>-7.1325875904314415</v>
      </c>
      <c r="W232">
        <f t="shared" si="111"/>
        <v>9.6501914107868032</v>
      </c>
      <c r="X232">
        <f t="shared" si="112"/>
        <v>-7.1760539012040256</v>
      </c>
      <c r="Y232" s="10">
        <f t="shared" si="113"/>
        <v>9.6179129964361021</v>
      </c>
      <c r="Z232" s="10">
        <f t="shared" si="114"/>
        <v>3.8925750000000239</v>
      </c>
      <c r="AA232" s="10">
        <f t="shared" si="115"/>
        <v>3.8675000000000241</v>
      </c>
      <c r="AB232" s="7">
        <f t="shared" si="116"/>
        <v>0.89601463033867901</v>
      </c>
      <c r="AC232" s="7">
        <f t="shared" si="117"/>
        <v>8.6322526566986504</v>
      </c>
      <c r="AD232" s="7">
        <f t="shared" si="118"/>
        <v>3.2051874011261035</v>
      </c>
      <c r="AE232" s="10">
        <f t="shared" si="119"/>
        <v>1.792029260677358</v>
      </c>
      <c r="AF232" s="10">
        <f t="shared" si="120"/>
        <v>17.264505313397301</v>
      </c>
      <c r="AG232" s="10">
        <f t="shared" si="121"/>
        <v>0</v>
      </c>
      <c r="AJ232">
        <v>4.0142572795869373</v>
      </c>
      <c r="AK232">
        <v>-126.36501786396872</v>
      </c>
      <c r="AL232">
        <v>-149.52150456607023</v>
      </c>
      <c r="AM232">
        <v>-140.40557540440969</v>
      </c>
      <c r="AN232">
        <v>-166.13500507341138</v>
      </c>
      <c r="AQ232">
        <v>230</v>
      </c>
      <c r="AR232">
        <f t="shared" si="93"/>
        <v>-7.7134513162384737</v>
      </c>
      <c r="AS232">
        <f t="shared" si="94"/>
        <v>-9.1925333174277348</v>
      </c>
    </row>
    <row r="233" spans="4:45" x14ac:dyDescent="0.25">
      <c r="D233">
        <v>72</v>
      </c>
      <c r="E233">
        <f t="shared" si="97"/>
        <v>7.1325875904314415</v>
      </c>
      <c r="F233">
        <f t="shared" si="92"/>
        <v>9.6501914107868032</v>
      </c>
      <c r="G233">
        <f t="shared" si="98"/>
        <v>7.0887077867056778</v>
      </c>
      <c r="H233">
        <f t="shared" si="122"/>
        <v>9.6824698251375043</v>
      </c>
      <c r="I233">
        <f t="shared" si="123"/>
        <v>1.4812430615553959E-3</v>
      </c>
      <c r="J233">
        <f t="shared" si="99"/>
        <v>3.8925750000000239</v>
      </c>
      <c r="K233">
        <f t="shared" si="124"/>
        <v>1.502105639887162E-3</v>
      </c>
      <c r="L233">
        <f t="shared" si="100"/>
        <v>3.9168000000000234</v>
      </c>
      <c r="M233" s="7">
        <f t="shared" si="101"/>
        <v>7.1325875904314415</v>
      </c>
      <c r="N233" s="7">
        <f t="shared" si="102"/>
        <v>9.6501914107868032</v>
      </c>
      <c r="O233" s="7">
        <f t="shared" si="103"/>
        <v>7.0887077867056778</v>
      </c>
      <c r="P233">
        <f t="shared" si="104"/>
        <v>9.6824698251375043</v>
      </c>
      <c r="Q233" s="7">
        <f t="shared" si="105"/>
        <v>3.8925750000000239</v>
      </c>
      <c r="R233" s="7">
        <f t="shared" si="106"/>
        <v>3.9168000000000234</v>
      </c>
      <c r="S233" s="7">
        <f t="shared" si="107"/>
        <v>0.89620270406346791</v>
      </c>
      <c r="T233" s="7">
        <f t="shared" si="108"/>
        <v>8.6629917179392955</v>
      </c>
      <c r="U233" s="7">
        <f t="shared" si="109"/>
        <v>-3.1862907888620873</v>
      </c>
      <c r="V233">
        <f t="shared" si="110"/>
        <v>-7.0887077867056778</v>
      </c>
      <c r="W233">
        <f t="shared" si="111"/>
        <v>9.6824698251375043</v>
      </c>
      <c r="X233">
        <f t="shared" si="112"/>
        <v>-7.1325875904314415</v>
      </c>
      <c r="Y233" s="10">
        <f t="shared" si="113"/>
        <v>9.6501914107868032</v>
      </c>
      <c r="Z233" s="10">
        <f t="shared" si="114"/>
        <v>3.9168000000000234</v>
      </c>
      <c r="AA233" s="10">
        <f t="shared" si="115"/>
        <v>3.8925750000000239</v>
      </c>
      <c r="AB233" s="7">
        <f t="shared" si="116"/>
        <v>0.89620270406346791</v>
      </c>
      <c r="AC233" s="7">
        <f t="shared" si="117"/>
        <v>8.6629917179392955</v>
      </c>
      <c r="AD233" s="7">
        <f t="shared" si="118"/>
        <v>3.1862907888620873</v>
      </c>
      <c r="AE233" s="10">
        <f t="shared" si="119"/>
        <v>1.7924054081269358</v>
      </c>
      <c r="AF233" s="10">
        <f t="shared" si="120"/>
        <v>17.325983435878591</v>
      </c>
      <c r="AG233" s="10">
        <f t="shared" si="121"/>
        <v>0</v>
      </c>
      <c r="AJ233">
        <v>4.0317105721068804</v>
      </c>
      <c r="AK233">
        <v>-123.92683567608532</v>
      </c>
      <c r="AL233">
        <v>-151.72671861934268</v>
      </c>
      <c r="AM233">
        <v>-137.69648408453924</v>
      </c>
      <c r="AN233">
        <v>-168.58524291038074</v>
      </c>
      <c r="AQ233">
        <v>231</v>
      </c>
      <c r="AR233">
        <f t="shared" si="93"/>
        <v>-7.5518446925980545</v>
      </c>
      <c r="AS233">
        <f t="shared" si="94"/>
        <v>-9.3257515374836473</v>
      </c>
    </row>
    <row r="234" spans="4:45" x14ac:dyDescent="0.25">
      <c r="D234">
        <v>73</v>
      </c>
      <c r="E234">
        <f t="shared" si="97"/>
        <v>7.0887077867056778</v>
      </c>
      <c r="F234">
        <f t="shared" si="92"/>
        <v>9.6824698251375043</v>
      </c>
      <c r="G234">
        <f t="shared" si="98"/>
        <v>7.044406763053991</v>
      </c>
      <c r="H234">
        <f t="shared" si="122"/>
        <v>9.7147482394882054</v>
      </c>
      <c r="I234">
        <f t="shared" si="123"/>
        <v>1.502105639887162E-3</v>
      </c>
      <c r="J234">
        <f t="shared" si="99"/>
        <v>3.9168000000000234</v>
      </c>
      <c r="K234">
        <f t="shared" si="124"/>
        <v>1.5229682182189281E-3</v>
      </c>
      <c r="L234">
        <f t="shared" si="100"/>
        <v>3.9401750000000235</v>
      </c>
      <c r="M234" s="7">
        <f t="shared" si="101"/>
        <v>7.0887077867056778</v>
      </c>
      <c r="N234" s="7">
        <f t="shared" si="102"/>
        <v>9.6824698251375043</v>
      </c>
      <c r="O234" s="7">
        <f t="shared" si="103"/>
        <v>7.044406763053991</v>
      </c>
      <c r="P234">
        <f t="shared" si="104"/>
        <v>9.7147482394882054</v>
      </c>
      <c r="Q234" s="7">
        <f t="shared" si="105"/>
        <v>3.9168000000000234</v>
      </c>
      <c r="R234" s="7">
        <f t="shared" si="106"/>
        <v>3.9401750000000235</v>
      </c>
      <c r="S234" s="7">
        <f t="shared" si="107"/>
        <v>0.89607446397594648</v>
      </c>
      <c r="T234" s="7">
        <f t="shared" si="108"/>
        <v>8.6906751210886117</v>
      </c>
      <c r="U234" s="7">
        <f t="shared" si="109"/>
        <v>-3.1660812887341829</v>
      </c>
      <c r="V234">
        <f t="shared" si="110"/>
        <v>-7.044406763053991</v>
      </c>
      <c r="W234">
        <f t="shared" si="111"/>
        <v>9.7147482394882054</v>
      </c>
      <c r="X234">
        <f t="shared" si="112"/>
        <v>-7.0887077867056778</v>
      </c>
      <c r="Y234" s="10">
        <f t="shared" si="113"/>
        <v>9.6824698251375043</v>
      </c>
      <c r="Z234" s="10">
        <f t="shared" si="114"/>
        <v>3.9401750000000235</v>
      </c>
      <c r="AA234" s="10">
        <f t="shared" si="115"/>
        <v>3.9168000000000234</v>
      </c>
      <c r="AB234" s="7">
        <f t="shared" si="116"/>
        <v>0.89607446397594648</v>
      </c>
      <c r="AC234" s="7">
        <f t="shared" si="117"/>
        <v>8.6906751210886117</v>
      </c>
      <c r="AD234" s="7">
        <f t="shared" si="118"/>
        <v>3.1660812887341829</v>
      </c>
      <c r="AE234" s="10">
        <f t="shared" si="119"/>
        <v>1.792148927951893</v>
      </c>
      <c r="AF234" s="10">
        <f t="shared" si="120"/>
        <v>17.381350242177223</v>
      </c>
      <c r="AG234" s="10">
        <f t="shared" si="121"/>
        <v>0</v>
      </c>
      <c r="AJ234">
        <v>4.0491638646268235</v>
      </c>
      <c r="AK234">
        <v>-121.46333695311699</v>
      </c>
      <c r="AL234">
        <v>-153.91297958718189</v>
      </c>
      <c r="AM234">
        <v>-134.95926328124111</v>
      </c>
      <c r="AN234">
        <v>-171.01442176353544</v>
      </c>
      <c r="AQ234">
        <v>232</v>
      </c>
      <c r="AR234">
        <f t="shared" si="93"/>
        <v>-7.3879377039078964</v>
      </c>
      <c r="AS234">
        <f t="shared" si="94"/>
        <v>-9.4561290432806651</v>
      </c>
    </row>
    <row r="235" spans="4:45" x14ac:dyDescent="0.25">
      <c r="D235">
        <v>74</v>
      </c>
      <c r="E235">
        <f t="shared" si="97"/>
        <v>7.044406763053991</v>
      </c>
      <c r="F235">
        <f t="shared" ref="F235:F261" si="125">H234</f>
        <v>9.7147482394882054</v>
      </c>
      <c r="G235">
        <f t="shared" si="98"/>
        <v>6.9996765217654113</v>
      </c>
      <c r="H235">
        <f t="shared" si="122"/>
        <v>9.7470266538389065</v>
      </c>
      <c r="I235">
        <f t="shared" si="123"/>
        <v>1.5229682182189281E-3</v>
      </c>
      <c r="J235">
        <f t="shared" si="99"/>
        <v>3.9401750000000235</v>
      </c>
      <c r="K235">
        <f t="shared" si="124"/>
        <v>1.5438307965506943E-3</v>
      </c>
      <c r="L235">
        <f t="shared" si="100"/>
        <v>3.9627000000000225</v>
      </c>
      <c r="M235" s="7">
        <f t="shared" si="101"/>
        <v>7.044406763053991</v>
      </c>
      <c r="N235" s="7">
        <f t="shared" si="102"/>
        <v>9.7147482394882054</v>
      </c>
      <c r="O235" s="7">
        <f t="shared" si="103"/>
        <v>6.9996765217654113</v>
      </c>
      <c r="P235">
        <f t="shared" si="104"/>
        <v>9.7470266538389065</v>
      </c>
      <c r="Q235" s="7">
        <f t="shared" si="105"/>
        <v>3.9401750000000235</v>
      </c>
      <c r="R235" s="7">
        <f t="shared" si="106"/>
        <v>3.9627000000000225</v>
      </c>
      <c r="S235" s="7">
        <f t="shared" si="107"/>
        <v>0.89563157450888575</v>
      </c>
      <c r="T235" s="7">
        <f t="shared" si="108"/>
        <v>8.715288432259154</v>
      </c>
      <c r="U235" s="7">
        <f t="shared" si="109"/>
        <v>-3.1445822238229288</v>
      </c>
      <c r="V235">
        <f t="shared" si="110"/>
        <v>-6.9996765217654113</v>
      </c>
      <c r="W235">
        <f t="shared" si="111"/>
        <v>9.7470266538389065</v>
      </c>
      <c r="X235">
        <f t="shared" si="112"/>
        <v>-7.044406763053991</v>
      </c>
      <c r="Y235" s="10">
        <f t="shared" si="113"/>
        <v>9.7147482394882054</v>
      </c>
      <c r="Z235" s="10">
        <f t="shared" si="114"/>
        <v>3.9627000000000225</v>
      </c>
      <c r="AA235" s="10">
        <f t="shared" si="115"/>
        <v>3.9401750000000235</v>
      </c>
      <c r="AB235" s="7">
        <f t="shared" si="116"/>
        <v>0.89563157450888575</v>
      </c>
      <c r="AC235" s="7">
        <f t="shared" si="117"/>
        <v>8.715288432259154</v>
      </c>
      <c r="AD235" s="7">
        <f t="shared" si="118"/>
        <v>3.1445822238229284</v>
      </c>
      <c r="AE235" s="10">
        <f t="shared" si="119"/>
        <v>1.7912631490177715</v>
      </c>
      <c r="AF235" s="10">
        <f t="shared" si="120"/>
        <v>17.430576864518308</v>
      </c>
      <c r="AG235" s="10">
        <f t="shared" si="121"/>
        <v>0</v>
      </c>
      <c r="AJ235">
        <v>4.0666171571467666</v>
      </c>
      <c r="AK235">
        <v>-118.97362411137138</v>
      </c>
      <c r="AL235">
        <v>-156.0802573862666</v>
      </c>
      <c r="AM235">
        <v>-132.19291567930154</v>
      </c>
      <c r="AN235">
        <v>-173.42250820696287</v>
      </c>
      <c r="AQ235">
        <v>233</v>
      </c>
      <c r="AR235">
        <f t="shared" si="93"/>
        <v>-7.2217802778245792</v>
      </c>
      <c r="AS235">
        <f t="shared" si="94"/>
        <v>-9.583626120567514</v>
      </c>
    </row>
    <row r="236" spans="4:45" x14ac:dyDescent="0.25">
      <c r="D236">
        <v>75</v>
      </c>
      <c r="E236">
        <f t="shared" si="97"/>
        <v>6.9996765217654113</v>
      </c>
      <c r="F236">
        <f t="shared" si="125"/>
        <v>9.7470266538389065</v>
      </c>
      <c r="G236">
        <f t="shared" si="98"/>
        <v>6.954508780875976</v>
      </c>
      <c r="H236">
        <f t="shared" si="122"/>
        <v>9.7793050681896077</v>
      </c>
      <c r="I236">
        <f t="shared" si="123"/>
        <v>1.5438307965506943E-3</v>
      </c>
      <c r="J236">
        <f t="shared" si="99"/>
        <v>3.9627000000000225</v>
      </c>
      <c r="K236">
        <f t="shared" si="124"/>
        <v>1.5646933748824604E-3</v>
      </c>
      <c r="L236">
        <f t="shared" si="100"/>
        <v>3.9843750000000218</v>
      </c>
      <c r="M236" s="7">
        <f t="shared" si="101"/>
        <v>6.9996765217654113</v>
      </c>
      <c r="N236" s="7">
        <f t="shared" si="102"/>
        <v>9.7470266538389065</v>
      </c>
      <c r="O236" s="7">
        <f t="shared" si="103"/>
        <v>6.954508780875976</v>
      </c>
      <c r="P236">
        <f t="shared" si="104"/>
        <v>9.7793050681896077</v>
      </c>
      <c r="Q236" s="7">
        <f t="shared" si="105"/>
        <v>3.9627000000000225</v>
      </c>
      <c r="R236" s="7">
        <f t="shared" si="106"/>
        <v>3.9843750000000218</v>
      </c>
      <c r="S236" s="7">
        <f t="shared" si="107"/>
        <v>0.89487571077598094</v>
      </c>
      <c r="T236" s="7">
        <f t="shared" si="108"/>
        <v>8.7368175367426044</v>
      </c>
      <c r="U236" s="7">
        <f t="shared" si="109"/>
        <v>-3.1218170887023797</v>
      </c>
      <c r="V236">
        <f t="shared" si="110"/>
        <v>-6.954508780875976</v>
      </c>
      <c r="W236">
        <f t="shared" si="111"/>
        <v>9.7793050681896077</v>
      </c>
      <c r="X236">
        <f t="shared" si="112"/>
        <v>-6.9996765217654113</v>
      </c>
      <c r="Y236" s="10">
        <f t="shared" si="113"/>
        <v>9.7470266538389065</v>
      </c>
      <c r="Z236" s="10">
        <f t="shared" si="114"/>
        <v>3.9843750000000218</v>
      </c>
      <c r="AA236" s="10">
        <f t="shared" si="115"/>
        <v>3.9627000000000225</v>
      </c>
      <c r="AB236" s="7">
        <f t="shared" si="116"/>
        <v>0.89487571077598094</v>
      </c>
      <c r="AC236" s="7">
        <f t="shared" si="117"/>
        <v>8.7368175367426044</v>
      </c>
      <c r="AD236" s="7">
        <f t="shared" si="118"/>
        <v>3.1218170887023797</v>
      </c>
      <c r="AE236" s="10">
        <f t="shared" si="119"/>
        <v>1.7897514215519619</v>
      </c>
      <c r="AF236" s="10">
        <f t="shared" si="120"/>
        <v>17.473635073485209</v>
      </c>
      <c r="AG236" s="10">
        <f t="shared" si="121"/>
        <v>0</v>
      </c>
      <c r="AJ236">
        <v>4.0840704496667097</v>
      </c>
      <c r="AK236">
        <v>-116.45678147411675</v>
      </c>
      <c r="AL236">
        <v>-158.22841848177038</v>
      </c>
      <c r="AM236">
        <v>-129.39642386012972</v>
      </c>
      <c r="AN236">
        <v>-175.80935386863374</v>
      </c>
      <c r="AQ236">
        <v>234</v>
      </c>
      <c r="AR236">
        <f t="shared" si="93"/>
        <v>-7.0534230275096785</v>
      </c>
      <c r="AS236">
        <f t="shared" si="94"/>
        <v>-9.7082039324993676</v>
      </c>
    </row>
    <row r="237" spans="4:45" x14ac:dyDescent="0.25">
      <c r="D237">
        <v>76</v>
      </c>
      <c r="E237">
        <f t="shared" si="97"/>
        <v>6.954508780875976</v>
      </c>
      <c r="F237">
        <f t="shared" si="125"/>
        <v>9.7793050681896077</v>
      </c>
      <c r="G237">
        <f t="shared" si="98"/>
        <v>6.9088949597704969</v>
      </c>
      <c r="H237">
        <f t="shared" si="122"/>
        <v>9.8115834825403088</v>
      </c>
      <c r="I237">
        <f t="shared" si="123"/>
        <v>1.5646933748824604E-3</v>
      </c>
      <c r="J237">
        <f t="shared" si="99"/>
        <v>3.9843750000000218</v>
      </c>
      <c r="K237">
        <f t="shared" si="124"/>
        <v>1.5855559532142265E-3</v>
      </c>
      <c r="L237">
        <f t="shared" si="100"/>
        <v>4.0052000000000216</v>
      </c>
      <c r="M237" s="7">
        <f t="shared" si="101"/>
        <v>6.954508780875976</v>
      </c>
      <c r="N237" s="7">
        <f t="shared" si="102"/>
        <v>9.7793050681896077</v>
      </c>
      <c r="O237" s="7">
        <f t="shared" si="103"/>
        <v>6.9088949597704969</v>
      </c>
      <c r="P237">
        <f t="shared" si="104"/>
        <v>9.8115834825403088</v>
      </c>
      <c r="Q237" s="7">
        <f t="shared" si="105"/>
        <v>3.9843750000000218</v>
      </c>
      <c r="R237" s="7">
        <f t="shared" si="106"/>
        <v>4.0052000000000216</v>
      </c>
      <c r="S237" s="7">
        <f t="shared" si="107"/>
        <v>0.89380855797780012</v>
      </c>
      <c r="T237" s="7">
        <f t="shared" si="108"/>
        <v>8.7552486349144214</v>
      </c>
      <c r="U237" s="7">
        <f t="shared" si="109"/>
        <v>-3.097809549438399</v>
      </c>
      <c r="V237">
        <f t="shared" si="110"/>
        <v>-6.9088949597704969</v>
      </c>
      <c r="W237">
        <f t="shared" si="111"/>
        <v>9.8115834825403088</v>
      </c>
      <c r="X237">
        <f t="shared" si="112"/>
        <v>-6.954508780875976</v>
      </c>
      <c r="Y237" s="10">
        <f t="shared" si="113"/>
        <v>9.7793050681896077</v>
      </c>
      <c r="Z237" s="10">
        <f t="shared" si="114"/>
        <v>4.0052000000000216</v>
      </c>
      <c r="AA237" s="10">
        <f t="shared" si="115"/>
        <v>3.9843750000000218</v>
      </c>
      <c r="AB237" s="7">
        <f t="shared" si="116"/>
        <v>0.89380855797780012</v>
      </c>
      <c r="AC237" s="7">
        <f t="shared" si="117"/>
        <v>8.7552486349144214</v>
      </c>
      <c r="AD237" s="7">
        <f t="shared" si="118"/>
        <v>3.097809549438399</v>
      </c>
      <c r="AE237" s="10">
        <f t="shared" si="119"/>
        <v>1.7876171159556002</v>
      </c>
      <c r="AF237" s="10">
        <f t="shared" si="120"/>
        <v>17.510497269828843</v>
      </c>
      <c r="AG237" s="10">
        <f t="shared" si="121"/>
        <v>0</v>
      </c>
      <c r="AJ237">
        <v>4.1015237421866528</v>
      </c>
      <c r="AK237">
        <v>-113.91188432797915</v>
      </c>
      <c r="AL237">
        <v>-160.35722532316385</v>
      </c>
      <c r="AM237">
        <v>-126.56876036442128</v>
      </c>
      <c r="AN237">
        <v>-178.17469480351539</v>
      </c>
      <c r="AQ237">
        <v>235</v>
      </c>
      <c r="AR237">
        <f t="shared" si="93"/>
        <v>-6.8829172362125561</v>
      </c>
      <c r="AS237">
        <f t="shared" si="94"/>
        <v>-9.8298245314678994</v>
      </c>
    </row>
    <row r="238" spans="4:45" x14ac:dyDescent="0.25">
      <c r="D238">
        <v>77</v>
      </c>
      <c r="E238">
        <f t="shared" si="97"/>
        <v>6.9088949597704969</v>
      </c>
      <c r="F238">
        <f t="shared" si="125"/>
        <v>9.8115834825403088</v>
      </c>
      <c r="G238">
        <f t="shared" si="98"/>
        <v>6.8628261638291068</v>
      </c>
      <c r="H238">
        <f t="shared" si="122"/>
        <v>9.8438618968910099</v>
      </c>
      <c r="I238">
        <f t="shared" si="123"/>
        <v>1.5855559532142265E-3</v>
      </c>
      <c r="J238">
        <f t="shared" si="99"/>
        <v>4.0052000000000216</v>
      </c>
      <c r="K238">
        <f t="shared" si="124"/>
        <v>1.6064185315459926E-3</v>
      </c>
      <c r="L238">
        <f t="shared" si="100"/>
        <v>4.0251750000000204</v>
      </c>
      <c r="M238" s="7">
        <f t="shared" si="101"/>
        <v>6.9088949597704969</v>
      </c>
      <c r="N238" s="7">
        <f t="shared" si="102"/>
        <v>9.8115834825403088</v>
      </c>
      <c r="O238" s="7">
        <f t="shared" si="103"/>
        <v>6.8628261638291068</v>
      </c>
      <c r="P238">
        <f t="shared" si="104"/>
        <v>9.8438618968910099</v>
      </c>
      <c r="Q238" s="7">
        <f t="shared" si="105"/>
        <v>4.0052000000000216</v>
      </c>
      <c r="R238" s="7">
        <f t="shared" si="106"/>
        <v>4.0251750000000204</v>
      </c>
      <c r="S238" s="7">
        <f t="shared" si="107"/>
        <v>0.89243181074765199</v>
      </c>
      <c r="T238" s="7">
        <f t="shared" si="108"/>
        <v>8.7705682374329914</v>
      </c>
      <c r="U238" s="7">
        <f t="shared" si="109"/>
        <v>-3.0725834435868005</v>
      </c>
      <c r="V238">
        <f t="shared" si="110"/>
        <v>-6.8628261638291068</v>
      </c>
      <c r="W238">
        <f t="shared" si="111"/>
        <v>9.8438618968910099</v>
      </c>
      <c r="X238">
        <f t="shared" si="112"/>
        <v>-6.9088949597704969</v>
      </c>
      <c r="Y238" s="10">
        <f t="shared" si="113"/>
        <v>9.8115834825403088</v>
      </c>
      <c r="Z238" s="10">
        <f t="shared" si="114"/>
        <v>4.0251750000000204</v>
      </c>
      <c r="AA238" s="10">
        <f t="shared" si="115"/>
        <v>4.0052000000000216</v>
      </c>
      <c r="AB238" s="7">
        <f t="shared" si="116"/>
        <v>0.89243181074765199</v>
      </c>
      <c r="AC238" s="7">
        <f t="shared" si="117"/>
        <v>8.7705682374329914</v>
      </c>
      <c r="AD238" s="7">
        <f t="shared" si="118"/>
        <v>3.0725834435868005</v>
      </c>
      <c r="AE238" s="10">
        <f t="shared" si="119"/>
        <v>1.784863621495304</v>
      </c>
      <c r="AF238" s="10">
        <f t="shared" si="120"/>
        <v>17.541136474865983</v>
      </c>
      <c r="AG238" s="10">
        <f t="shared" si="121"/>
        <v>0</v>
      </c>
      <c r="AJ238">
        <v>4.1189770347065959</v>
      </c>
      <c r="AK238">
        <v>-111.33800792203154</v>
      </c>
      <c r="AL238">
        <v>-162.46633667759508</v>
      </c>
      <c r="AM238">
        <v>-123.70889769114615</v>
      </c>
      <c r="AN238">
        <v>-180.51815186399452</v>
      </c>
      <c r="AQ238">
        <v>236</v>
      </c>
      <c r="AR238">
        <f t="shared" si="93"/>
        <v>-6.7103148416489589</v>
      </c>
      <c r="AS238">
        <f t="shared" si="94"/>
        <v>-9.9484508706605013</v>
      </c>
    </row>
    <row r="239" spans="4:45" x14ac:dyDescent="0.25">
      <c r="D239">
        <v>78</v>
      </c>
      <c r="E239">
        <f t="shared" si="97"/>
        <v>6.8628261638291068</v>
      </c>
      <c r="F239">
        <f t="shared" si="125"/>
        <v>9.8438618968910099</v>
      </c>
      <c r="G239">
        <f t="shared" si="98"/>
        <v>6.8162931680398318</v>
      </c>
      <c r="H239">
        <f t="shared" si="122"/>
        <v>9.876140311241711</v>
      </c>
      <c r="I239">
        <f t="shared" si="123"/>
        <v>1.6064185315459926E-3</v>
      </c>
      <c r="J239">
        <f t="shared" si="99"/>
        <v>4.0251750000000204</v>
      </c>
      <c r="K239">
        <f t="shared" si="124"/>
        <v>1.6272811098777588E-3</v>
      </c>
      <c r="L239">
        <f t="shared" si="100"/>
        <v>4.0443000000000193</v>
      </c>
      <c r="M239" s="7">
        <f t="shared" si="101"/>
        <v>6.8628261638291068</v>
      </c>
      <c r="N239" s="7">
        <f t="shared" si="102"/>
        <v>9.8438618968910099</v>
      </c>
      <c r="O239" s="7">
        <f t="shared" si="103"/>
        <v>6.8162931680398318</v>
      </c>
      <c r="P239">
        <f t="shared" si="104"/>
        <v>9.876140311241711</v>
      </c>
      <c r="Q239" s="7">
        <f t="shared" si="105"/>
        <v>4.0251750000000204</v>
      </c>
      <c r="R239" s="7">
        <f t="shared" si="106"/>
        <v>4.0443000000000193</v>
      </c>
      <c r="S239" s="7">
        <f t="shared" si="107"/>
        <v>0.89074717243155621</v>
      </c>
      <c r="T239" s="7">
        <f t="shared" si="108"/>
        <v>8.7827631596623075</v>
      </c>
      <c r="U239" s="7">
        <f t="shared" si="109"/>
        <v>-3.0461627801913136</v>
      </c>
      <c r="V239">
        <f t="shared" si="110"/>
        <v>-6.8162931680398318</v>
      </c>
      <c r="W239">
        <f t="shared" si="111"/>
        <v>9.876140311241711</v>
      </c>
      <c r="X239">
        <f t="shared" si="112"/>
        <v>-6.8628261638291068</v>
      </c>
      <c r="Y239" s="10">
        <f t="shared" si="113"/>
        <v>9.8438618968910099</v>
      </c>
      <c r="Z239" s="10">
        <f t="shared" si="114"/>
        <v>4.0443000000000193</v>
      </c>
      <c r="AA239" s="10">
        <f t="shared" si="115"/>
        <v>4.0251750000000204</v>
      </c>
      <c r="AB239" s="7">
        <f t="shared" si="116"/>
        <v>0.89074717243155621</v>
      </c>
      <c r="AC239" s="7">
        <f t="shared" si="117"/>
        <v>8.7827631596623075</v>
      </c>
      <c r="AD239" s="7">
        <f t="shared" si="118"/>
        <v>3.0461627801913136</v>
      </c>
      <c r="AE239" s="10">
        <f t="shared" si="119"/>
        <v>1.7814943448631124</v>
      </c>
      <c r="AF239" s="10">
        <f t="shared" si="120"/>
        <v>17.565526319324615</v>
      </c>
      <c r="AG239" s="10">
        <f t="shared" si="121"/>
        <v>0</v>
      </c>
      <c r="AJ239">
        <v>4.136430327226539</v>
      </c>
      <c r="AK239">
        <v>-108.73423627568899</v>
      </c>
      <c r="AL239">
        <v>-164.55530876298121</v>
      </c>
      <c r="AM239">
        <v>-120.81581808409886</v>
      </c>
      <c r="AN239">
        <v>-182.839231958868</v>
      </c>
      <c r="AQ239">
        <v>237</v>
      </c>
      <c r="AR239">
        <f t="shared" si="93"/>
        <v>-6.5356684201803237</v>
      </c>
      <c r="AS239">
        <f t="shared" si="94"/>
        <v>-10.064046815345089</v>
      </c>
    </row>
    <row r="240" spans="4:45" x14ac:dyDescent="0.25">
      <c r="D240">
        <v>79</v>
      </c>
      <c r="E240">
        <f t="shared" si="97"/>
        <v>6.8162931680398318</v>
      </c>
      <c r="F240">
        <f t="shared" si="125"/>
        <v>9.876140311241711</v>
      </c>
      <c r="G240">
        <f t="shared" si="98"/>
        <v>6.7692863994906913</v>
      </c>
      <c r="H240">
        <f t="shared" si="122"/>
        <v>9.9084187255924121</v>
      </c>
      <c r="I240">
        <f t="shared" si="123"/>
        <v>1.6272811098777588E-3</v>
      </c>
      <c r="J240">
        <f t="shared" si="99"/>
        <v>4.0443000000000193</v>
      </c>
      <c r="K240">
        <f t="shared" si="124"/>
        <v>1.6481436882095251E-3</v>
      </c>
      <c r="L240">
        <f t="shared" si="100"/>
        <v>4.0625750000000203</v>
      </c>
      <c r="M240" s="7">
        <f t="shared" si="101"/>
        <v>6.8162931680398318</v>
      </c>
      <c r="N240" s="7">
        <f t="shared" si="102"/>
        <v>9.876140311241711</v>
      </c>
      <c r="O240" s="7">
        <f t="shared" si="103"/>
        <v>6.7692863994906913</v>
      </c>
      <c r="P240">
        <f t="shared" si="104"/>
        <v>9.9084187255924121</v>
      </c>
      <c r="Q240" s="7">
        <f t="shared" si="105"/>
        <v>4.0443000000000193</v>
      </c>
      <c r="R240" s="7">
        <f t="shared" si="106"/>
        <v>4.0625750000000203</v>
      </c>
      <c r="S240" s="7">
        <f t="shared" si="107"/>
        <v>0.88875635429587319</v>
      </c>
      <c r="T240" s="7">
        <f t="shared" si="108"/>
        <v>8.7918205152396052</v>
      </c>
      <c r="U240" s="7">
        <f t="shared" si="109"/>
        <v>-3.0185717397813718</v>
      </c>
      <c r="V240">
        <f t="shared" si="110"/>
        <v>-6.7692863994906913</v>
      </c>
      <c r="W240">
        <f t="shared" si="111"/>
        <v>9.9084187255924121</v>
      </c>
      <c r="X240">
        <f t="shared" si="112"/>
        <v>-6.8162931680398318</v>
      </c>
      <c r="Y240" s="10">
        <f t="shared" si="113"/>
        <v>9.876140311241711</v>
      </c>
      <c r="Z240" s="10">
        <f t="shared" si="114"/>
        <v>4.0625750000000203</v>
      </c>
      <c r="AA240" s="10">
        <f t="shared" si="115"/>
        <v>4.0443000000000193</v>
      </c>
      <c r="AB240" s="7">
        <f t="shared" si="116"/>
        <v>0.88875635429587319</v>
      </c>
      <c r="AC240" s="7">
        <f t="shared" si="117"/>
        <v>8.7918205152396034</v>
      </c>
      <c r="AD240" s="7">
        <f t="shared" si="118"/>
        <v>3.0185717397813718</v>
      </c>
      <c r="AE240" s="10">
        <f t="shared" si="119"/>
        <v>1.7775127085917464</v>
      </c>
      <c r="AF240" s="10">
        <f t="shared" si="120"/>
        <v>17.583641030479207</v>
      </c>
      <c r="AG240" s="10">
        <f t="shared" si="121"/>
        <v>0</v>
      </c>
      <c r="AJ240">
        <v>4.1538836197464821</v>
      </c>
      <c r="AK240">
        <v>-106.09967076057907</v>
      </c>
      <c r="AL240">
        <v>-166.62359723724367</v>
      </c>
      <c r="AM240">
        <v>-117.88852306731008</v>
      </c>
      <c r="AN240">
        <v>-185.13733026360407</v>
      </c>
      <c r="AQ240">
        <v>238</v>
      </c>
      <c r="AR240">
        <f t="shared" si="93"/>
        <v>-6.3590311707984597</v>
      </c>
      <c r="AS240">
        <f t="shared" si="94"/>
        <v>-10.176577153877112</v>
      </c>
    </row>
    <row r="241" spans="4:45" x14ac:dyDescent="0.25">
      <c r="D241">
        <v>80</v>
      </c>
      <c r="E241">
        <f t="shared" si="97"/>
        <v>6.7692863994906913</v>
      </c>
      <c r="F241">
        <f t="shared" si="125"/>
        <v>9.9084187255924121</v>
      </c>
      <c r="G241">
        <f t="shared" si="98"/>
        <v>6.7217959186460581</v>
      </c>
      <c r="H241">
        <f t="shared" si="122"/>
        <v>9.9406971399431132</v>
      </c>
      <c r="I241">
        <f t="shared" si="123"/>
        <v>1.6481436882095251E-3</v>
      </c>
      <c r="J241">
        <f t="shared" si="99"/>
        <v>4.0625750000000203</v>
      </c>
      <c r="K241">
        <f t="shared" si="124"/>
        <v>1.6690062665412912E-3</v>
      </c>
      <c r="L241">
        <f t="shared" si="100"/>
        <v>4.0800000000000187</v>
      </c>
      <c r="M241" s="7">
        <f t="shared" si="101"/>
        <v>6.7692863994906913</v>
      </c>
      <c r="N241" s="7">
        <f t="shared" si="102"/>
        <v>9.9084187255924121</v>
      </c>
      <c r="O241" s="7">
        <f t="shared" si="103"/>
        <v>6.7217959186460581</v>
      </c>
      <c r="P241">
        <f t="shared" si="104"/>
        <v>9.9406971399431132</v>
      </c>
      <c r="Q241" s="7">
        <f t="shared" si="105"/>
        <v>4.0625750000000203</v>
      </c>
      <c r="R241" s="7">
        <f t="shared" si="106"/>
        <v>4.0800000000000187</v>
      </c>
      <c r="S241" s="7">
        <f t="shared" si="107"/>
        <v>0.88646107465544921</v>
      </c>
      <c r="T241" s="7">
        <f t="shared" si="108"/>
        <v>8.7977277087006129</v>
      </c>
      <c r="U241" s="7">
        <f t="shared" si="109"/>
        <v>-2.9898346743696882</v>
      </c>
      <c r="V241">
        <f t="shared" si="110"/>
        <v>-6.7217959186460581</v>
      </c>
      <c r="W241">
        <f t="shared" si="111"/>
        <v>9.9406971399431132</v>
      </c>
      <c r="X241">
        <f t="shared" si="112"/>
        <v>-6.7692863994906913</v>
      </c>
      <c r="Y241" s="10">
        <f t="shared" si="113"/>
        <v>9.9084187255924121</v>
      </c>
      <c r="Z241" s="10">
        <f t="shared" si="114"/>
        <v>4.0800000000000187</v>
      </c>
      <c r="AA241" s="10">
        <f t="shared" si="115"/>
        <v>4.0625750000000203</v>
      </c>
      <c r="AB241" s="7">
        <f t="shared" si="116"/>
        <v>0.88646107465544921</v>
      </c>
      <c r="AC241" s="7">
        <f t="shared" si="117"/>
        <v>8.7977277087006129</v>
      </c>
      <c r="AD241" s="7">
        <f t="shared" si="118"/>
        <v>2.9898346743696882</v>
      </c>
      <c r="AE241" s="10">
        <f t="shared" si="119"/>
        <v>1.7729221493108984</v>
      </c>
      <c r="AF241" s="10">
        <f t="shared" si="120"/>
        <v>17.595455417401226</v>
      </c>
      <c r="AG241" s="10">
        <f t="shared" si="121"/>
        <v>0</v>
      </c>
      <c r="AJ241">
        <v>4.1713369122664252</v>
      </c>
      <c r="AK241">
        <v>-103.43343833362599</v>
      </c>
      <c r="AL241">
        <v>-168.67055992299669</v>
      </c>
      <c r="AM241">
        <v>-114.92604259291775</v>
      </c>
      <c r="AN241">
        <v>-187.41173324777409</v>
      </c>
      <c r="AQ241">
        <v>239</v>
      </c>
      <c r="AR241">
        <f t="shared" si="93"/>
        <v>-6.1804568989206539</v>
      </c>
      <c r="AS241">
        <f t="shared" si="94"/>
        <v>-10.286007608425345</v>
      </c>
    </row>
    <row r="242" spans="4:45" x14ac:dyDescent="0.25">
      <c r="D242">
        <v>81</v>
      </c>
      <c r="E242">
        <f t="shared" si="97"/>
        <v>6.7217959186460581</v>
      </c>
      <c r="F242">
        <f t="shared" si="125"/>
        <v>9.9406971399431132</v>
      </c>
      <c r="G242">
        <f t="shared" si="98"/>
        <v>6.67381139930235</v>
      </c>
      <c r="H242">
        <f t="shared" si="122"/>
        <v>9.9729755542938143</v>
      </c>
      <c r="I242">
        <f t="shared" si="123"/>
        <v>1.6690062665412912E-3</v>
      </c>
      <c r="J242">
        <f t="shared" si="99"/>
        <v>4.0800000000000187</v>
      </c>
      <c r="K242">
        <f t="shared" si="124"/>
        <v>1.6898688448730573E-3</v>
      </c>
      <c r="L242">
        <f t="shared" si="100"/>
        <v>4.0965750000000183</v>
      </c>
      <c r="M242" s="7">
        <f t="shared" si="101"/>
        <v>6.7217959186460581</v>
      </c>
      <c r="N242" s="7">
        <f t="shared" si="102"/>
        <v>9.9406971399431132</v>
      </c>
      <c r="O242" s="7">
        <f t="shared" si="103"/>
        <v>6.67381139930235</v>
      </c>
      <c r="P242">
        <f t="shared" si="104"/>
        <v>9.9729755542938143</v>
      </c>
      <c r="Q242" s="7">
        <f t="shared" si="105"/>
        <v>4.0800000000000187</v>
      </c>
      <c r="R242" s="7">
        <f t="shared" si="106"/>
        <v>4.0965750000000183</v>
      </c>
      <c r="S242" s="7">
        <f t="shared" si="107"/>
        <v>0.88386305791435071</v>
      </c>
      <c r="T242" s="7">
        <f t="shared" si="108"/>
        <v>8.8004724270656496</v>
      </c>
      <c r="U242" s="7">
        <f t="shared" si="109"/>
        <v>-2.9599761074496045</v>
      </c>
      <c r="V242">
        <f t="shared" si="110"/>
        <v>-6.67381139930235</v>
      </c>
      <c r="W242">
        <f t="shared" si="111"/>
        <v>9.9729755542938143</v>
      </c>
      <c r="X242">
        <f t="shared" si="112"/>
        <v>-6.7217959186460581</v>
      </c>
      <c r="Y242" s="10">
        <f t="shared" si="113"/>
        <v>9.9406971399431132</v>
      </c>
      <c r="Z242" s="10">
        <f t="shared" si="114"/>
        <v>4.0965750000000183</v>
      </c>
      <c r="AA242" s="10">
        <f t="shared" si="115"/>
        <v>4.0800000000000187</v>
      </c>
      <c r="AB242" s="7">
        <f t="shared" si="116"/>
        <v>0.88386305791435071</v>
      </c>
      <c r="AC242" s="7">
        <f t="shared" si="117"/>
        <v>8.8004724270656514</v>
      </c>
      <c r="AD242" s="7">
        <f t="shared" si="118"/>
        <v>2.9599761074496045</v>
      </c>
      <c r="AE242" s="10">
        <f t="shared" si="119"/>
        <v>1.7677261158287014</v>
      </c>
      <c r="AF242" s="10">
        <f t="shared" si="120"/>
        <v>17.600944854131299</v>
      </c>
      <c r="AG242" s="10">
        <f t="shared" si="121"/>
        <v>0</v>
      </c>
      <c r="AJ242">
        <v>4.1887902047863683</v>
      </c>
      <c r="AK242">
        <v>-100.73469936375672</v>
      </c>
      <c r="AL242">
        <v>-170.69546023617349</v>
      </c>
      <c r="AM242">
        <v>-111.92744373750746</v>
      </c>
      <c r="AN242">
        <v>-189.66162248463721</v>
      </c>
      <c r="AQ242">
        <v>240</v>
      </c>
      <c r="AR242">
        <f t="shared" si="93"/>
        <v>-6.0000000000000053</v>
      </c>
      <c r="AS242">
        <f t="shared" si="94"/>
        <v>-10.39230484541326</v>
      </c>
    </row>
    <row r="243" spans="4:45" x14ac:dyDescent="0.25">
      <c r="D243">
        <v>82</v>
      </c>
      <c r="E243">
        <f t="shared" si="97"/>
        <v>6.67381139930235</v>
      </c>
      <c r="F243">
        <f t="shared" si="125"/>
        <v>9.9729755542938143</v>
      </c>
      <c r="G243">
        <f t="shared" si="98"/>
        <v>6.6253221071071833</v>
      </c>
      <c r="H243">
        <f t="shared" si="122"/>
        <v>10.005253968644515</v>
      </c>
      <c r="I243">
        <f t="shared" si="123"/>
        <v>1.6898688448730573E-3</v>
      </c>
      <c r="J243">
        <f t="shared" si="99"/>
        <v>4.0965750000000183</v>
      </c>
      <c r="K243">
        <f t="shared" si="124"/>
        <v>1.7107314232048235E-3</v>
      </c>
      <c r="L243">
        <f t="shared" si="100"/>
        <v>4.1123000000000172</v>
      </c>
      <c r="M243" s="7">
        <f t="shared" si="101"/>
        <v>6.67381139930235</v>
      </c>
      <c r="N243" s="7">
        <f t="shared" si="102"/>
        <v>9.9729755542938143</v>
      </c>
      <c r="O243" s="7">
        <f t="shared" si="103"/>
        <v>6.6253221071071833</v>
      </c>
      <c r="P243">
        <f t="shared" si="104"/>
        <v>10.005253968644515</v>
      </c>
      <c r="Q243" s="7">
        <f t="shared" si="105"/>
        <v>4.0965750000000183</v>
      </c>
      <c r="R243" s="7">
        <f t="shared" si="106"/>
        <v>4.1123000000000172</v>
      </c>
      <c r="S243" s="7">
        <f t="shared" si="107"/>
        <v>0.88096403351036823</v>
      </c>
      <c r="T243" s="7">
        <f t="shared" si="108"/>
        <v>8.8000426302786181</v>
      </c>
      <c r="U243" s="7">
        <f t="shared" si="109"/>
        <v>-2.9290207339921817</v>
      </c>
      <c r="V243">
        <f t="shared" si="110"/>
        <v>-6.6253221071071833</v>
      </c>
      <c r="W243">
        <f t="shared" si="111"/>
        <v>10.005253968644515</v>
      </c>
      <c r="X243">
        <f t="shared" si="112"/>
        <v>-6.67381139930235</v>
      </c>
      <c r="Y243" s="10">
        <f t="shared" si="113"/>
        <v>9.9729755542938143</v>
      </c>
      <c r="Z243" s="10">
        <f t="shared" si="114"/>
        <v>4.1123000000000172</v>
      </c>
      <c r="AA243" s="10">
        <f t="shared" si="115"/>
        <v>4.0965750000000183</v>
      </c>
      <c r="AB243" s="7">
        <f t="shared" si="116"/>
        <v>0.88096403351036823</v>
      </c>
      <c r="AC243" s="7">
        <f t="shared" si="117"/>
        <v>8.8000426302786181</v>
      </c>
      <c r="AD243" s="7">
        <f t="shared" si="118"/>
        <v>2.9290207339921817</v>
      </c>
      <c r="AE243" s="10">
        <f t="shared" si="119"/>
        <v>1.7619280670207365</v>
      </c>
      <c r="AF243" s="10">
        <f t="shared" si="120"/>
        <v>17.600085260557236</v>
      </c>
      <c r="AG243" s="10">
        <f t="shared" si="121"/>
        <v>0</v>
      </c>
      <c r="AJ243">
        <v>4.2062434973063114</v>
      </c>
      <c r="AK243">
        <v>-98.002655001060006</v>
      </c>
      <c r="AL243">
        <v>-172.69747129202469</v>
      </c>
      <c r="AM243">
        <v>-108.89183889006667</v>
      </c>
      <c r="AN243">
        <v>-191.88607921336074</v>
      </c>
      <c r="AQ243">
        <v>241</v>
      </c>
      <c r="AR243">
        <f t="shared" si="93"/>
        <v>-5.8177154429560423</v>
      </c>
      <c r="AS243">
        <f t="shared" si="94"/>
        <v>-10.495436485672752</v>
      </c>
    </row>
    <row r="244" spans="4:45" x14ac:dyDescent="0.25">
      <c r="D244">
        <v>83</v>
      </c>
      <c r="E244">
        <f t="shared" si="97"/>
        <v>6.6253221071071833</v>
      </c>
      <c r="F244">
        <f t="shared" si="125"/>
        <v>10.005253968644515</v>
      </c>
      <c r="G244">
        <f t="shared" si="98"/>
        <v>6.576316876513963</v>
      </c>
      <c r="H244">
        <f t="shared" si="122"/>
        <v>10.037532382995217</v>
      </c>
      <c r="I244">
        <f t="shared" si="123"/>
        <v>1.7107314232048235E-3</v>
      </c>
      <c r="J244">
        <f t="shared" si="99"/>
        <v>4.1123000000000172</v>
      </c>
      <c r="K244">
        <f t="shared" si="124"/>
        <v>1.7315940015365894E-3</v>
      </c>
      <c r="L244">
        <f t="shared" si="100"/>
        <v>4.1271750000000162</v>
      </c>
      <c r="M244" s="7">
        <f t="shared" si="101"/>
        <v>6.6253221071071833</v>
      </c>
      <c r="N244" s="7">
        <f t="shared" si="102"/>
        <v>10.005253968644515</v>
      </c>
      <c r="O244" s="7">
        <f t="shared" si="103"/>
        <v>6.576316876513963</v>
      </c>
      <c r="P244">
        <f t="shared" si="104"/>
        <v>10.037532382995217</v>
      </c>
      <c r="Q244" s="7">
        <f t="shared" si="105"/>
        <v>4.1123000000000172</v>
      </c>
      <c r="R244" s="7">
        <f t="shared" si="106"/>
        <v>4.1271750000000162</v>
      </c>
      <c r="S244" s="7">
        <f t="shared" si="107"/>
        <v>0.87776573475348008</v>
      </c>
      <c r="T244" s="7">
        <f t="shared" si="108"/>
        <v>8.7964265403789081</v>
      </c>
      <c r="U244" s="7">
        <f t="shared" si="109"/>
        <v>-2.8969934204430094</v>
      </c>
      <c r="V244">
        <f t="shared" si="110"/>
        <v>-6.576316876513963</v>
      </c>
      <c r="W244">
        <f t="shared" si="111"/>
        <v>10.037532382995217</v>
      </c>
      <c r="X244">
        <f t="shared" si="112"/>
        <v>-6.6253221071071833</v>
      </c>
      <c r="Y244" s="10">
        <f t="shared" si="113"/>
        <v>10.005253968644515</v>
      </c>
      <c r="Z244" s="10">
        <f t="shared" si="114"/>
        <v>4.1271750000000162</v>
      </c>
      <c r="AA244" s="10">
        <f t="shared" si="115"/>
        <v>4.1123000000000172</v>
      </c>
      <c r="AB244" s="7">
        <f t="shared" si="116"/>
        <v>0.87776573475348008</v>
      </c>
      <c r="AC244" s="7">
        <f t="shared" si="117"/>
        <v>8.7964265403789099</v>
      </c>
      <c r="AD244" s="7">
        <f t="shared" si="118"/>
        <v>2.8969934204430094</v>
      </c>
      <c r="AE244" s="10">
        <f t="shared" si="119"/>
        <v>1.7555314695069602</v>
      </c>
      <c r="AF244" s="10">
        <f t="shared" si="120"/>
        <v>17.59285308075782</v>
      </c>
      <c r="AG244" s="10">
        <f t="shared" si="121"/>
        <v>0</v>
      </c>
      <c r="AJ244">
        <v>4.2236967898262545</v>
      </c>
      <c r="AK244">
        <v>-95.236554010775649</v>
      </c>
      <c r="AL244">
        <v>-174.67568057097054</v>
      </c>
      <c r="AM244">
        <v>-105.81839334530628</v>
      </c>
      <c r="AN244">
        <v>-194.08408952330061</v>
      </c>
      <c r="AQ244">
        <v>242</v>
      </c>
      <c r="AR244">
        <f t="shared" si="93"/>
        <v>-5.633658753430689</v>
      </c>
      <c r="AS244">
        <f t="shared" si="94"/>
        <v>-10.595371114307124</v>
      </c>
    </row>
    <row r="245" spans="4:45" x14ac:dyDescent="0.25">
      <c r="D245">
        <v>84</v>
      </c>
      <c r="E245">
        <f t="shared" si="97"/>
        <v>6.576316876513963</v>
      </c>
      <c r="F245">
        <f t="shared" si="125"/>
        <v>10.037532382995217</v>
      </c>
      <c r="G245">
        <f t="shared" si="98"/>
        <v>6.5267840860300845</v>
      </c>
      <c r="H245">
        <f t="shared" si="122"/>
        <v>10.069810797345918</v>
      </c>
      <c r="I245">
        <f t="shared" si="123"/>
        <v>1.7315940015365894E-3</v>
      </c>
      <c r="J245">
        <f t="shared" si="99"/>
        <v>4.1271750000000162</v>
      </c>
      <c r="K245">
        <f t="shared" si="124"/>
        <v>1.7524565798683557E-3</v>
      </c>
      <c r="L245">
        <f t="shared" si="100"/>
        <v>4.1412000000000164</v>
      </c>
      <c r="M245" s="7">
        <f t="shared" si="101"/>
        <v>6.576316876513963</v>
      </c>
      <c r="N245" s="7">
        <f t="shared" si="102"/>
        <v>10.037532382995217</v>
      </c>
      <c r="O245" s="7">
        <f t="shared" si="103"/>
        <v>6.5267840860300845</v>
      </c>
      <c r="P245">
        <f t="shared" si="104"/>
        <v>10.069810797345918</v>
      </c>
      <c r="Q245" s="7">
        <f t="shared" si="105"/>
        <v>4.1271750000000162</v>
      </c>
      <c r="R245" s="7">
        <f t="shared" si="106"/>
        <v>4.1412000000000164</v>
      </c>
      <c r="S245" s="7">
        <f t="shared" si="107"/>
        <v>0.87426989754733586</v>
      </c>
      <c r="T245" s="7">
        <f t="shared" si="108"/>
        <v>8.7896126292722077</v>
      </c>
      <c r="U245" s="7">
        <f t="shared" si="109"/>
        <v>-2.8639192047186937</v>
      </c>
      <c r="V245">
        <f t="shared" si="110"/>
        <v>-6.5267840860300845</v>
      </c>
      <c r="W245">
        <f t="shared" si="111"/>
        <v>10.069810797345918</v>
      </c>
      <c r="X245">
        <f t="shared" si="112"/>
        <v>-6.576316876513963</v>
      </c>
      <c r="Y245" s="10">
        <f t="shared" si="113"/>
        <v>10.037532382995217</v>
      </c>
      <c r="Z245" s="10">
        <f t="shared" si="114"/>
        <v>4.1412000000000164</v>
      </c>
      <c r="AA245" s="10">
        <f t="shared" si="115"/>
        <v>4.1271750000000162</v>
      </c>
      <c r="AB245" s="7">
        <f t="shared" si="116"/>
        <v>0.87426989754733586</v>
      </c>
      <c r="AC245" s="7">
        <f t="shared" si="117"/>
        <v>8.7896126292722059</v>
      </c>
      <c r="AD245" s="7">
        <f t="shared" si="118"/>
        <v>2.8639192047186945</v>
      </c>
      <c r="AE245" s="10">
        <f t="shared" si="119"/>
        <v>1.7485397950946717</v>
      </c>
      <c r="AF245" s="10">
        <f t="shared" si="120"/>
        <v>17.579225258544412</v>
      </c>
      <c r="AG245" s="10">
        <f t="shared" si="121"/>
        <v>0</v>
      </c>
      <c r="AJ245">
        <v>4.2411500823461976</v>
      </c>
      <c r="AK245">
        <v>-91.924727767613348</v>
      </c>
      <c r="AL245">
        <v>-176.80339360759822</v>
      </c>
      <c r="AM245">
        <v>-102.13858640845928</v>
      </c>
      <c r="AN245">
        <v>-196.44821511955357</v>
      </c>
      <c r="AQ245">
        <v>243</v>
      </c>
      <c r="AR245">
        <f t="shared" si="93"/>
        <v>-5.4478859968745628</v>
      </c>
      <c r="AS245">
        <f t="shared" si="94"/>
        <v>-10.692078290260413</v>
      </c>
    </row>
    <row r="246" spans="4:45" x14ac:dyDescent="0.25">
      <c r="D246">
        <v>85</v>
      </c>
      <c r="E246">
        <f t="shared" si="97"/>
        <v>6.5267840860300845</v>
      </c>
      <c r="F246">
        <f t="shared" si="125"/>
        <v>10.069810797345918</v>
      </c>
      <c r="G246">
        <f t="shared" si="98"/>
        <v>6.4767116316015478</v>
      </c>
      <c r="H246">
        <f t="shared" si="122"/>
        <v>10.102089211696619</v>
      </c>
      <c r="I246">
        <f t="shared" si="123"/>
        <v>1.7524565798683557E-3</v>
      </c>
      <c r="J246">
        <f t="shared" si="99"/>
        <v>4.1412000000000164</v>
      </c>
      <c r="K246">
        <f t="shared" si="124"/>
        <v>1.7733191582001218E-3</v>
      </c>
      <c r="L246">
        <f t="shared" si="100"/>
        <v>4.1543750000000141</v>
      </c>
      <c r="M246" s="7">
        <f t="shared" si="101"/>
        <v>6.5267840860300845</v>
      </c>
      <c r="N246" s="7">
        <f t="shared" si="102"/>
        <v>10.069810797345918</v>
      </c>
      <c r="O246" s="7">
        <f t="shared" si="103"/>
        <v>6.4767116316015478</v>
      </c>
      <c r="P246">
        <f t="shared" si="104"/>
        <v>10.102089211696619</v>
      </c>
      <c r="Q246" s="7">
        <f t="shared" si="105"/>
        <v>4.1412000000000164</v>
      </c>
      <c r="R246" s="7">
        <f t="shared" si="106"/>
        <v>4.1543750000000141</v>
      </c>
      <c r="S246" s="7">
        <f t="shared" si="107"/>
        <v>0.87047825898154263</v>
      </c>
      <c r="T246" s="7">
        <f t="shared" si="108"/>
        <v>8.7795896049506261</v>
      </c>
      <c r="U246" s="7">
        <f t="shared" si="109"/>
        <v>-2.8298232962029943</v>
      </c>
      <c r="V246">
        <f t="shared" si="110"/>
        <v>-6.4767116316015478</v>
      </c>
      <c r="W246">
        <f t="shared" si="111"/>
        <v>10.102089211696619</v>
      </c>
      <c r="X246">
        <f t="shared" si="112"/>
        <v>-6.5267840860300845</v>
      </c>
      <c r="Y246" s="10">
        <f t="shared" si="113"/>
        <v>10.069810797345918</v>
      </c>
      <c r="Z246" s="10">
        <f t="shared" si="114"/>
        <v>4.1543750000000141</v>
      </c>
      <c r="AA246" s="10">
        <f t="shared" si="115"/>
        <v>4.1412000000000164</v>
      </c>
      <c r="AB246" s="7">
        <f t="shared" si="116"/>
        <v>0.87047825898154263</v>
      </c>
      <c r="AC246" s="7">
        <f t="shared" si="117"/>
        <v>8.7795896049506261</v>
      </c>
      <c r="AD246" s="7">
        <f t="shared" si="118"/>
        <v>2.8298232962029943</v>
      </c>
      <c r="AE246" s="10">
        <f t="shared" si="119"/>
        <v>1.7409565179630853</v>
      </c>
      <c r="AF246" s="10">
        <f t="shared" si="120"/>
        <v>17.559179209901252</v>
      </c>
      <c r="AG246" s="10">
        <f t="shared" si="121"/>
        <v>0</v>
      </c>
      <c r="AJ246">
        <v>4.2586033748661407</v>
      </c>
      <c r="AK246">
        <v>-89.051381778666624</v>
      </c>
      <c r="AL246">
        <v>-178.719830448717</v>
      </c>
      <c r="AM246">
        <v>-98.945979754074017</v>
      </c>
      <c r="AN246">
        <v>-198.57758938746332</v>
      </c>
      <c r="AQ246">
        <v>244</v>
      </c>
      <c r="AR246">
        <f t="shared" si="93"/>
        <v>-5.2604537614689324</v>
      </c>
      <c r="AS246">
        <f t="shared" si="94"/>
        <v>-10.785528555590002</v>
      </c>
    </row>
    <row r="247" spans="4:45" x14ac:dyDescent="0.25">
      <c r="D247">
        <v>86</v>
      </c>
      <c r="E247">
        <f t="shared" si="97"/>
        <v>6.4767116316015478</v>
      </c>
      <c r="F247">
        <f t="shared" si="125"/>
        <v>10.102089211696619</v>
      </c>
      <c r="G247">
        <f t="shared" si="98"/>
        <v>6.4260868979592871</v>
      </c>
      <c r="H247">
        <f t="shared" si="122"/>
        <v>10.13436762604732</v>
      </c>
      <c r="I247">
        <f t="shared" si="123"/>
        <v>1.7733191582001218E-3</v>
      </c>
      <c r="J247">
        <f t="shared" si="99"/>
        <v>4.1543750000000141</v>
      </c>
      <c r="K247">
        <f t="shared" si="124"/>
        <v>1.7941817365318877E-3</v>
      </c>
      <c r="L247">
        <f t="shared" si="100"/>
        <v>4.1667000000000138</v>
      </c>
      <c r="M247" s="7">
        <f t="shared" si="101"/>
        <v>6.4767116316015478</v>
      </c>
      <c r="N247" s="7">
        <f t="shared" si="102"/>
        <v>10.102089211696619</v>
      </c>
      <c r="O247" s="7">
        <f t="shared" si="103"/>
        <v>6.4260868979592871</v>
      </c>
      <c r="P247">
        <f t="shared" si="104"/>
        <v>10.13436762604732</v>
      </c>
      <c r="Q247" s="7">
        <f t="shared" si="105"/>
        <v>4.1543750000000141</v>
      </c>
      <c r="R247" s="7">
        <f t="shared" si="106"/>
        <v>4.1667000000000138</v>
      </c>
      <c r="S247" s="7">
        <f t="shared" si="107"/>
        <v>0.86639255578110352</v>
      </c>
      <c r="T247" s="7">
        <f t="shared" si="108"/>
        <v>8.7663463959947379</v>
      </c>
      <c r="U247" s="7">
        <f t="shared" si="109"/>
        <v>-2.7947310757425581</v>
      </c>
      <c r="V247">
        <f t="shared" si="110"/>
        <v>-6.4260868979592871</v>
      </c>
      <c r="W247">
        <f t="shared" si="111"/>
        <v>10.13436762604732</v>
      </c>
      <c r="X247">
        <f t="shared" si="112"/>
        <v>-6.4767116316015478</v>
      </c>
      <c r="Y247" s="10">
        <f t="shared" si="113"/>
        <v>10.102089211696619</v>
      </c>
      <c r="Z247" s="10">
        <f t="shared" si="114"/>
        <v>4.1667000000000138</v>
      </c>
      <c r="AA247" s="10">
        <f t="shared" si="115"/>
        <v>4.1543750000000141</v>
      </c>
      <c r="AB247" s="7">
        <f t="shared" si="116"/>
        <v>0.86639255578110352</v>
      </c>
      <c r="AC247" s="7">
        <f t="shared" si="117"/>
        <v>8.7663463959947379</v>
      </c>
      <c r="AD247" s="7">
        <f t="shared" si="118"/>
        <v>2.7947310757425572</v>
      </c>
      <c r="AE247" s="10">
        <f t="shared" si="119"/>
        <v>1.732785111562207</v>
      </c>
      <c r="AF247" s="10">
        <f t="shared" si="120"/>
        <v>17.532692791989476</v>
      </c>
      <c r="AG247" s="10">
        <f t="shared" si="121"/>
        <v>0</v>
      </c>
      <c r="AJ247">
        <v>4.2760566673860838</v>
      </c>
      <c r="AK247">
        <v>-86.14523686788867</v>
      </c>
      <c r="AL247">
        <v>-180.60559184202117</v>
      </c>
      <c r="AM247">
        <v>-95.716929853209635</v>
      </c>
      <c r="AN247">
        <v>-200.67287982446797</v>
      </c>
      <c r="AQ247">
        <v>245</v>
      </c>
      <c r="AR247">
        <f t="shared" si="93"/>
        <v>-5.0714191408883895</v>
      </c>
      <c r="AS247">
        <f t="shared" si="94"/>
        <v>-10.875693444439801</v>
      </c>
    </row>
    <row r="248" spans="4:45" x14ac:dyDescent="0.25">
      <c r="D248">
        <v>87</v>
      </c>
      <c r="E248">
        <f t="shared" si="97"/>
        <v>6.4260868979592871</v>
      </c>
      <c r="F248">
        <f t="shared" si="125"/>
        <v>10.13436762604732</v>
      </c>
      <c r="G248">
        <f t="shared" si="98"/>
        <v>6.3748967277328692</v>
      </c>
      <c r="H248">
        <f t="shared" si="122"/>
        <v>10.166646040398021</v>
      </c>
      <c r="I248">
        <f t="shared" si="123"/>
        <v>1.7941817365318877E-3</v>
      </c>
      <c r="J248">
        <f t="shared" si="99"/>
        <v>4.1667000000000138</v>
      </c>
      <c r="K248">
        <f t="shared" si="124"/>
        <v>1.8150443148636541E-3</v>
      </c>
      <c r="L248">
        <f t="shared" si="100"/>
        <v>4.1781750000000129</v>
      </c>
      <c r="M248" s="7">
        <f t="shared" si="101"/>
        <v>6.4260868979592871</v>
      </c>
      <c r="N248" s="7">
        <f t="shared" si="102"/>
        <v>10.13436762604732</v>
      </c>
      <c r="O248" s="7">
        <f t="shared" si="103"/>
        <v>6.3748967277328692</v>
      </c>
      <c r="P248">
        <f t="shared" si="104"/>
        <v>10.166646040398021</v>
      </c>
      <c r="Q248" s="7">
        <f t="shared" si="105"/>
        <v>4.1667000000000138</v>
      </c>
      <c r="R248" s="7">
        <f t="shared" si="106"/>
        <v>4.1781750000000129</v>
      </c>
      <c r="S248" s="7">
        <f t="shared" si="107"/>
        <v>0.86201452259770561</v>
      </c>
      <c r="T248" s="7">
        <f t="shared" si="108"/>
        <v>8.7498721341700101</v>
      </c>
      <c r="U248" s="7">
        <f t="shared" si="109"/>
        <v>-2.7586680956422112</v>
      </c>
      <c r="V248">
        <f t="shared" si="110"/>
        <v>-6.3748967277328692</v>
      </c>
      <c r="W248">
        <f t="shared" si="111"/>
        <v>10.166646040398021</v>
      </c>
      <c r="X248">
        <f t="shared" si="112"/>
        <v>-6.4260868979592871</v>
      </c>
      <c r="Y248" s="10">
        <f t="shared" si="113"/>
        <v>10.13436762604732</v>
      </c>
      <c r="Z248" s="10">
        <f t="shared" si="114"/>
        <v>4.1781750000000129</v>
      </c>
      <c r="AA248" s="10">
        <f t="shared" si="115"/>
        <v>4.1667000000000138</v>
      </c>
      <c r="AB248" s="7">
        <f t="shared" si="116"/>
        <v>0.86201452259770561</v>
      </c>
      <c r="AC248" s="7">
        <f t="shared" si="117"/>
        <v>8.7498721341700101</v>
      </c>
      <c r="AD248" s="7">
        <f t="shared" si="118"/>
        <v>2.7586680956422112</v>
      </c>
      <c r="AE248" s="10">
        <f t="shared" si="119"/>
        <v>1.7240290451954112</v>
      </c>
      <c r="AF248" s="10">
        <f t="shared" si="120"/>
        <v>17.49974426834002</v>
      </c>
      <c r="AG248" s="10">
        <f t="shared" si="121"/>
        <v>0</v>
      </c>
      <c r="AJ248">
        <v>4.2935099599060269</v>
      </c>
      <c r="AK248">
        <v>-82.460156767862486</v>
      </c>
      <c r="AL248">
        <v>-182.41344801492411</v>
      </c>
      <c r="AM248">
        <v>-91.622396408736094</v>
      </c>
      <c r="AN248">
        <v>-202.68160890547122</v>
      </c>
      <c r="AQ248">
        <v>246</v>
      </c>
      <c r="AR248">
        <f t="shared" si="93"/>
        <v>-4.8808397169096009</v>
      </c>
      <c r="AS248">
        <f t="shared" si="94"/>
        <v>-10.962545491711211</v>
      </c>
    </row>
    <row r="249" spans="4:45" x14ac:dyDescent="0.25">
      <c r="D249">
        <v>88</v>
      </c>
      <c r="E249">
        <f t="shared" si="97"/>
        <v>6.3748967277328692</v>
      </c>
      <c r="F249">
        <f t="shared" si="125"/>
        <v>10.166646040398021</v>
      </c>
      <c r="G249">
        <f t="shared" si="98"/>
        <v>6.3231273881148784</v>
      </c>
      <c r="H249">
        <f t="shared" si="122"/>
        <v>10.198924454748722</v>
      </c>
      <c r="I249">
        <f t="shared" si="123"/>
        <v>1.8150443148636541E-3</v>
      </c>
      <c r="J249">
        <f t="shared" si="99"/>
        <v>4.1781750000000129</v>
      </c>
      <c r="K249">
        <f t="shared" si="124"/>
        <v>1.8359068931954202E-3</v>
      </c>
      <c r="L249">
        <f t="shared" si="100"/>
        <v>4.1888000000000121</v>
      </c>
      <c r="M249" s="7">
        <f t="shared" si="101"/>
        <v>6.3748967277328692</v>
      </c>
      <c r="N249" s="7">
        <f t="shared" si="102"/>
        <v>10.166646040398021</v>
      </c>
      <c r="O249" s="7">
        <f t="shared" si="103"/>
        <v>6.3231273881148784</v>
      </c>
      <c r="P249">
        <f t="shared" si="104"/>
        <v>10.198924454748722</v>
      </c>
      <c r="Q249" s="7">
        <f t="shared" si="105"/>
        <v>4.1781750000000129</v>
      </c>
      <c r="R249" s="7">
        <f t="shared" si="106"/>
        <v>4.1888000000000121</v>
      </c>
      <c r="S249" s="7">
        <f t="shared" si="107"/>
        <v>0.85734589012569906</v>
      </c>
      <c r="T249" s="7">
        <f t="shared" si="108"/>
        <v>8.7301561349071104</v>
      </c>
      <c r="U249" s="7">
        <f t="shared" si="109"/>
        <v>-2.7216600796597494</v>
      </c>
      <c r="V249">
        <f t="shared" si="110"/>
        <v>-6.3231273881148784</v>
      </c>
      <c r="W249">
        <f t="shared" si="111"/>
        <v>10.198924454748722</v>
      </c>
      <c r="X249">
        <f t="shared" si="112"/>
        <v>-6.3748967277328692</v>
      </c>
      <c r="Y249" s="10">
        <f t="shared" si="113"/>
        <v>10.166646040398021</v>
      </c>
      <c r="Z249" s="10">
        <f t="shared" si="114"/>
        <v>4.1888000000000121</v>
      </c>
      <c r="AA249" s="10">
        <f t="shared" si="115"/>
        <v>4.1781750000000129</v>
      </c>
      <c r="AB249" s="7">
        <f t="shared" si="116"/>
        <v>0.85734589012569906</v>
      </c>
      <c r="AC249" s="7">
        <f t="shared" si="117"/>
        <v>8.7301561349071104</v>
      </c>
      <c r="AD249" s="7">
        <f t="shared" si="118"/>
        <v>2.7216600796597494</v>
      </c>
      <c r="AE249" s="10">
        <f t="shared" si="119"/>
        <v>1.7146917802513981</v>
      </c>
      <c r="AF249" s="10">
        <f t="shared" si="120"/>
        <v>17.460312269814221</v>
      </c>
      <c r="AG249" s="10">
        <f t="shared" si="121"/>
        <v>0</v>
      </c>
      <c r="AJ249">
        <v>4.31096325242597</v>
      </c>
      <c r="AK249">
        <v>-78.569983443371811</v>
      </c>
      <c r="AL249">
        <v>-184.12899743453264</v>
      </c>
      <c r="AM249">
        <v>-87.29998160374646</v>
      </c>
      <c r="AN249">
        <v>-204.58777492725847</v>
      </c>
      <c r="AQ249">
        <v>247</v>
      </c>
      <c r="AR249">
        <f t="shared" si="93"/>
        <v>-4.6887735418712859</v>
      </c>
      <c r="AS249">
        <f t="shared" si="94"/>
        <v>-11.046058241429282</v>
      </c>
    </row>
    <row r="250" spans="4:45" x14ac:dyDescent="0.25">
      <c r="D250">
        <v>89</v>
      </c>
      <c r="E250">
        <f t="shared" si="97"/>
        <v>6.3231273881148784</v>
      </c>
      <c r="F250">
        <f t="shared" si="125"/>
        <v>10.198924454748722</v>
      </c>
      <c r="G250">
        <f t="shared" si="98"/>
        <v>6.2707645348339884</v>
      </c>
      <c r="H250">
        <f t="shared" si="122"/>
        <v>10.231202869099423</v>
      </c>
      <c r="I250">
        <f t="shared" si="123"/>
        <v>1.8359068931954202E-3</v>
      </c>
      <c r="J250">
        <f t="shared" si="99"/>
        <v>4.1888000000000121</v>
      </c>
      <c r="K250">
        <f t="shared" si="124"/>
        <v>1.8567694715271861E-3</v>
      </c>
      <c r="L250">
        <f t="shared" si="100"/>
        <v>4.1985750000000115</v>
      </c>
      <c r="M250" s="7">
        <f t="shared" si="101"/>
        <v>6.3231273881148784</v>
      </c>
      <c r="N250" s="7">
        <f t="shared" si="102"/>
        <v>10.198924454748722</v>
      </c>
      <c r="O250" s="7">
        <f t="shared" si="103"/>
        <v>6.2707645348339884</v>
      </c>
      <c r="P250">
        <f t="shared" si="104"/>
        <v>10.231202869099423</v>
      </c>
      <c r="Q250" s="7">
        <f t="shared" si="105"/>
        <v>4.1888000000000121</v>
      </c>
      <c r="R250" s="7">
        <f t="shared" si="106"/>
        <v>4.1985750000000115</v>
      </c>
      <c r="S250" s="7">
        <f t="shared" si="107"/>
        <v>0.85238838302348918</v>
      </c>
      <c r="T250" s="7">
        <f t="shared" si="108"/>
        <v>8.707187875429554</v>
      </c>
      <c r="U250" s="7">
        <f t="shared" si="109"/>
        <v>-2.6837329230001594</v>
      </c>
      <c r="V250">
        <f t="shared" si="110"/>
        <v>-6.2707645348339884</v>
      </c>
      <c r="W250">
        <f t="shared" si="111"/>
        <v>10.231202869099423</v>
      </c>
      <c r="X250">
        <f t="shared" si="112"/>
        <v>-6.3231273881148784</v>
      </c>
      <c r="Y250" s="10">
        <f t="shared" si="113"/>
        <v>10.198924454748722</v>
      </c>
      <c r="Z250" s="10">
        <f t="shared" si="114"/>
        <v>4.1985750000000115</v>
      </c>
      <c r="AA250" s="10">
        <f t="shared" si="115"/>
        <v>4.1888000000000121</v>
      </c>
      <c r="AB250" s="7">
        <f t="shared" si="116"/>
        <v>0.85238838302348918</v>
      </c>
      <c r="AC250" s="7">
        <f t="shared" si="117"/>
        <v>8.707187875429554</v>
      </c>
      <c r="AD250" s="7">
        <f t="shared" si="118"/>
        <v>2.6837329230001594</v>
      </c>
      <c r="AE250" s="10">
        <f t="shared" si="119"/>
        <v>1.7047767660469784</v>
      </c>
      <c r="AF250" s="10">
        <f t="shared" si="120"/>
        <v>17.414375750859108</v>
      </c>
      <c r="AG250" s="10">
        <f t="shared" si="121"/>
        <v>0</v>
      </c>
      <c r="AJ250">
        <v>4.3284165449459131</v>
      </c>
      <c r="AK250">
        <v>-74.641494607176796</v>
      </c>
      <c r="AL250">
        <v>-185.75623078619213</v>
      </c>
      <c r="AM250">
        <v>-82.934994007974211</v>
      </c>
      <c r="AN250">
        <v>-206.39581198465791</v>
      </c>
      <c r="AQ250">
        <v>248</v>
      </c>
      <c r="AR250">
        <f t="shared" si="93"/>
        <v>-4.4952791209909471</v>
      </c>
      <c r="AS250">
        <f t="shared" si="94"/>
        <v>-11.126206254801447</v>
      </c>
    </row>
    <row r="251" spans="4:45" x14ac:dyDescent="0.25">
      <c r="D251">
        <v>90</v>
      </c>
      <c r="E251">
        <f t="shared" si="97"/>
        <v>6.2707645348339884</v>
      </c>
      <c r="F251">
        <f t="shared" si="125"/>
        <v>10.231202869099423</v>
      </c>
      <c r="G251">
        <f t="shared" si="98"/>
        <v>6.2177931731659415</v>
      </c>
      <c r="H251">
        <f t="shared" si="122"/>
        <v>10.263481283450124</v>
      </c>
      <c r="I251">
        <f t="shared" si="123"/>
        <v>1.8567694715271861E-3</v>
      </c>
      <c r="J251">
        <f t="shared" si="99"/>
        <v>4.1985750000000115</v>
      </c>
      <c r="K251">
        <f t="shared" si="124"/>
        <v>1.8776320498589526E-3</v>
      </c>
      <c r="L251">
        <f t="shared" si="100"/>
        <v>4.2075000000000111</v>
      </c>
      <c r="M251" s="7">
        <f t="shared" si="101"/>
        <v>6.2707645348339884</v>
      </c>
      <c r="N251" s="7">
        <f t="shared" si="102"/>
        <v>10.231202869099423</v>
      </c>
      <c r="O251" s="7">
        <f t="shared" si="103"/>
        <v>6.2177931731659415</v>
      </c>
      <c r="P251">
        <f t="shared" si="104"/>
        <v>10.263481283450124</v>
      </c>
      <c r="Q251" s="7">
        <f t="shared" si="105"/>
        <v>4.1985750000000115</v>
      </c>
      <c r="R251" s="7">
        <f t="shared" si="106"/>
        <v>4.2075000000000111</v>
      </c>
      <c r="S251" s="7">
        <f t="shared" si="107"/>
        <v>0.84714371761862195</v>
      </c>
      <c r="T251" s="7">
        <f t="shared" si="108"/>
        <v>8.6809569702621676</v>
      </c>
      <c r="U251" s="7">
        <f t="shared" si="109"/>
        <v>-2.6449126923092012</v>
      </c>
      <c r="V251">
        <f t="shared" si="110"/>
        <v>-6.2177931731659415</v>
      </c>
      <c r="W251">
        <f t="shared" si="111"/>
        <v>10.263481283450124</v>
      </c>
      <c r="X251">
        <f t="shared" si="112"/>
        <v>-6.2707645348339884</v>
      </c>
      <c r="Y251" s="10">
        <f t="shared" si="113"/>
        <v>10.231202869099423</v>
      </c>
      <c r="Z251" s="10">
        <f t="shared" si="114"/>
        <v>4.2075000000000111</v>
      </c>
      <c r="AA251" s="10">
        <f t="shared" si="115"/>
        <v>4.1985750000000115</v>
      </c>
      <c r="AB251" s="7">
        <f t="shared" si="116"/>
        <v>0.84714371761862195</v>
      </c>
      <c r="AC251" s="7">
        <f t="shared" si="117"/>
        <v>8.6809569702621676</v>
      </c>
      <c r="AD251" s="7">
        <f t="shared" si="118"/>
        <v>2.6449126923092012</v>
      </c>
      <c r="AE251" s="10">
        <f t="shared" si="119"/>
        <v>1.6942874352372439</v>
      </c>
      <c r="AF251" s="10">
        <f t="shared" si="120"/>
        <v>17.361913940524335</v>
      </c>
      <c r="AG251" s="10">
        <f t="shared" si="121"/>
        <v>0</v>
      </c>
      <c r="AJ251">
        <v>4.3458698374658562</v>
      </c>
      <c r="AK251">
        <v>-70.677650044000742</v>
      </c>
      <c r="AL251">
        <v>-187.29392210263583</v>
      </c>
      <c r="AM251">
        <v>-78.530722271111941</v>
      </c>
      <c r="AN251">
        <v>-208.10435789181759</v>
      </c>
      <c r="AQ251">
        <v>249</v>
      </c>
      <c r="AR251">
        <f t="shared" si="93"/>
        <v>-4.3004153945436085</v>
      </c>
      <c r="AS251">
        <f t="shared" si="94"/>
        <v>-11.20296511796642</v>
      </c>
    </row>
    <row r="252" spans="4:45" x14ac:dyDescent="0.25">
      <c r="D252">
        <v>91</v>
      </c>
      <c r="E252">
        <f t="shared" si="97"/>
        <v>6.2177931731659415</v>
      </c>
      <c r="F252">
        <f t="shared" si="125"/>
        <v>10.263481283450124</v>
      </c>
      <c r="G252">
        <f t="shared" si="98"/>
        <v>6.1641976156788045</v>
      </c>
      <c r="H252">
        <f t="shared" si="122"/>
        <v>10.295759697800825</v>
      </c>
      <c r="I252">
        <f t="shared" si="123"/>
        <v>1.8776320498589526E-3</v>
      </c>
      <c r="J252">
        <f t="shared" si="99"/>
        <v>4.2075000000000111</v>
      </c>
      <c r="K252">
        <f t="shared" si="124"/>
        <v>1.8984946281907185E-3</v>
      </c>
      <c r="L252">
        <f t="shared" si="100"/>
        <v>4.2155750000000101</v>
      </c>
      <c r="M252" s="7">
        <f t="shared" si="101"/>
        <v>6.2177931731659415</v>
      </c>
      <c r="N252" s="7">
        <f t="shared" si="102"/>
        <v>10.263481283450124</v>
      </c>
      <c r="O252" s="7">
        <f t="shared" si="103"/>
        <v>6.1641976156788045</v>
      </c>
      <c r="P252">
        <f t="shared" si="104"/>
        <v>10.295759697800825</v>
      </c>
      <c r="Q252" s="7">
        <f t="shared" si="105"/>
        <v>4.2075000000000111</v>
      </c>
      <c r="R252" s="7">
        <f t="shared" si="106"/>
        <v>4.2155750000000101</v>
      </c>
      <c r="S252" s="7">
        <f t="shared" si="107"/>
        <v>0.84161359937208635</v>
      </c>
      <c r="T252" s="7">
        <f t="shared" si="108"/>
        <v>8.6514531438198716</v>
      </c>
      <c r="U252" s="7">
        <f t="shared" si="109"/>
        <v>-2.6052256256662729</v>
      </c>
      <c r="V252">
        <f t="shared" si="110"/>
        <v>-6.1641976156788045</v>
      </c>
      <c r="W252">
        <f t="shared" si="111"/>
        <v>10.295759697800825</v>
      </c>
      <c r="X252">
        <f t="shared" si="112"/>
        <v>-6.2177931731659415</v>
      </c>
      <c r="Y252" s="10">
        <f t="shared" si="113"/>
        <v>10.263481283450124</v>
      </c>
      <c r="Z252" s="10">
        <f t="shared" si="114"/>
        <v>4.2155750000000101</v>
      </c>
      <c r="AA252" s="10">
        <f t="shared" si="115"/>
        <v>4.2075000000000111</v>
      </c>
      <c r="AB252" s="7">
        <f t="shared" si="116"/>
        <v>0.84161359937208635</v>
      </c>
      <c r="AC252" s="7">
        <f t="shared" si="117"/>
        <v>8.6514531438198716</v>
      </c>
      <c r="AD252" s="7">
        <f t="shared" si="118"/>
        <v>2.6052256256662734</v>
      </c>
      <c r="AE252" s="10">
        <f t="shared" si="119"/>
        <v>1.6832271987441727</v>
      </c>
      <c r="AF252" s="10">
        <f t="shared" si="120"/>
        <v>17.302906287639743</v>
      </c>
      <c r="AG252" s="10">
        <f t="shared" si="121"/>
        <v>0</v>
      </c>
      <c r="AJ252">
        <v>4.3633231299857993</v>
      </c>
      <c r="AK252">
        <v>-66.793557555507789</v>
      </c>
      <c r="AL252">
        <v>-188.62131986790649</v>
      </c>
      <c r="AM252">
        <v>-74.215063950564215</v>
      </c>
      <c r="AN252">
        <v>-209.57924429767388</v>
      </c>
      <c r="AQ252">
        <v>250</v>
      </c>
      <c r="AR252">
        <f t="shared" si="93"/>
        <v>-4.104241719908023</v>
      </c>
      <c r="AS252">
        <f t="shared" si="94"/>
        <v>-11.276311449430901</v>
      </c>
    </row>
    <row r="253" spans="4:45" x14ac:dyDescent="0.25">
      <c r="D253">
        <v>92</v>
      </c>
      <c r="E253">
        <f t="shared" si="97"/>
        <v>6.1641976156788045</v>
      </c>
      <c r="F253">
        <f t="shared" si="125"/>
        <v>10.295759697800825</v>
      </c>
      <c r="G253">
        <f t="shared" si="98"/>
        <v>6.1099614363713899</v>
      </c>
      <c r="H253">
        <f t="shared" si="122"/>
        <v>10.328038112151527</v>
      </c>
      <c r="I253">
        <f t="shared" si="123"/>
        <v>1.8984946281907185E-3</v>
      </c>
      <c r="J253">
        <f t="shared" si="99"/>
        <v>4.2155750000000101</v>
      </c>
      <c r="K253">
        <f t="shared" si="124"/>
        <v>1.9193572065224847E-3</v>
      </c>
      <c r="L253">
        <f t="shared" si="100"/>
        <v>4.2228000000000083</v>
      </c>
      <c r="M253" s="7">
        <f t="shared" si="101"/>
        <v>6.1641976156788045</v>
      </c>
      <c r="N253" s="7">
        <f t="shared" si="102"/>
        <v>10.295759697800825</v>
      </c>
      <c r="O253" s="7">
        <f t="shared" si="103"/>
        <v>6.1099614363713899</v>
      </c>
      <c r="P253">
        <f t="shared" si="104"/>
        <v>10.328038112151527</v>
      </c>
      <c r="Q253" s="7">
        <f t="shared" si="105"/>
        <v>4.2155750000000101</v>
      </c>
      <c r="R253" s="7">
        <f t="shared" si="106"/>
        <v>4.2228000000000083</v>
      </c>
      <c r="S253" s="7">
        <f t="shared" si="107"/>
        <v>0.8357997200741567</v>
      </c>
      <c r="T253" s="7">
        <f t="shared" si="108"/>
        <v>8.6186661997369303</v>
      </c>
      <c r="U253" s="7">
        <f t="shared" si="109"/>
        <v>-2.5646981325764515</v>
      </c>
      <c r="V253">
        <f t="shared" si="110"/>
        <v>-6.1099614363713899</v>
      </c>
      <c r="W253">
        <f t="shared" si="111"/>
        <v>10.328038112151527</v>
      </c>
      <c r="X253">
        <f t="shared" si="112"/>
        <v>-6.1641976156788045</v>
      </c>
      <c r="Y253" s="10">
        <f t="shared" si="113"/>
        <v>10.295759697800825</v>
      </c>
      <c r="Z253" s="10">
        <f t="shared" si="114"/>
        <v>4.2228000000000083</v>
      </c>
      <c r="AA253" s="10">
        <f t="shared" si="115"/>
        <v>4.2155750000000101</v>
      </c>
      <c r="AB253" s="7">
        <f t="shared" si="116"/>
        <v>0.8357997200741567</v>
      </c>
      <c r="AC253" s="7">
        <f t="shared" si="117"/>
        <v>8.6186661997369303</v>
      </c>
      <c r="AD253" s="7">
        <f t="shared" si="118"/>
        <v>2.5646981325764515</v>
      </c>
      <c r="AE253" s="10">
        <f t="shared" si="119"/>
        <v>1.6715994401483134</v>
      </c>
      <c r="AF253" s="10">
        <f t="shared" si="120"/>
        <v>17.237332399473861</v>
      </c>
      <c r="AG253" s="10">
        <f t="shared" si="121"/>
        <v>0</v>
      </c>
      <c r="AJ253">
        <v>4.3807764225057424</v>
      </c>
      <c r="AK253">
        <v>-63.405168113080016</v>
      </c>
      <c r="AL253">
        <v>-189.34283997252217</v>
      </c>
      <c r="AM253">
        <v>-70.450186792311129</v>
      </c>
      <c r="AN253">
        <v>-210.38093330280242</v>
      </c>
      <c r="AQ253">
        <v>251</v>
      </c>
      <c r="AR253">
        <f t="shared" si="93"/>
        <v>-3.9068178534858795</v>
      </c>
      <c r="AS253">
        <f t="shared" si="94"/>
        <v>-11.346222907191802</v>
      </c>
    </row>
    <row r="254" spans="4:45" x14ac:dyDescent="0.25">
      <c r="D254">
        <v>93</v>
      </c>
      <c r="E254">
        <f t="shared" si="97"/>
        <v>6.1099614363713899</v>
      </c>
      <c r="F254">
        <f t="shared" si="125"/>
        <v>10.328038112151527</v>
      </c>
      <c r="G254">
        <f t="shared" si="98"/>
        <v>6.0550674208207473</v>
      </c>
      <c r="H254">
        <f t="shared" si="122"/>
        <v>10.360316526502228</v>
      </c>
      <c r="I254">
        <f t="shared" si="123"/>
        <v>1.9193572065224847E-3</v>
      </c>
      <c r="J254">
        <f t="shared" si="99"/>
        <v>4.2228000000000083</v>
      </c>
      <c r="K254">
        <f t="shared" si="124"/>
        <v>1.940219784854251E-3</v>
      </c>
      <c r="L254">
        <f t="shared" si="100"/>
        <v>4.2291750000000077</v>
      </c>
      <c r="M254" s="7">
        <f t="shared" si="101"/>
        <v>6.1099614363713899</v>
      </c>
      <c r="N254" s="7">
        <f t="shared" si="102"/>
        <v>10.328038112151527</v>
      </c>
      <c r="O254" s="7">
        <f t="shared" si="103"/>
        <v>6.0550674208207473</v>
      </c>
      <c r="P254">
        <f t="shared" si="104"/>
        <v>10.360316526502228</v>
      </c>
      <c r="Q254" s="7">
        <f t="shared" si="105"/>
        <v>4.2228000000000083</v>
      </c>
      <c r="R254" s="7">
        <f t="shared" si="106"/>
        <v>4.2291750000000077</v>
      </c>
      <c r="S254" s="7">
        <f t="shared" si="107"/>
        <v>0.82970375474044589</v>
      </c>
      <c r="T254" s="7">
        <f t="shared" si="108"/>
        <v>8.5825859865520027</v>
      </c>
      <c r="U254" s="7">
        <f t="shared" si="109"/>
        <v>-2.5233567939616086</v>
      </c>
      <c r="V254">
        <f t="shared" si="110"/>
        <v>-6.0550674208207473</v>
      </c>
      <c r="W254">
        <f t="shared" si="111"/>
        <v>10.360316526502228</v>
      </c>
      <c r="X254">
        <f t="shared" si="112"/>
        <v>-6.1099614363713899</v>
      </c>
      <c r="Y254" s="10">
        <f t="shared" si="113"/>
        <v>10.328038112151527</v>
      </c>
      <c r="Z254" s="10">
        <f t="shared" si="114"/>
        <v>4.2291750000000077</v>
      </c>
      <c r="AA254" s="10">
        <f t="shared" si="115"/>
        <v>4.2228000000000083</v>
      </c>
      <c r="AB254" s="7">
        <f t="shared" si="116"/>
        <v>0.82970375474044589</v>
      </c>
      <c r="AC254" s="7">
        <f t="shared" si="117"/>
        <v>8.5825859865520027</v>
      </c>
      <c r="AD254" s="7">
        <f t="shared" si="118"/>
        <v>2.5233567939616086</v>
      </c>
      <c r="AE254" s="10">
        <f t="shared" si="119"/>
        <v>1.6594075094808918</v>
      </c>
      <c r="AF254" s="10">
        <f t="shared" si="120"/>
        <v>17.165171973104005</v>
      </c>
      <c r="AG254" s="10">
        <f t="shared" si="121"/>
        <v>0</v>
      </c>
      <c r="AJ254">
        <v>4.3982297150256855</v>
      </c>
      <c r="AK254">
        <v>-60.018280195393508</v>
      </c>
      <c r="AL254">
        <v>-190.01947692324214</v>
      </c>
      <c r="AM254">
        <v>-66.686977994881673</v>
      </c>
      <c r="AN254">
        <v>-211.13275213693569</v>
      </c>
      <c r="AQ254">
        <v>252</v>
      </c>
      <c r="AR254">
        <f t="shared" si="93"/>
        <v>-3.7082039324993707</v>
      </c>
      <c r="AS254">
        <f t="shared" si="94"/>
        <v>-11.412678195541842</v>
      </c>
    </row>
    <row r="255" spans="4:45" x14ac:dyDescent="0.25">
      <c r="D255">
        <v>94</v>
      </c>
      <c r="E255">
        <f t="shared" si="97"/>
        <v>6.0550674208207473</v>
      </c>
      <c r="F255">
        <f t="shared" si="125"/>
        <v>10.360316526502228</v>
      </c>
      <c r="G255">
        <f t="shared" si="98"/>
        <v>5.999497511905318</v>
      </c>
      <c r="H255">
        <f t="shared" si="122"/>
        <v>10.392594940852929</v>
      </c>
      <c r="I255">
        <f t="shared" si="123"/>
        <v>1.940219784854251E-3</v>
      </c>
      <c r="J255">
        <f t="shared" si="99"/>
        <v>4.2291750000000077</v>
      </c>
      <c r="K255">
        <f t="shared" si="124"/>
        <v>1.9610823631860171E-3</v>
      </c>
      <c r="L255">
        <f t="shared" si="100"/>
        <v>4.2347000000000063</v>
      </c>
      <c r="M255" s="7">
        <f t="shared" si="101"/>
        <v>6.0550674208207473</v>
      </c>
      <c r="N255" s="7">
        <f t="shared" si="102"/>
        <v>10.360316526502228</v>
      </c>
      <c r="O255" s="7">
        <f t="shared" si="103"/>
        <v>5.999497511905318</v>
      </c>
      <c r="P255">
        <f t="shared" si="104"/>
        <v>10.392594940852929</v>
      </c>
      <c r="Q255" s="7">
        <f t="shared" si="105"/>
        <v>4.2291750000000077</v>
      </c>
      <c r="R255" s="7">
        <f t="shared" si="106"/>
        <v>4.2347000000000063</v>
      </c>
      <c r="S255" s="7">
        <f t="shared" si="107"/>
        <v>0.82332735817261693</v>
      </c>
      <c r="T255" s="7">
        <f t="shared" si="108"/>
        <v>8.5432023593122519</v>
      </c>
      <c r="U255" s="7">
        <f t="shared" si="109"/>
        <v>-2.4812283621504587</v>
      </c>
      <c r="V255">
        <f t="shared" si="110"/>
        <v>-5.999497511905318</v>
      </c>
      <c r="W255">
        <f t="shared" si="111"/>
        <v>10.392594940852929</v>
      </c>
      <c r="X255">
        <f t="shared" si="112"/>
        <v>-6.0550674208207473</v>
      </c>
      <c r="Y255" s="10">
        <f t="shared" si="113"/>
        <v>10.360316526502228</v>
      </c>
      <c r="Z255" s="10">
        <f t="shared" si="114"/>
        <v>4.2347000000000063</v>
      </c>
      <c r="AA255" s="10">
        <f t="shared" si="115"/>
        <v>4.2291750000000077</v>
      </c>
      <c r="AB255" s="7">
        <f t="shared" si="116"/>
        <v>0.82332735817261693</v>
      </c>
      <c r="AC255" s="7">
        <f t="shared" si="117"/>
        <v>8.5432023593122519</v>
      </c>
      <c r="AD255" s="7">
        <f t="shared" si="118"/>
        <v>2.4812283621504587</v>
      </c>
      <c r="AE255" s="10">
        <f t="shared" si="119"/>
        <v>1.6466547163452339</v>
      </c>
      <c r="AF255" s="10">
        <f t="shared" si="120"/>
        <v>17.086404718624504</v>
      </c>
      <c r="AG255" s="10">
        <f t="shared" si="121"/>
        <v>0</v>
      </c>
      <c r="AJ255">
        <v>4.4156830075456286</v>
      </c>
      <c r="AK255">
        <v>-56.171945081059896</v>
      </c>
      <c r="AL255">
        <v>-190.85677139565286</v>
      </c>
      <c r="AM255">
        <v>-62.413272312288768</v>
      </c>
      <c r="AN255">
        <v>-212.06307932850316</v>
      </c>
      <c r="AQ255">
        <v>253</v>
      </c>
      <c r="AR255">
        <f t="shared" si="93"/>
        <v>-3.5084604566728452</v>
      </c>
      <c r="AS255">
        <f t="shared" si="94"/>
        <v>-11.475657071556423</v>
      </c>
    </row>
    <row r="256" spans="4:45" x14ac:dyDescent="0.25">
      <c r="D256">
        <v>95</v>
      </c>
      <c r="E256">
        <f t="shared" si="97"/>
        <v>5.999497511905318</v>
      </c>
      <c r="F256">
        <f t="shared" si="125"/>
        <v>10.392594940852929</v>
      </c>
      <c r="G256">
        <f t="shared" si="98"/>
        <v>5.9432327506135421</v>
      </c>
      <c r="H256">
        <f t="shared" si="122"/>
        <v>10.42487335520363</v>
      </c>
      <c r="I256">
        <f t="shared" si="123"/>
        <v>1.9610823631860171E-3</v>
      </c>
      <c r="J256">
        <f t="shared" si="99"/>
        <v>4.2347000000000063</v>
      </c>
      <c r="K256">
        <f t="shared" si="124"/>
        <v>1.9819449415177832E-3</v>
      </c>
      <c r="L256">
        <f t="shared" si="100"/>
        <v>4.2393750000000052</v>
      </c>
      <c r="M256" s="7">
        <f t="shared" si="101"/>
        <v>5.999497511905318</v>
      </c>
      <c r="N256" s="7">
        <f t="shared" si="102"/>
        <v>10.392594940852929</v>
      </c>
      <c r="O256" s="7">
        <f t="shared" si="103"/>
        <v>5.9432327506135421</v>
      </c>
      <c r="P256">
        <f t="shared" si="104"/>
        <v>10.42487335520363</v>
      </c>
      <c r="Q256" s="7">
        <f t="shared" si="105"/>
        <v>4.2347000000000063</v>
      </c>
      <c r="R256" s="7">
        <f t="shared" si="106"/>
        <v>4.2393750000000052</v>
      </c>
      <c r="S256" s="7">
        <f t="shared" si="107"/>
        <v>0.81667216114332264</v>
      </c>
      <c r="T256" s="7">
        <f t="shared" si="108"/>
        <v>8.5005051365999726</v>
      </c>
      <c r="U256" s="7">
        <f t="shared" si="109"/>
        <v>-2.4383397608674011</v>
      </c>
      <c r="V256">
        <f t="shared" si="110"/>
        <v>-5.9432327506135421</v>
      </c>
      <c r="W256">
        <f t="shared" si="111"/>
        <v>10.42487335520363</v>
      </c>
      <c r="X256">
        <f t="shared" si="112"/>
        <v>-5.999497511905318</v>
      </c>
      <c r="Y256" s="10">
        <f t="shared" si="113"/>
        <v>10.392594940852929</v>
      </c>
      <c r="Z256" s="10">
        <f t="shared" si="114"/>
        <v>4.2393750000000052</v>
      </c>
      <c r="AA256" s="10">
        <f t="shared" si="115"/>
        <v>4.2347000000000063</v>
      </c>
      <c r="AB256" s="7">
        <f t="shared" si="116"/>
        <v>0.81667216114332264</v>
      </c>
      <c r="AC256" s="7">
        <f t="shared" si="117"/>
        <v>8.5005051365999709</v>
      </c>
      <c r="AD256" s="7">
        <f t="shared" si="118"/>
        <v>2.4383397608674016</v>
      </c>
      <c r="AE256" s="10">
        <f t="shared" si="119"/>
        <v>1.6333443222866453</v>
      </c>
      <c r="AF256" s="10">
        <f t="shared" si="120"/>
        <v>17.001010273199945</v>
      </c>
      <c r="AG256" s="10">
        <f t="shared" si="121"/>
        <v>0</v>
      </c>
      <c r="AJ256">
        <v>4.4331363000655717</v>
      </c>
      <c r="AK256">
        <v>-52.817211119980563</v>
      </c>
      <c r="AL256">
        <v>-191.41389497226274</v>
      </c>
      <c r="AM256">
        <v>-58.685790133311734</v>
      </c>
      <c r="AN256">
        <v>-212.68210552473636</v>
      </c>
      <c r="AQ256">
        <v>254</v>
      </c>
      <c r="AR256">
        <f t="shared" si="93"/>
        <v>-3.3076482698039866</v>
      </c>
      <c r="AS256">
        <f t="shared" si="94"/>
        <v>-11.535140351259829</v>
      </c>
    </row>
    <row r="257" spans="4:45" x14ac:dyDescent="0.25">
      <c r="D257">
        <v>96</v>
      </c>
      <c r="E257">
        <f t="shared" si="97"/>
        <v>5.9432327506135421</v>
      </c>
      <c r="F257">
        <f t="shared" si="125"/>
        <v>10.42487335520363</v>
      </c>
      <c r="G257">
        <f t="shared" si="98"/>
        <v>5.8862532113821535</v>
      </c>
      <c r="H257">
        <f t="shared" si="122"/>
        <v>10.457151769554331</v>
      </c>
      <c r="I257">
        <f t="shared" si="123"/>
        <v>1.9819449415177832E-3</v>
      </c>
      <c r="J257">
        <f t="shared" si="99"/>
        <v>4.2393750000000052</v>
      </c>
      <c r="K257">
        <f t="shared" si="124"/>
        <v>2.0028075198495494E-3</v>
      </c>
      <c r="L257">
        <f t="shared" si="100"/>
        <v>4.2432000000000043</v>
      </c>
      <c r="M257" s="7">
        <f t="shared" si="101"/>
        <v>5.9432327506135421</v>
      </c>
      <c r="N257" s="7">
        <f t="shared" si="102"/>
        <v>10.42487335520363</v>
      </c>
      <c r="O257" s="7">
        <f t="shared" si="103"/>
        <v>5.8862532113821535</v>
      </c>
      <c r="P257">
        <f t="shared" si="104"/>
        <v>10.457151769554331</v>
      </c>
      <c r="Q257" s="7">
        <f t="shared" si="105"/>
        <v>4.2393750000000052</v>
      </c>
      <c r="R257" s="7">
        <f t="shared" si="106"/>
        <v>4.2432000000000043</v>
      </c>
      <c r="S257" s="7">
        <f t="shared" si="107"/>
        <v>0.80973976615930121</v>
      </c>
      <c r="T257" s="7">
        <f t="shared" si="108"/>
        <v>8.4544840524157134</v>
      </c>
      <c r="U257" s="7">
        <f t="shared" si="109"/>
        <v>-2.3947180852199765</v>
      </c>
      <c r="V257">
        <f t="shared" si="110"/>
        <v>-5.8862532113821535</v>
      </c>
      <c r="W257">
        <f t="shared" si="111"/>
        <v>10.457151769554331</v>
      </c>
      <c r="X257">
        <f t="shared" si="112"/>
        <v>-5.9432327506135421</v>
      </c>
      <c r="Y257" s="10">
        <f t="shared" si="113"/>
        <v>10.42487335520363</v>
      </c>
      <c r="Z257" s="10">
        <f t="shared" si="114"/>
        <v>4.2432000000000043</v>
      </c>
      <c r="AA257" s="10">
        <f t="shared" si="115"/>
        <v>4.2393750000000052</v>
      </c>
      <c r="AB257" s="7">
        <f t="shared" si="116"/>
        <v>0.80973976615930121</v>
      </c>
      <c r="AC257" s="7">
        <f t="shared" si="117"/>
        <v>8.4544840524157134</v>
      </c>
      <c r="AD257" s="7">
        <f t="shared" si="118"/>
        <v>2.3947180852199765</v>
      </c>
      <c r="AE257" s="10">
        <f t="shared" si="119"/>
        <v>1.6194795323186024</v>
      </c>
      <c r="AF257" s="10">
        <f t="shared" si="120"/>
        <v>16.908968104831427</v>
      </c>
      <c r="AG257" s="10">
        <f t="shared" si="121"/>
        <v>0</v>
      </c>
      <c r="AJ257">
        <v>4.4505895925855148</v>
      </c>
      <c r="AK257">
        <v>-49.469728429865874</v>
      </c>
      <c r="AL257">
        <v>-191.93010647165698</v>
      </c>
      <c r="AM257">
        <v>-54.96636492207319</v>
      </c>
      <c r="AN257">
        <v>-213.25567385739663</v>
      </c>
      <c r="AQ257">
        <v>255</v>
      </c>
      <c r="AR257">
        <f t="shared" si="93"/>
        <v>-3.1058285412302475</v>
      </c>
      <c r="AS257">
        <f t="shared" si="94"/>
        <v>-11.59110991546882</v>
      </c>
    </row>
    <row r="258" spans="4:45" x14ac:dyDescent="0.25">
      <c r="D258">
        <v>97</v>
      </c>
      <c r="E258">
        <f t="shared" si="97"/>
        <v>5.8862532113821535</v>
      </c>
      <c r="F258">
        <f t="shared" si="125"/>
        <v>10.457151769554331</v>
      </c>
      <c r="G258">
        <f t="shared" si="98"/>
        <v>5.8285379313325256</v>
      </c>
      <c r="H258">
        <f t="shared" si="122"/>
        <v>10.489430183905032</v>
      </c>
      <c r="I258">
        <f t="shared" si="123"/>
        <v>2.0028075198495494E-3</v>
      </c>
      <c r="J258">
        <f t="shared" si="99"/>
        <v>4.2432000000000043</v>
      </c>
      <c r="K258">
        <f t="shared" si="124"/>
        <v>2.0236700981813155E-3</v>
      </c>
      <c r="L258">
        <f t="shared" si="100"/>
        <v>4.2461750000000027</v>
      </c>
      <c r="M258" s="7">
        <f t="shared" si="101"/>
        <v>5.8862532113821535</v>
      </c>
      <c r="N258" s="7">
        <f t="shared" si="102"/>
        <v>10.457151769554331</v>
      </c>
      <c r="O258" s="7">
        <f t="shared" si="103"/>
        <v>5.8285379313325256</v>
      </c>
      <c r="P258">
        <f t="shared" si="104"/>
        <v>10.489430183905032</v>
      </c>
      <c r="Q258" s="7">
        <f t="shared" si="105"/>
        <v>4.2432000000000043</v>
      </c>
      <c r="R258" s="7">
        <f t="shared" si="106"/>
        <v>4.2461750000000027</v>
      </c>
      <c r="S258" s="7">
        <f t="shared" si="107"/>
        <v>0.80253174274998829</v>
      </c>
      <c r="T258" s="7">
        <f t="shared" si="108"/>
        <v>8.4051287022712913</v>
      </c>
      <c r="U258" s="7">
        <f t="shared" si="109"/>
        <v>-2.3503906016847238</v>
      </c>
      <c r="V258">
        <f t="shared" si="110"/>
        <v>-5.8285379313325256</v>
      </c>
      <c r="W258">
        <f t="shared" si="111"/>
        <v>10.489430183905032</v>
      </c>
      <c r="X258">
        <f t="shared" si="112"/>
        <v>-5.8862532113821535</v>
      </c>
      <c r="Y258" s="10">
        <f t="shared" si="113"/>
        <v>10.457151769554331</v>
      </c>
      <c r="Z258" s="10">
        <f t="shared" si="114"/>
        <v>4.2461750000000027</v>
      </c>
      <c r="AA258" s="10">
        <f t="shared" si="115"/>
        <v>4.2432000000000043</v>
      </c>
      <c r="AB258" s="7">
        <f t="shared" si="116"/>
        <v>0.80253174274998829</v>
      </c>
      <c r="AC258" s="7">
        <f t="shared" si="117"/>
        <v>8.4051287022712913</v>
      </c>
      <c r="AD258" s="7">
        <f t="shared" si="118"/>
        <v>2.3503906016847238</v>
      </c>
      <c r="AE258" s="10">
        <f t="shared" si="119"/>
        <v>1.6050634854999766</v>
      </c>
      <c r="AF258" s="10">
        <f t="shared" si="120"/>
        <v>16.810257404542583</v>
      </c>
      <c r="AG258" s="10">
        <f t="shared" si="121"/>
        <v>0</v>
      </c>
      <c r="AJ258">
        <v>4.4680428851054579</v>
      </c>
      <c r="AK258">
        <v>-46.129611060944889</v>
      </c>
      <c r="AL258">
        <v>-192.40658235522938</v>
      </c>
      <c r="AM258">
        <v>-51.255123401049872</v>
      </c>
      <c r="AN258">
        <v>-213.78509150581041</v>
      </c>
      <c r="AQ258">
        <v>256</v>
      </c>
      <c r="AR258">
        <f t="shared" si="93"/>
        <v>-2.9030627471960133</v>
      </c>
      <c r="AS258">
        <f t="shared" si="94"/>
        <v>-11.643548715311958</v>
      </c>
    </row>
    <row r="259" spans="4:45" x14ac:dyDescent="0.25">
      <c r="D259">
        <v>98</v>
      </c>
      <c r="E259">
        <f t="shared" si="97"/>
        <v>5.8285379313325256</v>
      </c>
      <c r="F259">
        <f t="shared" si="125"/>
        <v>10.489430183905032</v>
      </c>
      <c r="G259">
        <f t="shared" si="98"/>
        <v>5.7700648326852768</v>
      </c>
      <c r="H259">
        <f t="shared" si="122"/>
        <v>10.521708598255733</v>
      </c>
      <c r="I259">
        <f t="shared" si="123"/>
        <v>2.0236700981813155E-3</v>
      </c>
      <c r="J259">
        <f t="shared" si="99"/>
        <v>4.2461750000000027</v>
      </c>
      <c r="K259">
        <f t="shared" si="124"/>
        <v>2.0445326765130816E-3</v>
      </c>
      <c r="L259">
        <f t="shared" si="100"/>
        <v>4.2483000000000022</v>
      </c>
      <c r="M259" s="7">
        <f t="shared" si="101"/>
        <v>5.8285379313325256</v>
      </c>
      <c r="N259" s="7">
        <f t="shared" si="102"/>
        <v>10.489430183905032</v>
      </c>
      <c r="O259" s="7">
        <f t="shared" si="103"/>
        <v>5.7700648326852768</v>
      </c>
      <c r="P259">
        <f t="shared" si="104"/>
        <v>10.521708598255733</v>
      </c>
      <c r="Q259" s="7">
        <f t="shared" si="105"/>
        <v>4.2461750000000027</v>
      </c>
      <c r="R259" s="7">
        <f t="shared" si="106"/>
        <v>4.2483000000000022</v>
      </c>
      <c r="S259" s="7">
        <f t="shared" si="107"/>
        <v>0.79504962222136322</v>
      </c>
      <c r="T259" s="7">
        <f t="shared" si="108"/>
        <v>8.3524284827521811</v>
      </c>
      <c r="U259" s="7">
        <f t="shared" si="109"/>
        <v>-2.3053847480912175</v>
      </c>
      <c r="V259">
        <f t="shared" si="110"/>
        <v>-5.7700648326852768</v>
      </c>
      <c r="W259">
        <f t="shared" si="111"/>
        <v>10.521708598255733</v>
      </c>
      <c r="X259">
        <f t="shared" si="112"/>
        <v>-5.8285379313325256</v>
      </c>
      <c r="Y259" s="10">
        <f t="shared" si="113"/>
        <v>10.489430183905032</v>
      </c>
      <c r="Z259" s="10">
        <f t="shared" si="114"/>
        <v>4.2483000000000022</v>
      </c>
      <c r="AA259" s="10">
        <f t="shared" si="115"/>
        <v>4.2461750000000027</v>
      </c>
      <c r="AB259" s="7">
        <f t="shared" si="116"/>
        <v>0.79504962222136322</v>
      </c>
      <c r="AC259" s="7">
        <f t="shared" si="117"/>
        <v>8.3524284827521811</v>
      </c>
      <c r="AD259" s="7">
        <f t="shared" si="118"/>
        <v>2.3053847480912175</v>
      </c>
      <c r="AE259" s="10">
        <f t="shared" si="119"/>
        <v>1.5900992444427264</v>
      </c>
      <c r="AF259" s="10">
        <f t="shared" si="120"/>
        <v>16.704856965504362</v>
      </c>
      <c r="AG259" s="10">
        <f t="shared" si="121"/>
        <v>0</v>
      </c>
      <c r="AJ259">
        <v>4.485496177625401</v>
      </c>
      <c r="AK259">
        <v>-42.796878835695239</v>
      </c>
      <c r="AL259">
        <v>-192.84447218861595</v>
      </c>
      <c r="AM259">
        <v>-47.552087595216932</v>
      </c>
      <c r="AN259">
        <v>-214.27163576512882</v>
      </c>
      <c r="AQ259">
        <v>257</v>
      </c>
      <c r="AR259">
        <f t="shared" ref="AR259:AR322" si="126">$B$3*COS(RADIANS(AQ259))</f>
        <v>-2.6994126521263828</v>
      </c>
      <c r="AS259">
        <f t="shared" ref="AS259:AS322" si="127">$B$3*SIN(RADIANS(AQ259))</f>
        <v>-11.692440777422821</v>
      </c>
    </row>
    <row r="260" spans="4:45" x14ac:dyDescent="0.25">
      <c r="D260">
        <v>99</v>
      </c>
      <c r="E260">
        <f t="shared" si="97"/>
        <v>5.7700648326852768</v>
      </c>
      <c r="F260">
        <f t="shared" si="125"/>
        <v>10.521708598255733</v>
      </c>
      <c r="G260">
        <f t="shared" si="98"/>
        <v>5.7108106375307797</v>
      </c>
      <c r="H260">
        <f t="shared" si="122"/>
        <v>10.553987012606434</v>
      </c>
      <c r="I260">
        <f t="shared" si="123"/>
        <v>2.0445326765130816E-3</v>
      </c>
      <c r="J260">
        <f t="shared" si="99"/>
        <v>4.2483000000000022</v>
      </c>
      <c r="K260">
        <f t="shared" si="124"/>
        <v>2.0653952548448477E-3</v>
      </c>
      <c r="L260">
        <f t="shared" si="100"/>
        <v>4.249575000000001</v>
      </c>
      <c r="M260" s="7">
        <f t="shared" si="101"/>
        <v>5.7700648326852768</v>
      </c>
      <c r="N260" s="7">
        <f t="shared" si="102"/>
        <v>10.521708598255733</v>
      </c>
      <c r="O260" s="7">
        <f t="shared" si="103"/>
        <v>5.7108106375307797</v>
      </c>
      <c r="P260">
        <f t="shared" si="104"/>
        <v>10.553987012606434</v>
      </c>
      <c r="Q260" s="7">
        <f t="shared" si="105"/>
        <v>4.2483000000000022</v>
      </c>
      <c r="R260" s="7">
        <f t="shared" si="106"/>
        <v>4.249575000000001</v>
      </c>
      <c r="S260" s="7">
        <f t="shared" si="107"/>
        <v>0.78729489180582668</v>
      </c>
      <c r="T260" s="7">
        <f t="shared" si="108"/>
        <v>8.2963725236991053</v>
      </c>
      <c r="U260" s="7">
        <f t="shared" si="109"/>
        <v>-2.2597281336039767</v>
      </c>
      <c r="V260">
        <f t="shared" si="110"/>
        <v>-5.7108106375307797</v>
      </c>
      <c r="W260">
        <f t="shared" si="111"/>
        <v>10.553987012606434</v>
      </c>
      <c r="X260">
        <f t="shared" si="112"/>
        <v>-5.7700648326852768</v>
      </c>
      <c r="Y260" s="10">
        <f t="shared" si="113"/>
        <v>10.521708598255733</v>
      </c>
      <c r="Z260" s="10">
        <f t="shared" si="114"/>
        <v>4.249575000000001</v>
      </c>
      <c r="AA260" s="10">
        <f t="shared" si="115"/>
        <v>4.2483000000000022</v>
      </c>
      <c r="AB260" s="7">
        <f t="shared" si="116"/>
        <v>0.78729489180582668</v>
      </c>
      <c r="AC260" s="7">
        <f t="shared" si="117"/>
        <v>8.2963725236991053</v>
      </c>
      <c r="AD260" s="7">
        <f t="shared" si="118"/>
        <v>2.2597281336039772</v>
      </c>
      <c r="AE260" s="10">
        <f t="shared" si="119"/>
        <v>1.5745897836116534</v>
      </c>
      <c r="AF260" s="10">
        <f t="shared" si="120"/>
        <v>16.592745047398211</v>
      </c>
      <c r="AG260" s="10">
        <f t="shared" si="121"/>
        <v>0</v>
      </c>
      <c r="AJ260">
        <v>4.5029494701453441</v>
      </c>
      <c r="AK260">
        <v>-39.471458888879326</v>
      </c>
      <c r="AL260">
        <v>-193.24489052422894</v>
      </c>
      <c r="AM260">
        <v>-43.857176543199252</v>
      </c>
      <c r="AN260">
        <v>-214.71654502692104</v>
      </c>
      <c r="AQ260">
        <v>258</v>
      </c>
      <c r="AR260">
        <f t="shared" si="126"/>
        <v>-2.4949402898131172</v>
      </c>
      <c r="AS260">
        <f t="shared" si="127"/>
        <v>-11.737771208805666</v>
      </c>
    </row>
    <row r="261" spans="4:45" x14ac:dyDescent="0.25">
      <c r="D261">
        <v>100</v>
      </c>
      <c r="E261">
        <f t="shared" si="97"/>
        <v>5.7108106375307797</v>
      </c>
      <c r="F261">
        <f t="shared" si="125"/>
        <v>10.553987012606434</v>
      </c>
      <c r="G261">
        <f t="shared" si="98"/>
        <v>5.6507507740133134</v>
      </c>
      <c r="H261">
        <f t="shared" si="122"/>
        <v>10.586265426957135</v>
      </c>
      <c r="I261">
        <f t="shared" si="123"/>
        <v>2.0653952548448477E-3</v>
      </c>
      <c r="J261">
        <f t="shared" si="99"/>
        <v>4.249575000000001</v>
      </c>
      <c r="K261">
        <f t="shared" si="124"/>
        <v>2.0862578331766139E-3</v>
      </c>
      <c r="L261">
        <f t="shared" si="100"/>
        <v>4.25</v>
      </c>
      <c r="M261" s="7">
        <f t="shared" si="101"/>
        <v>5.7108106375307797</v>
      </c>
      <c r="N261" s="7">
        <f t="shared" si="102"/>
        <v>10.553987012606434</v>
      </c>
      <c r="O261" s="7">
        <f t="shared" si="103"/>
        <v>5.6507507740133134</v>
      </c>
      <c r="P261">
        <f t="shared" si="104"/>
        <v>10.586265426957135</v>
      </c>
      <c r="Q261" s="7">
        <f t="shared" si="105"/>
        <v>4.249575000000001</v>
      </c>
      <c r="R261" s="7">
        <f t="shared" si="106"/>
        <v>4.25</v>
      </c>
      <c r="S261" s="7">
        <f t="shared" si="107"/>
        <v>0.77926898812843282</v>
      </c>
      <c r="T261" s="7">
        <f t="shared" si="108"/>
        <v>8.2369496120302177</v>
      </c>
      <c r="U261" s="7">
        <f t="shared" si="109"/>
        <v>-2.2134485387019307</v>
      </c>
      <c r="V261">
        <f t="shared" si="110"/>
        <v>-5.6507507740133134</v>
      </c>
      <c r="W261">
        <f t="shared" si="111"/>
        <v>10.586265426957135</v>
      </c>
      <c r="X261">
        <f t="shared" si="112"/>
        <v>-5.7108106375307797</v>
      </c>
      <c r="Y261" s="10">
        <f t="shared" si="113"/>
        <v>10.553987012606434</v>
      </c>
      <c r="Z261" s="10">
        <f t="shared" si="114"/>
        <v>4.25</v>
      </c>
      <c r="AA261" s="10">
        <f t="shared" si="115"/>
        <v>4.249575000000001</v>
      </c>
      <c r="AB261" s="7">
        <f t="shared" si="116"/>
        <v>0.77926898812843282</v>
      </c>
      <c r="AC261" s="7">
        <f t="shared" si="117"/>
        <v>8.2369496120302177</v>
      </c>
      <c r="AD261" s="7">
        <f t="shared" si="118"/>
        <v>2.2134485387019307</v>
      </c>
      <c r="AE261" s="10">
        <f t="shared" si="119"/>
        <v>1.5585379762568656</v>
      </c>
      <c r="AF261" s="10">
        <f t="shared" si="120"/>
        <v>16.473899224060435</v>
      </c>
      <c r="AG261" s="10">
        <f t="shared" si="121"/>
        <v>0</v>
      </c>
      <c r="AJ261">
        <v>4.5204027626652872</v>
      </c>
      <c r="AK261">
        <v>-36.153187973802488</v>
      </c>
      <c r="AL261">
        <v>-193.60890878473325</v>
      </c>
      <c r="AM261">
        <v>-40.170208859780544</v>
      </c>
      <c r="AN261">
        <v>-215.1210097608147</v>
      </c>
      <c r="AQ261">
        <v>259</v>
      </c>
      <c r="AR261">
        <f t="shared" si="126"/>
        <v>-2.2897079445185353</v>
      </c>
      <c r="AS261">
        <f t="shared" si="127"/>
        <v>-11.779526201371969</v>
      </c>
    </row>
    <row r="262" spans="4:45" x14ac:dyDescent="0.25">
      <c r="M262" s="9"/>
      <c r="AE262" s="10">
        <f>SUM(AE162:AE261)</f>
        <v>135.05171232897351</v>
      </c>
      <c r="AF262" s="10">
        <f t="shared" ref="AF262:AG262" si="128">SUM(AF162:AF261)</f>
        <v>1252.2344331471752</v>
      </c>
      <c r="AG262" s="10">
        <f t="shared" si="128"/>
        <v>0</v>
      </c>
      <c r="AJ262">
        <v>4.5378560551852303</v>
      </c>
      <c r="AK262">
        <v>-32.841815572225933</v>
      </c>
      <c r="AL262">
        <v>-193.93754730431877</v>
      </c>
      <c r="AM262">
        <v>-36.49090619136215</v>
      </c>
      <c r="AN262">
        <v>-215.48616367146531</v>
      </c>
      <c r="AQ262">
        <v>260</v>
      </c>
      <c r="AR262">
        <f t="shared" si="126"/>
        <v>-2.0837781320031641</v>
      </c>
      <c r="AS262">
        <f t="shared" si="127"/>
        <v>-11.817693036146496</v>
      </c>
    </row>
    <row r="263" spans="4:45" x14ac:dyDescent="0.25">
      <c r="M263" s="9"/>
      <c r="AE263" s="10">
        <f>L145/1000</f>
        <v>45.830821145261289</v>
      </c>
      <c r="AF263" s="10">
        <f>O145/1000</f>
        <v>511.22976386364405</v>
      </c>
      <c r="AG263" s="10">
        <f>R145/1000</f>
        <v>0</v>
      </c>
      <c r="AJ263">
        <v>4.5553093477051734</v>
      </c>
      <c r="AK263">
        <v>-29.537007788665921</v>
      </c>
      <c r="AL263">
        <v>-194.23176757763693</v>
      </c>
      <c r="AM263">
        <v>-32.818897542962134</v>
      </c>
      <c r="AN263">
        <v>-215.81307508626324</v>
      </c>
      <c r="AQ263">
        <v>261</v>
      </c>
      <c r="AR263">
        <f t="shared" si="126"/>
        <v>-1.8772135804827723</v>
      </c>
      <c r="AS263">
        <f t="shared" si="127"/>
        <v>-11.852260087141651</v>
      </c>
    </row>
    <row r="264" spans="4:45" x14ac:dyDescent="0.25">
      <c r="M264" s="9"/>
      <c r="AJ264">
        <v>4.5727626402251165</v>
      </c>
      <c r="AK264">
        <v>-26.238352016755766</v>
      </c>
      <c r="AL264">
        <v>-194.49246480328105</v>
      </c>
      <c r="AM264">
        <v>-29.153724463061963</v>
      </c>
      <c r="AN264">
        <v>-216.10273867031228</v>
      </c>
      <c r="AQ264">
        <v>262</v>
      </c>
      <c r="AR264">
        <f t="shared" si="126"/>
        <v>-1.6700772115207898</v>
      </c>
      <c r="AS264">
        <f t="shared" si="127"/>
        <v>-11.883216824898843</v>
      </c>
    </row>
    <row r="265" spans="4:45" x14ac:dyDescent="0.25">
      <c r="M265" s="9"/>
      <c r="AJ265">
        <v>4.5902159327450596</v>
      </c>
      <c r="AK265">
        <v>-22.945362353636195</v>
      </c>
      <c r="AL265">
        <v>-194.72046080381594</v>
      </c>
      <c r="AM265">
        <v>-25.49484705959577</v>
      </c>
      <c r="AN265">
        <v>-216.35606755979549</v>
      </c>
      <c r="AQ265">
        <v>263</v>
      </c>
      <c r="AR265">
        <f t="shared" si="126"/>
        <v>-1.4624321208617661</v>
      </c>
      <c r="AS265">
        <f t="shared" si="127"/>
        <v>-11.910553819695865</v>
      </c>
    </row>
    <row r="266" spans="4:45" x14ac:dyDescent="0.25">
      <c r="M266" s="9"/>
      <c r="AJ266">
        <v>4.6076692252650027</v>
      </c>
      <c r="AK266">
        <v>-19.6574857453787</v>
      </c>
      <c r="AL266">
        <v>-194.91649750047003</v>
      </c>
      <c r="AM266">
        <v>-21.841650828198556</v>
      </c>
      <c r="AN266">
        <v>-216.57388611163336</v>
      </c>
      <c r="AQ266">
        <v>264</v>
      </c>
      <c r="AR266">
        <f t="shared" si="126"/>
        <v>-1.2543415592118403</v>
      </c>
      <c r="AS266">
        <f t="shared" si="127"/>
        <v>-11.93426274441928</v>
      </c>
    </row>
    <row r="267" spans="4:45" x14ac:dyDescent="0.25">
      <c r="M267" s="9"/>
      <c r="AJ267">
        <v>4.6251225177849458</v>
      </c>
      <c r="AK267">
        <v>-16.374108775521201</v>
      </c>
      <c r="AL267">
        <v>-195.08123084825596</v>
      </c>
      <c r="AM267">
        <v>-18.193454195023556</v>
      </c>
      <c r="AN267">
        <v>-216.75692316472885</v>
      </c>
      <c r="AQ267">
        <v>265</v>
      </c>
      <c r="AR267">
        <f t="shared" si="126"/>
        <v>-1.045868912971899</v>
      </c>
      <c r="AS267">
        <f t="shared" si="127"/>
        <v>-11.954336377100947</v>
      </c>
    </row>
    <row r="268" spans="4:45" x14ac:dyDescent="0.25">
      <c r="M268" s="9"/>
      <c r="AJ268">
        <v>4.6425758103048889</v>
      </c>
      <c r="AK268">
        <v>-13.094565075694769</v>
      </c>
      <c r="AL268">
        <v>-195.21522545073014</v>
      </c>
      <c r="AM268">
        <v>-14.549516750771964</v>
      </c>
      <c r="AN268">
        <v>-216.90580605636683</v>
      </c>
      <c r="AQ268">
        <v>266</v>
      </c>
      <c r="AR268">
        <f t="shared" si="126"/>
        <v>-0.83707768492950696</v>
      </c>
      <c r="AS268">
        <f t="shared" si="127"/>
        <v>-11.970768603117889</v>
      </c>
    </row>
    <row r="269" spans="4:45" x14ac:dyDescent="0.25">
      <c r="M269" s="9"/>
      <c r="AJ269">
        <v>4.660029102824832</v>
      </c>
      <c r="AK269">
        <v>-9.8181432782396421</v>
      </c>
      <c r="AL269">
        <v>-195.31894988015466</v>
      </c>
      <c r="AM269">
        <v>-10.909048086932936</v>
      </c>
      <c r="AN269">
        <v>-217.02105542239406</v>
      </c>
      <c r="AQ269">
        <v>267</v>
      </c>
      <c r="AR269">
        <f t="shared" si="126"/>
        <v>-0.62803147491533173</v>
      </c>
      <c r="AS269">
        <f t="shared" si="127"/>
        <v>-11.983554417054886</v>
      </c>
    </row>
    <row r="270" spans="4:45" x14ac:dyDescent="0.25">
      <c r="M270" s="9"/>
      <c r="AJ270">
        <v>4.6774823953447751</v>
      </c>
      <c r="AK270">
        <v>-6.5440954336374917</v>
      </c>
      <c r="AL270">
        <v>-195.39277274867101</v>
      </c>
      <c r="AM270">
        <v>-7.2712171484861017</v>
      </c>
      <c r="AN270">
        <v>-217.10308083185666</v>
      </c>
      <c r="AQ270">
        <v>268</v>
      </c>
      <c r="AR270">
        <f t="shared" si="126"/>
        <v>-0.41879396043000916</v>
      </c>
      <c r="AS270">
        <f t="shared" si="127"/>
        <v>-11.992689924229149</v>
      </c>
    </row>
    <row r="271" spans="4:45" x14ac:dyDescent="0.25">
      <c r="M271" s="9"/>
      <c r="AJ271">
        <v>4.6949356878647182</v>
      </c>
      <c r="AK271">
        <v>-3.2716458126790231</v>
      </c>
      <c r="AL271">
        <v>-195.43695961238916</v>
      </c>
      <c r="AM271">
        <v>-3.6351620140878032</v>
      </c>
      <c r="AN271">
        <v>-217.15217734709907</v>
      </c>
      <c r="AQ271">
        <v>269</v>
      </c>
      <c r="AR271">
        <f t="shared" si="126"/>
        <v>-0.20942887724740197</v>
      </c>
      <c r="AS271">
        <f t="shared" si="127"/>
        <v>-11.998172341876696</v>
      </c>
    </row>
    <row r="272" spans="4:45" x14ac:dyDescent="0.25">
      <c r="M272" s="9"/>
      <c r="AJ272">
        <v>4.7123889803846613</v>
      </c>
      <c r="AK272">
        <v>-5.3661024136466574E-12</v>
      </c>
      <c r="AL272">
        <v>-195.45167071178824</v>
      </c>
      <c r="AM272">
        <v>-5.9623360151629524E-12</v>
      </c>
      <c r="AN272">
        <v>-217.16852301309802</v>
      </c>
      <c r="AQ272">
        <v>270</v>
      </c>
      <c r="AR272">
        <f t="shared" si="126"/>
        <v>-2.205267218835516E-15</v>
      </c>
      <c r="AS272">
        <f t="shared" si="127"/>
        <v>-12</v>
      </c>
    </row>
    <row r="273" spans="13:45" x14ac:dyDescent="0.25">
      <c r="M273" s="9"/>
      <c r="AJ273">
        <v>4.7298422729046044</v>
      </c>
      <c r="AK273">
        <v>3.2716458126680039</v>
      </c>
      <c r="AL273">
        <v>-195.43695961238902</v>
      </c>
      <c r="AM273">
        <v>3.6351620140755596</v>
      </c>
      <c r="AN273">
        <v>-217.1521773470989</v>
      </c>
      <c r="AQ273">
        <v>271</v>
      </c>
      <c r="AR273">
        <f t="shared" si="126"/>
        <v>0.20942887724739756</v>
      </c>
      <c r="AS273">
        <f t="shared" si="127"/>
        <v>-11.998172341876696</v>
      </c>
    </row>
    <row r="274" spans="13:45" x14ac:dyDescent="0.25">
      <c r="M274" s="9"/>
      <c r="AJ274">
        <v>4.7472955654245474</v>
      </c>
      <c r="AK274">
        <v>6.5440954336266302</v>
      </c>
      <c r="AL274">
        <v>-195.39277274866834</v>
      </c>
      <c r="AM274">
        <v>7.2712171484740331</v>
      </c>
      <c r="AN274">
        <v>-217.1030808318537</v>
      </c>
      <c r="AQ274">
        <v>272</v>
      </c>
      <c r="AR274">
        <f t="shared" si="126"/>
        <v>0.41879396043001538</v>
      </c>
      <c r="AS274">
        <f t="shared" si="127"/>
        <v>-11.992689924229149</v>
      </c>
    </row>
    <row r="275" spans="13:45" x14ac:dyDescent="0.25">
      <c r="M275" s="9"/>
      <c r="AJ275">
        <v>4.7647488579444905</v>
      </c>
      <c r="AK275">
        <v>9.8181432784538547</v>
      </c>
      <c r="AL275">
        <v>-195.31894988277818</v>
      </c>
      <c r="AM275">
        <v>10.90904808717095</v>
      </c>
      <c r="AN275">
        <v>-217.0210554253091</v>
      </c>
      <c r="AQ275">
        <v>273</v>
      </c>
      <c r="AR275">
        <f t="shared" si="126"/>
        <v>0.62803147491532729</v>
      </c>
      <c r="AS275">
        <f t="shared" si="127"/>
        <v>-11.983554417054886</v>
      </c>
    </row>
    <row r="276" spans="13:45" x14ac:dyDescent="0.25">
      <c r="M276" s="9"/>
      <c r="AJ276">
        <v>4.7822021504644336</v>
      </c>
      <c r="AK276">
        <v>13.094565075683336</v>
      </c>
      <c r="AL276">
        <v>-195.21522545073049</v>
      </c>
      <c r="AM276">
        <v>14.549516750759262</v>
      </c>
      <c r="AN276">
        <v>-216.9058060563672</v>
      </c>
      <c r="AQ276">
        <v>274</v>
      </c>
      <c r="AR276">
        <f t="shared" si="126"/>
        <v>0.83707768492950263</v>
      </c>
      <c r="AS276">
        <f t="shared" si="127"/>
        <v>-11.970768603117891</v>
      </c>
    </row>
    <row r="277" spans="13:45" x14ac:dyDescent="0.25">
      <c r="M277" s="9"/>
      <c r="AJ277">
        <v>4.7996554429843767</v>
      </c>
      <c r="AK277">
        <v>16.374108775510777</v>
      </c>
      <c r="AL277">
        <v>-195.08123084825692</v>
      </c>
      <c r="AM277">
        <v>18.193454195011974</v>
      </c>
      <c r="AN277">
        <v>-216.7569231647299</v>
      </c>
      <c r="AQ277">
        <v>275</v>
      </c>
      <c r="AR277">
        <f t="shared" si="126"/>
        <v>1.0458689129718945</v>
      </c>
      <c r="AS277">
        <f t="shared" si="127"/>
        <v>-11.954336377100947</v>
      </c>
    </row>
    <row r="278" spans="13:45" x14ac:dyDescent="0.25">
      <c r="M278" s="9"/>
      <c r="AJ278">
        <v>4.8171087355043198</v>
      </c>
      <c r="AK278">
        <v>19.657485745368163</v>
      </c>
      <c r="AL278">
        <v>-194.91649750047188</v>
      </c>
      <c r="AM278">
        <v>21.841650828186847</v>
      </c>
      <c r="AN278">
        <v>-216.5738861116354</v>
      </c>
      <c r="AQ278">
        <v>276</v>
      </c>
      <c r="AR278">
        <f t="shared" si="126"/>
        <v>1.2543415592118359</v>
      </c>
      <c r="AS278">
        <f t="shared" si="127"/>
        <v>-11.93426274441928</v>
      </c>
    </row>
    <row r="279" spans="13:45" x14ac:dyDescent="0.25">
      <c r="M279" s="9"/>
      <c r="AJ279">
        <v>4.8345620280242629</v>
      </c>
      <c r="AK279">
        <v>22.945362353625121</v>
      </c>
      <c r="AL279">
        <v>-194.72046080381662</v>
      </c>
      <c r="AM279">
        <v>25.494847059583467</v>
      </c>
      <c r="AN279">
        <v>-216.35606755979623</v>
      </c>
      <c r="AQ279">
        <v>277</v>
      </c>
      <c r="AR279">
        <f t="shared" si="126"/>
        <v>1.4624321208617723</v>
      </c>
      <c r="AS279">
        <f t="shared" si="127"/>
        <v>-11.910553819695863</v>
      </c>
    </row>
    <row r="280" spans="13:45" x14ac:dyDescent="0.25">
      <c r="M280" s="9"/>
      <c r="AJ280">
        <v>4.852015320544206</v>
      </c>
      <c r="AK280">
        <v>26.238352015679013</v>
      </c>
      <c r="AL280">
        <v>-194.49246479866261</v>
      </c>
      <c r="AM280">
        <v>29.153724461865568</v>
      </c>
      <c r="AN280">
        <v>-216.10273866518068</v>
      </c>
      <c r="AQ280">
        <v>278</v>
      </c>
      <c r="AR280">
        <f t="shared" si="126"/>
        <v>1.6700772115207856</v>
      </c>
      <c r="AS280">
        <f t="shared" si="127"/>
        <v>-11.883216824898845</v>
      </c>
    </row>
    <row r="281" spans="13:45" x14ac:dyDescent="0.25">
      <c r="M281" s="9"/>
      <c r="AJ281">
        <v>4.8694686130641491</v>
      </c>
      <c r="AK281">
        <v>29.537007788655032</v>
      </c>
      <c r="AL281">
        <v>-194.23176757763594</v>
      </c>
      <c r="AM281">
        <v>32.818897542950033</v>
      </c>
      <c r="AN281">
        <v>-215.81307508626213</v>
      </c>
      <c r="AQ281">
        <v>279</v>
      </c>
      <c r="AR281">
        <f t="shared" si="126"/>
        <v>1.8772135804827681</v>
      </c>
      <c r="AS281">
        <f t="shared" si="127"/>
        <v>-11.852260087141653</v>
      </c>
    </row>
    <row r="282" spans="13:45" x14ac:dyDescent="0.25">
      <c r="M282" s="9"/>
      <c r="AJ282">
        <v>4.8869219055840922</v>
      </c>
      <c r="AK282">
        <v>32.841815572214578</v>
      </c>
      <c r="AL282">
        <v>-193.93754730432042</v>
      </c>
      <c r="AM282">
        <v>36.490906191349531</v>
      </c>
      <c r="AN282">
        <v>-215.48616367146712</v>
      </c>
      <c r="AQ282">
        <v>280</v>
      </c>
      <c r="AR282">
        <f t="shared" si="126"/>
        <v>2.0837781320031596</v>
      </c>
      <c r="AS282">
        <f t="shared" si="127"/>
        <v>-11.817693036146498</v>
      </c>
    </row>
    <row r="283" spans="13:45" x14ac:dyDescent="0.25">
      <c r="M283" s="9"/>
      <c r="AJ283">
        <v>4.9043751981040353</v>
      </c>
      <c r="AK283">
        <v>36.153187973792519</v>
      </c>
      <c r="AL283">
        <v>-193.60890878473464</v>
      </c>
      <c r="AM283">
        <v>40.170208859769467</v>
      </c>
      <c r="AN283">
        <v>-215.12100976081626</v>
      </c>
      <c r="AQ283">
        <v>281</v>
      </c>
      <c r="AR283">
        <f t="shared" si="126"/>
        <v>2.2897079445185415</v>
      </c>
      <c r="AS283">
        <f t="shared" si="127"/>
        <v>-11.779526201371967</v>
      </c>
    </row>
    <row r="284" spans="13:45" x14ac:dyDescent="0.25">
      <c r="M284" s="9"/>
      <c r="AJ284">
        <v>4.9218284906239784</v>
      </c>
      <c r="AK284">
        <v>39.471458888868433</v>
      </c>
      <c r="AL284">
        <v>-193.24489052423019</v>
      </c>
      <c r="AM284">
        <v>43.857176543187144</v>
      </c>
      <c r="AN284">
        <v>-214.71654502692243</v>
      </c>
      <c r="AQ284">
        <v>282</v>
      </c>
      <c r="AR284">
        <f t="shared" si="126"/>
        <v>2.4949402898131132</v>
      </c>
      <c r="AS284">
        <f t="shared" si="127"/>
        <v>-11.737771208805666</v>
      </c>
    </row>
    <row r="285" spans="13:45" x14ac:dyDescent="0.25">
      <c r="M285" s="9"/>
      <c r="AJ285">
        <v>4.9392817831439215</v>
      </c>
      <c r="AK285">
        <v>42.79687883568424</v>
      </c>
      <c r="AL285">
        <v>-192.84447218861777</v>
      </c>
      <c r="AM285">
        <v>47.552087595204711</v>
      </c>
      <c r="AN285">
        <v>-214.27163576513084</v>
      </c>
      <c r="AQ285">
        <v>283</v>
      </c>
      <c r="AR285">
        <f t="shared" si="126"/>
        <v>2.6994126521263793</v>
      </c>
      <c r="AS285">
        <f t="shared" si="127"/>
        <v>-11.692440777422823</v>
      </c>
    </row>
    <row r="286" spans="13:45" x14ac:dyDescent="0.25">
      <c r="M286" s="9"/>
      <c r="AJ286">
        <v>4.9567350756638646</v>
      </c>
      <c r="AK286">
        <v>46.129611060933563</v>
      </c>
      <c r="AL286">
        <v>-192.40658235523085</v>
      </c>
      <c r="AM286">
        <v>51.255123401037288</v>
      </c>
      <c r="AN286">
        <v>-213.78509150581206</v>
      </c>
      <c r="AQ286">
        <v>284</v>
      </c>
      <c r="AR286">
        <f t="shared" si="126"/>
        <v>2.9030627471960093</v>
      </c>
      <c r="AS286">
        <f t="shared" si="127"/>
        <v>-11.643548715311958</v>
      </c>
    </row>
    <row r="287" spans="13:45" x14ac:dyDescent="0.25">
      <c r="M287" s="9"/>
      <c r="AJ287">
        <v>4.9741883681838077</v>
      </c>
      <c r="AK287">
        <v>49.469728429855223</v>
      </c>
      <c r="AL287">
        <v>-191.93010647165877</v>
      </c>
      <c r="AM287">
        <v>54.966364922061359</v>
      </c>
      <c r="AN287">
        <v>-213.25567385739862</v>
      </c>
      <c r="AQ287">
        <v>285</v>
      </c>
      <c r="AR287">
        <f t="shared" si="126"/>
        <v>3.1058285412302435</v>
      </c>
      <c r="AS287">
        <f t="shared" si="127"/>
        <v>-11.59110991546882</v>
      </c>
    </row>
    <row r="288" spans="13:45" x14ac:dyDescent="0.25">
      <c r="M288" s="9"/>
      <c r="AJ288">
        <v>4.9916416607037508</v>
      </c>
      <c r="AK288">
        <v>52.81721111996908</v>
      </c>
      <c r="AL288">
        <v>-191.41389497226385</v>
      </c>
      <c r="AM288">
        <v>58.68579013329898</v>
      </c>
      <c r="AN288">
        <v>-212.68210552473761</v>
      </c>
      <c r="AQ288">
        <v>286</v>
      </c>
      <c r="AR288">
        <f t="shared" si="126"/>
        <v>3.3076482698039928</v>
      </c>
      <c r="AS288">
        <f t="shared" si="127"/>
        <v>-11.535140351259825</v>
      </c>
    </row>
    <row r="289" spans="13:45" x14ac:dyDescent="0.25">
      <c r="M289" s="9"/>
      <c r="AJ289">
        <v>5.0090949532236939</v>
      </c>
      <c r="AK289">
        <v>56.171945078827022</v>
      </c>
      <c r="AL289">
        <v>-190.85677139137221</v>
      </c>
      <c r="AM289">
        <v>62.413272309807802</v>
      </c>
      <c r="AN289">
        <v>-212.06307932374688</v>
      </c>
      <c r="AQ289">
        <v>287</v>
      </c>
      <c r="AR289">
        <f t="shared" si="126"/>
        <v>3.5084604566728403</v>
      </c>
      <c r="AS289">
        <f t="shared" si="127"/>
        <v>-11.475657071556425</v>
      </c>
    </row>
    <row r="290" spans="13:45" x14ac:dyDescent="0.25">
      <c r="M290" s="9"/>
      <c r="AJ290">
        <v>5.026548245743637</v>
      </c>
      <c r="AK290">
        <v>60.018280195383326</v>
      </c>
      <c r="AL290">
        <v>-190.019476923246</v>
      </c>
      <c r="AM290">
        <v>66.686977994870361</v>
      </c>
      <c r="AN290">
        <v>-211.13275213693998</v>
      </c>
      <c r="AQ290">
        <v>288</v>
      </c>
      <c r="AR290">
        <f t="shared" si="126"/>
        <v>3.7082039324993668</v>
      </c>
      <c r="AS290">
        <f t="shared" si="127"/>
        <v>-11.412678195541844</v>
      </c>
    </row>
    <row r="291" spans="13:45" x14ac:dyDescent="0.25">
      <c r="M291" s="9"/>
      <c r="AJ291">
        <v>5.0440015382635801</v>
      </c>
      <c r="AK291">
        <v>63.405168113069479</v>
      </c>
      <c r="AL291">
        <v>-189.34283997252686</v>
      </c>
      <c r="AM291">
        <v>70.450186792299419</v>
      </c>
      <c r="AN291">
        <v>-210.38093330280762</v>
      </c>
      <c r="AQ291">
        <v>289</v>
      </c>
      <c r="AR291">
        <f t="shared" si="126"/>
        <v>3.906817853485876</v>
      </c>
      <c r="AS291">
        <f t="shared" si="127"/>
        <v>-11.346222907191803</v>
      </c>
    </row>
    <row r="292" spans="13:45" x14ac:dyDescent="0.25">
      <c r="M292" s="9"/>
      <c r="AJ292">
        <v>5.0614548307835232</v>
      </c>
      <c r="AK292">
        <v>66.793557557349573</v>
      </c>
      <c r="AL292">
        <v>-188.62131987082196</v>
      </c>
      <c r="AM292">
        <v>74.215063952610635</v>
      </c>
      <c r="AN292">
        <v>-209.57924430091327</v>
      </c>
      <c r="AQ292">
        <v>290</v>
      </c>
      <c r="AR292">
        <f t="shared" si="126"/>
        <v>4.1042417199080283</v>
      </c>
      <c r="AS292">
        <f t="shared" si="127"/>
        <v>-11.276311449430899</v>
      </c>
    </row>
    <row r="293" spans="13:45" x14ac:dyDescent="0.25">
      <c r="M293" s="9"/>
      <c r="AJ293">
        <v>5.0789081233034663</v>
      </c>
      <c r="AK293">
        <v>70.677650042708834</v>
      </c>
      <c r="AL293">
        <v>-187.29392209923444</v>
      </c>
      <c r="AM293">
        <v>78.530722269676474</v>
      </c>
      <c r="AN293">
        <v>-208.10435788803827</v>
      </c>
      <c r="AQ293">
        <v>291</v>
      </c>
      <c r="AR293">
        <f t="shared" si="126"/>
        <v>4.3004153945436041</v>
      </c>
      <c r="AS293">
        <f t="shared" si="127"/>
        <v>-11.202965117966421</v>
      </c>
    </row>
    <row r="294" spans="13:45" x14ac:dyDescent="0.25">
      <c r="M294" s="9"/>
      <c r="AJ294">
        <v>5.0963614158234094</v>
      </c>
      <c r="AK294">
        <v>74.64149460716358</v>
      </c>
      <c r="AL294">
        <v>-185.75623078619697</v>
      </c>
      <c r="AM294">
        <v>82.934994007959531</v>
      </c>
      <c r="AN294">
        <v>-206.39581198466328</v>
      </c>
      <c r="AQ294">
        <v>292</v>
      </c>
      <c r="AR294">
        <f t="shared" si="126"/>
        <v>4.4952791209909435</v>
      </c>
      <c r="AS294">
        <f t="shared" si="127"/>
        <v>-11.126206254801449</v>
      </c>
    </row>
    <row r="295" spans="13:45" x14ac:dyDescent="0.25">
      <c r="M295" s="9"/>
      <c r="AJ295">
        <v>5.1138147083433525</v>
      </c>
      <c r="AK295">
        <v>78.569983443359419</v>
      </c>
      <c r="AL295">
        <v>-184.12899743453875</v>
      </c>
      <c r="AM295">
        <v>87.299981603732689</v>
      </c>
      <c r="AN295">
        <v>-204.58777492726526</v>
      </c>
      <c r="AQ295">
        <v>293</v>
      </c>
      <c r="AR295">
        <f t="shared" si="126"/>
        <v>4.6887735418712815</v>
      </c>
      <c r="AS295">
        <f t="shared" si="127"/>
        <v>-11.046058241429286</v>
      </c>
    </row>
    <row r="296" spans="13:45" x14ac:dyDescent="0.25">
      <c r="M296" s="9"/>
      <c r="AJ296">
        <v>5.1312680008632956</v>
      </c>
      <c r="AK296">
        <v>82.460156767849909</v>
      </c>
      <c r="AL296">
        <v>-182.41344801492878</v>
      </c>
      <c r="AM296">
        <v>91.622396408722125</v>
      </c>
      <c r="AN296">
        <v>-202.68160890547642</v>
      </c>
      <c r="AQ296">
        <v>294</v>
      </c>
      <c r="AR296">
        <f t="shared" si="126"/>
        <v>4.8808397169095974</v>
      </c>
      <c r="AS296">
        <f t="shared" si="127"/>
        <v>-10.962545491711213</v>
      </c>
    </row>
    <row r="297" spans="13:45" x14ac:dyDescent="0.25">
      <c r="M297" s="9"/>
      <c r="AJ297">
        <v>5.1487212933832387</v>
      </c>
      <c r="AK297">
        <v>86.145236868628814</v>
      </c>
      <c r="AL297">
        <v>-180.60559184539983</v>
      </c>
      <c r="AM297">
        <v>95.716929854032017</v>
      </c>
      <c r="AN297">
        <v>-200.67287982822202</v>
      </c>
      <c r="AQ297">
        <v>295</v>
      </c>
      <c r="AR297">
        <f t="shared" si="126"/>
        <v>5.0714191408883948</v>
      </c>
      <c r="AS297">
        <f t="shared" si="127"/>
        <v>-10.875693444439799</v>
      </c>
    </row>
    <row r="298" spans="13:45" x14ac:dyDescent="0.25">
      <c r="M298" s="9"/>
      <c r="AJ298">
        <v>5.1661745859031818</v>
      </c>
      <c r="AK298">
        <v>89.051381778656491</v>
      </c>
      <c r="AL298">
        <v>-178.71983044872306</v>
      </c>
      <c r="AM298">
        <v>98.945979754062762</v>
      </c>
      <c r="AN298">
        <v>-198.57758938747006</v>
      </c>
      <c r="AQ298">
        <v>296</v>
      </c>
      <c r="AR298">
        <f t="shared" si="126"/>
        <v>5.2604537614689288</v>
      </c>
      <c r="AS298">
        <f t="shared" si="127"/>
        <v>-10.785528555590005</v>
      </c>
    </row>
    <row r="299" spans="13:45" x14ac:dyDescent="0.25">
      <c r="M299" s="9"/>
      <c r="AJ299">
        <v>5.1836278784231249</v>
      </c>
      <c r="AK299">
        <v>91.924727768626397</v>
      </c>
      <c r="AL299">
        <v>-176.80339361126241</v>
      </c>
      <c r="AM299">
        <v>102.13858640958489</v>
      </c>
      <c r="AN299">
        <v>-196.44821512362489</v>
      </c>
      <c r="AQ299">
        <v>297</v>
      </c>
      <c r="AR299">
        <f t="shared" si="126"/>
        <v>5.4478859968745592</v>
      </c>
      <c r="AS299">
        <f t="shared" si="127"/>
        <v>-10.692078290260415</v>
      </c>
    </row>
    <row r="300" spans="13:45" x14ac:dyDescent="0.25">
      <c r="M300" s="9"/>
      <c r="AJ300">
        <v>5.201081170943068</v>
      </c>
      <c r="AK300">
        <v>95.23655400852256</v>
      </c>
      <c r="AL300">
        <v>-174.6756805638949</v>
      </c>
      <c r="AM300">
        <v>105.81839334280284</v>
      </c>
      <c r="AN300">
        <v>-194.08408951543876</v>
      </c>
      <c r="AQ300">
        <v>298</v>
      </c>
      <c r="AR300">
        <f t="shared" si="126"/>
        <v>5.6336587534306855</v>
      </c>
      <c r="AS300">
        <f t="shared" si="127"/>
        <v>-10.595371114307126</v>
      </c>
    </row>
    <row r="301" spans="13:45" x14ac:dyDescent="0.25">
      <c r="M301" s="9"/>
      <c r="AJ301">
        <v>5.2185344634630111</v>
      </c>
      <c r="AK301">
        <v>98.00265500105175</v>
      </c>
      <c r="AL301">
        <v>-172.69747129203256</v>
      </c>
      <c r="AM301">
        <v>108.8918388900575</v>
      </c>
      <c r="AN301">
        <v>-191.8860792133695</v>
      </c>
      <c r="AQ301">
        <v>299</v>
      </c>
      <c r="AR301">
        <f t="shared" si="126"/>
        <v>5.8177154429560476</v>
      </c>
      <c r="AS301">
        <f t="shared" si="127"/>
        <v>-10.495436485672748</v>
      </c>
    </row>
    <row r="302" spans="13:45" x14ac:dyDescent="0.25">
      <c r="M302" s="9"/>
      <c r="AJ302">
        <v>5.2359877559829542</v>
      </c>
      <c r="AK302">
        <v>100.73469936374894</v>
      </c>
      <c r="AL302">
        <v>-170.69546023618176</v>
      </c>
      <c r="AM302">
        <v>111.92744373749882</v>
      </c>
      <c r="AN302">
        <v>-189.66162248464639</v>
      </c>
      <c r="AQ302">
        <v>300</v>
      </c>
      <c r="AR302">
        <f t="shared" si="126"/>
        <v>6.0000000000000018</v>
      </c>
      <c r="AS302">
        <f t="shared" si="127"/>
        <v>-10.392304845413264</v>
      </c>
    </row>
    <row r="303" spans="13:45" x14ac:dyDescent="0.25">
      <c r="M303" s="9"/>
      <c r="AJ303">
        <v>5.2534410485028973</v>
      </c>
      <c r="AK303">
        <v>103.43343833361691</v>
      </c>
      <c r="AL303">
        <v>-168.67055992300354</v>
      </c>
      <c r="AM303">
        <v>114.92604259290766</v>
      </c>
      <c r="AN303">
        <v>-187.41173324778171</v>
      </c>
      <c r="AQ303">
        <v>301</v>
      </c>
      <c r="AR303">
        <f t="shared" si="126"/>
        <v>6.1804568989206494</v>
      </c>
      <c r="AS303">
        <f t="shared" si="127"/>
        <v>-10.286007608425347</v>
      </c>
    </row>
    <row r="304" spans="13:45" x14ac:dyDescent="0.25">
      <c r="M304" s="9"/>
      <c r="AJ304">
        <v>5.2708943410228404</v>
      </c>
      <c r="AK304">
        <v>106.09967076057146</v>
      </c>
      <c r="AL304">
        <v>-166.62359723725146</v>
      </c>
      <c r="AM304">
        <v>117.88852306730162</v>
      </c>
      <c r="AN304">
        <v>-185.13733026361274</v>
      </c>
      <c r="AQ304">
        <v>302</v>
      </c>
      <c r="AR304">
        <f t="shared" si="126"/>
        <v>6.3590311707984561</v>
      </c>
      <c r="AS304">
        <f t="shared" si="127"/>
        <v>-10.176577153877114</v>
      </c>
    </row>
    <row r="305" spans="13:45" x14ac:dyDescent="0.25">
      <c r="M305" s="9"/>
      <c r="AJ305">
        <v>5.2883476335427835</v>
      </c>
      <c r="AK305">
        <v>108.73423627568081</v>
      </c>
      <c r="AL305">
        <v>-164.55530876298891</v>
      </c>
      <c r="AM305">
        <v>120.81581808408978</v>
      </c>
      <c r="AN305">
        <v>-182.83923195887658</v>
      </c>
      <c r="AQ305">
        <v>303</v>
      </c>
      <c r="AR305">
        <f t="shared" si="126"/>
        <v>6.5356684201803201</v>
      </c>
      <c r="AS305">
        <f t="shared" si="127"/>
        <v>-10.06404681534509</v>
      </c>
    </row>
    <row r="306" spans="13:45" x14ac:dyDescent="0.25">
      <c r="M306" s="9"/>
      <c r="AJ306">
        <v>5.3058009260627266</v>
      </c>
      <c r="AK306">
        <v>111.33800792202366</v>
      </c>
      <c r="AL306">
        <v>-162.46633667760233</v>
      </c>
      <c r="AM306">
        <v>123.70889769113739</v>
      </c>
      <c r="AN306">
        <v>-180.51815186400259</v>
      </c>
      <c r="AQ306">
        <v>304</v>
      </c>
      <c r="AR306">
        <f t="shared" si="126"/>
        <v>6.7103148416489642</v>
      </c>
      <c r="AS306">
        <f t="shared" si="127"/>
        <v>-9.9484508706604995</v>
      </c>
    </row>
    <row r="307" spans="13:45" x14ac:dyDescent="0.25">
      <c r="M307" s="9"/>
      <c r="AJ307">
        <v>5.3232542185826697</v>
      </c>
      <c r="AK307">
        <v>113.91188432796977</v>
      </c>
      <c r="AL307">
        <v>-160.35722532316939</v>
      </c>
      <c r="AM307">
        <v>126.56876036441085</v>
      </c>
      <c r="AN307">
        <v>-178.17469480352153</v>
      </c>
      <c r="AQ307">
        <v>305</v>
      </c>
      <c r="AR307">
        <f t="shared" si="126"/>
        <v>6.8829172362125526</v>
      </c>
      <c r="AS307">
        <f t="shared" si="127"/>
        <v>-9.8298245314679011</v>
      </c>
    </row>
    <row r="308" spans="13:45" x14ac:dyDescent="0.25">
      <c r="M308" s="9"/>
      <c r="AJ308">
        <v>5.3407075111026128</v>
      </c>
      <c r="AK308">
        <v>116.45678147266918</v>
      </c>
      <c r="AL308">
        <v>-158.22841847932307</v>
      </c>
      <c r="AM308">
        <v>129.3964238585213</v>
      </c>
      <c r="AN308">
        <v>-175.80935386591452</v>
      </c>
      <c r="AQ308">
        <v>306</v>
      </c>
      <c r="AR308">
        <f t="shared" si="126"/>
        <v>7.053423027509675</v>
      </c>
      <c r="AS308">
        <f t="shared" si="127"/>
        <v>-9.7082039324993712</v>
      </c>
    </row>
    <row r="309" spans="13:45" x14ac:dyDescent="0.25">
      <c r="M309" s="9"/>
      <c r="AJ309">
        <v>5.3581608036225559</v>
      </c>
      <c r="AK309">
        <v>118.97362411136177</v>
      </c>
      <c r="AL309">
        <v>-156.08025738627222</v>
      </c>
      <c r="AM309">
        <v>132.19291567929085</v>
      </c>
      <c r="AN309">
        <v>-173.42250820696913</v>
      </c>
      <c r="AQ309">
        <v>307</v>
      </c>
      <c r="AR309">
        <f t="shared" si="126"/>
        <v>7.2217802778245748</v>
      </c>
      <c r="AS309">
        <f t="shared" si="127"/>
        <v>-9.5836261205675157</v>
      </c>
    </row>
    <row r="310" spans="13:45" x14ac:dyDescent="0.25">
      <c r="M310" s="9"/>
      <c r="AJ310">
        <v>5.375614096142499</v>
      </c>
      <c r="AK310">
        <v>121.46333695310743</v>
      </c>
      <c r="AL310">
        <v>-153.91297958718701</v>
      </c>
      <c r="AM310">
        <v>134.95926328123048</v>
      </c>
      <c r="AN310">
        <v>-171.01442176354112</v>
      </c>
      <c r="AQ310">
        <v>308</v>
      </c>
      <c r="AR310">
        <f t="shared" si="126"/>
        <v>7.3879377039079017</v>
      </c>
      <c r="AS310">
        <f t="shared" si="127"/>
        <v>-9.4561290432806615</v>
      </c>
    </row>
    <row r="311" spans="13:45" x14ac:dyDescent="0.25">
      <c r="M311" s="9"/>
      <c r="AJ311">
        <v>5.3930673886624421</v>
      </c>
      <c r="AK311">
        <v>123.92683567607621</v>
      </c>
      <c r="AL311">
        <v>-151.72671861934916</v>
      </c>
      <c r="AM311">
        <v>137.69648408452912</v>
      </c>
      <c r="AN311">
        <v>-168.58524291038796</v>
      </c>
      <c r="AQ311">
        <v>309</v>
      </c>
      <c r="AR311">
        <f t="shared" si="126"/>
        <v>7.55184469259805</v>
      </c>
      <c r="AS311">
        <f t="shared" si="127"/>
        <v>-9.325751537483649</v>
      </c>
    </row>
    <row r="312" spans="13:45" x14ac:dyDescent="0.25">
      <c r="M312" s="9"/>
      <c r="AJ312">
        <v>5.4105206811823852</v>
      </c>
      <c r="AK312">
        <v>126.36501786396197</v>
      </c>
      <c r="AL312">
        <v>-149.52150456607899</v>
      </c>
      <c r="AM312">
        <v>140.40557540440219</v>
      </c>
      <c r="AN312">
        <v>-166.1350050734211</v>
      </c>
      <c r="AQ312">
        <v>310</v>
      </c>
      <c r="AR312">
        <f t="shared" si="126"/>
        <v>7.713451316238471</v>
      </c>
      <c r="AS312">
        <f t="shared" si="127"/>
        <v>-9.1925333174277384</v>
      </c>
    </row>
    <row r="313" spans="13:45" x14ac:dyDescent="0.25">
      <c r="M313" s="9"/>
      <c r="AJ313">
        <v>5.4279739737023283</v>
      </c>
      <c r="AK313">
        <v>128.77875394535724</v>
      </c>
      <c r="AL313">
        <v>-147.29726546878385</v>
      </c>
      <c r="AM313">
        <v>143.08750438373025</v>
      </c>
      <c r="AN313">
        <v>-163.66362829864872</v>
      </c>
      <c r="AQ313">
        <v>311</v>
      </c>
      <c r="AR313">
        <f t="shared" si="126"/>
        <v>7.8727083478860846</v>
      </c>
      <c r="AS313">
        <f t="shared" si="127"/>
        <v>-9.0565149626732673</v>
      </c>
    </row>
    <row r="314" spans="13:45" x14ac:dyDescent="0.25">
      <c r="M314" s="9"/>
      <c r="AJ314">
        <v>5.4454272662222714</v>
      </c>
      <c r="AK314">
        <v>131.16887826378647</v>
      </c>
      <c r="AL314">
        <v>-145.05382964519811</v>
      </c>
      <c r="AM314">
        <v>145.74319807087386</v>
      </c>
      <c r="AN314">
        <v>-161.17092182799789</v>
      </c>
      <c r="AQ314">
        <v>312</v>
      </c>
      <c r="AR314">
        <f t="shared" si="126"/>
        <v>8.0295672763062935</v>
      </c>
      <c r="AS314">
        <f t="shared" si="127"/>
        <v>-8.9177379057287354</v>
      </c>
    </row>
    <row r="315" spans="13:45" x14ac:dyDescent="0.25">
      <c r="M315" s="9"/>
      <c r="AJ315">
        <v>5.4628805587422145</v>
      </c>
      <c r="AK315">
        <v>133.53618034756687</v>
      </c>
      <c r="AL315">
        <v>-142.7909288632838</v>
      </c>
      <c r="AM315">
        <v>148.37353371951875</v>
      </c>
      <c r="AN315">
        <v>-158.65658762587088</v>
      </c>
      <c r="AQ315">
        <v>313</v>
      </c>
      <c r="AR315">
        <f t="shared" si="126"/>
        <v>8.1839803207499831</v>
      </c>
      <c r="AS315">
        <f t="shared" si="127"/>
        <v>-8.7762444194300446</v>
      </c>
    </row>
    <row r="316" spans="13:45" x14ac:dyDescent="0.25">
      <c r="M316" s="9"/>
      <c r="AJ316">
        <v>5.4803338512621576</v>
      </c>
      <c r="AK316">
        <v>135.88139649661451</v>
      </c>
      <c r="AL316">
        <v>-140.50820237618791</v>
      </c>
      <c r="AM316">
        <v>150.97932944068279</v>
      </c>
      <c r="AN316">
        <v>-156.120224862431</v>
      </c>
      <c r="AQ316">
        <v>314</v>
      </c>
      <c r="AR316">
        <f t="shared" si="126"/>
        <v>8.335900445507967</v>
      </c>
      <c r="AS316">
        <f t="shared" si="127"/>
        <v>-8.6320776040638147</v>
      </c>
    </row>
    <row r="317" spans="13:45" x14ac:dyDescent="0.25">
      <c r="M317" s="9"/>
      <c r="AJ317">
        <v>5.4977871437821006</v>
      </c>
      <c r="AK317">
        <v>138.20520175454163</v>
      </c>
      <c r="AL317">
        <v>-138.20520175455101</v>
      </c>
      <c r="AM317">
        <v>153.56133528282405</v>
      </c>
      <c r="AN317">
        <v>-153.56133528283445</v>
      </c>
      <c r="AQ317">
        <v>315</v>
      </c>
      <c r="AR317">
        <f t="shared" si="126"/>
        <v>8.4852813742385678</v>
      </c>
      <c r="AS317">
        <f t="shared" si="127"/>
        <v>-8.4852813742385713</v>
      </c>
    </row>
    <row r="318" spans="13:45" x14ac:dyDescent="0.25">
      <c r="M318" s="9"/>
      <c r="AJ318">
        <v>5.5152404363020437</v>
      </c>
      <c r="AK318">
        <v>140.50820237617924</v>
      </c>
      <c r="AL318">
        <v>-135.88139649662531</v>
      </c>
      <c r="AM318">
        <v>156.12022486242137</v>
      </c>
      <c r="AN318">
        <v>-150.97932944069478</v>
      </c>
      <c r="AQ318">
        <v>316</v>
      </c>
      <c r="AR318">
        <f t="shared" si="126"/>
        <v>8.6320776040638094</v>
      </c>
      <c r="AS318">
        <f t="shared" si="127"/>
        <v>-8.3359004455079706</v>
      </c>
    </row>
    <row r="319" spans="13:45" x14ac:dyDescent="0.25">
      <c r="M319" s="9"/>
      <c r="AJ319">
        <v>5.5326937288219868</v>
      </c>
      <c r="AK319">
        <v>142.79092886327362</v>
      </c>
      <c r="AL319">
        <v>-133.53618034757733</v>
      </c>
      <c r="AM319">
        <v>158.65658762585957</v>
      </c>
      <c r="AN319">
        <v>-148.37353371953037</v>
      </c>
      <c r="AQ319">
        <v>317</v>
      </c>
      <c r="AR319">
        <f t="shared" si="126"/>
        <v>8.7762444194300482</v>
      </c>
      <c r="AS319">
        <f t="shared" si="127"/>
        <v>-8.1839803207499795</v>
      </c>
    </row>
    <row r="320" spans="13:45" x14ac:dyDescent="0.25">
      <c r="M320" s="9"/>
      <c r="AJ320">
        <v>5.5501470213419299</v>
      </c>
      <c r="AK320">
        <v>145.0538296451881</v>
      </c>
      <c r="AL320">
        <v>-131.16887826379639</v>
      </c>
      <c r="AM320">
        <v>161.17092182798677</v>
      </c>
      <c r="AN320">
        <v>-145.74319807088486</v>
      </c>
      <c r="AQ320">
        <v>318</v>
      </c>
      <c r="AR320">
        <f t="shared" si="126"/>
        <v>8.9177379057287318</v>
      </c>
      <c r="AS320">
        <f t="shared" si="127"/>
        <v>-8.0295672763062971</v>
      </c>
    </row>
    <row r="321" spans="13:45" x14ac:dyDescent="0.25">
      <c r="M321" s="9"/>
      <c r="AJ321">
        <v>5.567600313861873</v>
      </c>
      <c r="AK321">
        <v>147.29726547099943</v>
      </c>
      <c r="AL321">
        <v>-128.77875394713709</v>
      </c>
      <c r="AM321">
        <v>163.66362830111049</v>
      </c>
      <c r="AN321">
        <v>-143.08750438570789</v>
      </c>
      <c r="AQ321">
        <v>319</v>
      </c>
      <c r="AR321">
        <f t="shared" si="126"/>
        <v>9.0565149626732619</v>
      </c>
      <c r="AS321">
        <f t="shared" si="127"/>
        <v>-7.8727083478860891</v>
      </c>
    </row>
    <row r="322" spans="13:45" x14ac:dyDescent="0.25">
      <c r="M322" s="9"/>
      <c r="AJ322">
        <v>5.5850536063818161</v>
      </c>
      <c r="AK322">
        <v>149.52150456606924</v>
      </c>
      <c r="AL322">
        <v>-126.36501786397254</v>
      </c>
      <c r="AM322">
        <v>166.13500507341027</v>
      </c>
      <c r="AN322">
        <v>-140.40557540441392</v>
      </c>
      <c r="AQ322">
        <v>320</v>
      </c>
      <c r="AR322">
        <f t="shared" si="126"/>
        <v>9.1925333174277331</v>
      </c>
      <c r="AS322">
        <f t="shared" si="127"/>
        <v>-7.7134513162384746</v>
      </c>
    </row>
    <row r="323" spans="13:45" x14ac:dyDescent="0.25">
      <c r="M323" s="9"/>
      <c r="AJ323">
        <v>5.6025068989017592</v>
      </c>
      <c r="AK323">
        <v>151.72671861933941</v>
      </c>
      <c r="AL323">
        <v>-123.92683567608667</v>
      </c>
      <c r="AM323">
        <v>168.5852429103771</v>
      </c>
      <c r="AN323">
        <v>-137.69648408454074</v>
      </c>
      <c r="AQ323">
        <v>321</v>
      </c>
      <c r="AR323">
        <f t="shared" ref="AR323:AR362" si="129">$B$3*COS(RADIANS(AQ323))</f>
        <v>9.3257515374836473</v>
      </c>
      <c r="AS323">
        <f t="shared" ref="AS323:AS362" si="130">$B$3*SIN(RADIANS(AQ323))</f>
        <v>-7.5518446925980545</v>
      </c>
    </row>
    <row r="324" spans="13:45" x14ac:dyDescent="0.25">
      <c r="M324" s="9"/>
      <c r="AJ324">
        <v>5.6199601914217023</v>
      </c>
      <c r="AK324">
        <v>153.9129795871778</v>
      </c>
      <c r="AL324">
        <v>-121.46333695311849</v>
      </c>
      <c r="AM324">
        <v>171.01442176353089</v>
      </c>
      <c r="AN324">
        <v>-134.95926328124276</v>
      </c>
      <c r="AQ324">
        <v>322</v>
      </c>
      <c r="AR324">
        <f t="shared" si="129"/>
        <v>9.4561290432806651</v>
      </c>
      <c r="AS324">
        <f t="shared" si="130"/>
        <v>-7.3879377039078982</v>
      </c>
    </row>
    <row r="325" spans="13:45" x14ac:dyDescent="0.25">
      <c r="M325" s="9"/>
      <c r="AJ325">
        <v>5.6374134839416454</v>
      </c>
      <c r="AK325">
        <v>156.08025738626367</v>
      </c>
      <c r="AL325">
        <v>-118.97362411137381</v>
      </c>
      <c r="AM325">
        <v>173.42250820695963</v>
      </c>
      <c r="AN325">
        <v>-132.19291567930424</v>
      </c>
      <c r="AQ325">
        <v>323</v>
      </c>
      <c r="AR325">
        <f t="shared" si="129"/>
        <v>9.583626120567514</v>
      </c>
      <c r="AS325">
        <f t="shared" si="130"/>
        <v>-7.2217802778245792</v>
      </c>
    </row>
    <row r="326" spans="13:45" x14ac:dyDescent="0.25">
      <c r="M326" s="9"/>
      <c r="AJ326">
        <v>5.6548667764615885</v>
      </c>
      <c r="AK326">
        <v>158.22841848176787</v>
      </c>
      <c r="AL326">
        <v>-116.45678147411925</v>
      </c>
      <c r="AM326">
        <v>175.80935386863098</v>
      </c>
      <c r="AN326">
        <v>-129.3964238601325</v>
      </c>
      <c r="AQ326">
        <v>324</v>
      </c>
      <c r="AR326">
        <f t="shared" si="129"/>
        <v>9.7082039324993676</v>
      </c>
      <c r="AS326">
        <f t="shared" si="130"/>
        <v>-7.0534230275096803</v>
      </c>
    </row>
    <row r="327" spans="13:45" x14ac:dyDescent="0.25">
      <c r="M327" s="9"/>
      <c r="AJ327">
        <v>5.6723200689815316</v>
      </c>
      <c r="AK327">
        <v>160.35722532316075</v>
      </c>
      <c r="AL327">
        <v>-113.91188432798</v>
      </c>
      <c r="AM327">
        <v>178.17469480351193</v>
      </c>
      <c r="AN327">
        <v>-126.56876036442222</v>
      </c>
      <c r="AQ327">
        <v>325</v>
      </c>
      <c r="AR327">
        <f t="shared" si="129"/>
        <v>9.8298245314678994</v>
      </c>
      <c r="AS327">
        <f t="shared" si="130"/>
        <v>-6.8829172362125579</v>
      </c>
    </row>
    <row r="328" spans="13:45" x14ac:dyDescent="0.25">
      <c r="M328" s="9"/>
      <c r="AJ328">
        <v>5.6897733615014747</v>
      </c>
      <c r="AK328">
        <v>162.46633667759178</v>
      </c>
      <c r="AL328">
        <v>-111.33800792203408</v>
      </c>
      <c r="AM328">
        <v>180.51815186399088</v>
      </c>
      <c r="AN328">
        <v>-123.70889769114898</v>
      </c>
      <c r="AQ328">
        <v>326</v>
      </c>
      <c r="AR328">
        <f t="shared" si="129"/>
        <v>9.9484508706605013</v>
      </c>
      <c r="AS328">
        <f t="shared" si="130"/>
        <v>-6.7103148416489589</v>
      </c>
    </row>
    <row r="329" spans="13:45" x14ac:dyDescent="0.25">
      <c r="M329" s="9"/>
      <c r="AJ329">
        <v>5.7072266540214178</v>
      </c>
      <c r="AK329">
        <v>164.5553087667316</v>
      </c>
      <c r="AL329">
        <v>-108.73423627748649</v>
      </c>
      <c r="AM329">
        <v>182.8392319630351</v>
      </c>
      <c r="AN329">
        <v>-120.8158180860961</v>
      </c>
      <c r="AQ329">
        <v>327</v>
      </c>
      <c r="AR329">
        <f t="shared" si="129"/>
        <v>10.064046815345089</v>
      </c>
      <c r="AS329">
        <f t="shared" si="130"/>
        <v>-6.5356684201803237</v>
      </c>
    </row>
    <row r="330" spans="13:45" x14ac:dyDescent="0.25">
      <c r="M330" s="9"/>
      <c r="AJ330">
        <v>5.7246799465413609</v>
      </c>
      <c r="AK330">
        <v>166.62359723724083</v>
      </c>
      <c r="AL330">
        <v>-106.09967076058152</v>
      </c>
      <c r="AM330">
        <v>185.13733026360092</v>
      </c>
      <c r="AN330">
        <v>-117.88852306731279</v>
      </c>
      <c r="AQ330">
        <v>328</v>
      </c>
      <c r="AR330">
        <f t="shared" si="129"/>
        <v>10.176577153877112</v>
      </c>
      <c r="AS330">
        <f t="shared" si="130"/>
        <v>-6.3590311707984597</v>
      </c>
    </row>
    <row r="331" spans="13:45" x14ac:dyDescent="0.25">
      <c r="M331" s="9"/>
      <c r="AJ331">
        <v>5.742133239061304</v>
      </c>
      <c r="AK331">
        <v>168.67055992299419</v>
      </c>
      <c r="AL331">
        <v>-103.43343833362837</v>
      </c>
      <c r="AM331">
        <v>187.41173324777131</v>
      </c>
      <c r="AN331">
        <v>-114.92604259292041</v>
      </c>
      <c r="AQ331">
        <v>329</v>
      </c>
      <c r="AR331">
        <f t="shared" si="129"/>
        <v>10.286007608425345</v>
      </c>
      <c r="AS331">
        <f t="shared" si="130"/>
        <v>-6.1804568989206539</v>
      </c>
    </row>
    <row r="332" spans="13:45" x14ac:dyDescent="0.25">
      <c r="M332" s="9"/>
      <c r="AJ332">
        <v>5.7595865315812471</v>
      </c>
      <c r="AK332">
        <v>170.6954602361715</v>
      </c>
      <c r="AL332">
        <v>-100.73469936375935</v>
      </c>
      <c r="AM332">
        <v>189.66162248463499</v>
      </c>
      <c r="AN332">
        <v>-111.92744373751039</v>
      </c>
      <c r="AQ332">
        <v>330</v>
      </c>
      <c r="AR332">
        <f t="shared" si="129"/>
        <v>10.39230484541326</v>
      </c>
      <c r="AS332">
        <f t="shared" si="130"/>
        <v>-6.0000000000000053</v>
      </c>
    </row>
    <row r="333" spans="13:45" x14ac:dyDescent="0.25">
      <c r="M333" s="9"/>
      <c r="AJ333">
        <v>5.7770398241011902</v>
      </c>
      <c r="AK333">
        <v>172.69747129202386</v>
      </c>
      <c r="AL333">
        <v>-98.002655001063502</v>
      </c>
      <c r="AM333">
        <v>191.88607921335984</v>
      </c>
      <c r="AN333">
        <v>-108.89183889007056</v>
      </c>
      <c r="AQ333">
        <v>331</v>
      </c>
      <c r="AR333">
        <f t="shared" si="129"/>
        <v>10.49543648567275</v>
      </c>
      <c r="AS333">
        <f t="shared" si="130"/>
        <v>-5.8177154429560431</v>
      </c>
    </row>
    <row r="334" spans="13:45" x14ac:dyDescent="0.25">
      <c r="M334" s="9"/>
      <c r="AJ334">
        <v>5.7944931166211333</v>
      </c>
      <c r="AK334">
        <v>174.67568056848441</v>
      </c>
      <c r="AL334">
        <v>-95.236554009991622</v>
      </c>
      <c r="AM334">
        <v>194.08408952053821</v>
      </c>
      <c r="AN334">
        <v>-105.81839334443514</v>
      </c>
      <c r="AQ334">
        <v>332</v>
      </c>
      <c r="AR334">
        <f t="shared" si="129"/>
        <v>10.595371114307122</v>
      </c>
      <c r="AS334">
        <f t="shared" si="130"/>
        <v>-5.6336587534306899</v>
      </c>
    </row>
    <row r="335" spans="13:45" x14ac:dyDescent="0.25">
      <c r="M335" s="9"/>
      <c r="AJ335">
        <v>5.8119464091410764</v>
      </c>
      <c r="AK335">
        <v>176.80339360759785</v>
      </c>
      <c r="AL335">
        <v>-91.924727767617142</v>
      </c>
      <c r="AM335">
        <v>196.44821511955317</v>
      </c>
      <c r="AN335">
        <v>-102.13858640846348</v>
      </c>
      <c r="AQ335">
        <v>333</v>
      </c>
      <c r="AR335">
        <f t="shared" si="129"/>
        <v>10.692078290260413</v>
      </c>
      <c r="AS335">
        <f t="shared" si="130"/>
        <v>-5.4478859968745637</v>
      </c>
    </row>
    <row r="336" spans="13:45" x14ac:dyDescent="0.25">
      <c r="M336" s="9"/>
      <c r="AJ336">
        <v>5.8293997016610195</v>
      </c>
      <c r="AK336">
        <v>178.71983044517287</v>
      </c>
      <c r="AL336">
        <v>-89.051381777780335</v>
      </c>
      <c r="AM336">
        <v>198.57758938352541</v>
      </c>
      <c r="AN336">
        <v>-98.945979753089262</v>
      </c>
      <c r="AQ336">
        <v>334</v>
      </c>
      <c r="AR336">
        <f t="shared" si="129"/>
        <v>10.785528555590002</v>
      </c>
      <c r="AS336">
        <f t="shared" si="130"/>
        <v>-5.2604537614689333</v>
      </c>
    </row>
    <row r="337" spans="13:45" x14ac:dyDescent="0.25">
      <c r="M337" s="9"/>
      <c r="AJ337">
        <v>5.8468529941809626</v>
      </c>
      <c r="AK337">
        <v>180.6055918485776</v>
      </c>
      <c r="AL337">
        <v>-86.145236869350242</v>
      </c>
      <c r="AM337">
        <v>200.67287983175288</v>
      </c>
      <c r="AN337">
        <v>-95.716929854833595</v>
      </c>
      <c r="AQ337">
        <v>335</v>
      </c>
      <c r="AR337">
        <f t="shared" si="129"/>
        <v>10.875693444439801</v>
      </c>
      <c r="AS337">
        <f t="shared" si="130"/>
        <v>-5.0714191408883904</v>
      </c>
    </row>
    <row r="338" spans="13:45" x14ac:dyDescent="0.25">
      <c r="M338" s="9"/>
      <c r="AJ338">
        <v>5.8643062867009057</v>
      </c>
      <c r="AK338">
        <v>182.4134480149221</v>
      </c>
      <c r="AL338">
        <v>-82.460156767866764</v>
      </c>
      <c r="AM338">
        <v>202.68160890546898</v>
      </c>
      <c r="AN338">
        <v>-91.62239640874084</v>
      </c>
      <c r="AQ338">
        <v>336</v>
      </c>
      <c r="AR338">
        <f t="shared" si="129"/>
        <v>10.962545491711211</v>
      </c>
      <c r="AS338">
        <f t="shared" si="130"/>
        <v>-4.8808397169096018</v>
      </c>
    </row>
    <row r="339" spans="13:45" x14ac:dyDescent="0.25">
      <c r="M339" s="9"/>
      <c r="AJ339">
        <v>5.8817595792208488</v>
      </c>
      <c r="AK339">
        <v>184.12899743119735</v>
      </c>
      <c r="AL339">
        <v>-78.56998344195091</v>
      </c>
      <c r="AM339">
        <v>204.58777492355262</v>
      </c>
      <c r="AN339">
        <v>-87.299981602167676</v>
      </c>
      <c r="AQ339">
        <v>337</v>
      </c>
      <c r="AR339">
        <f t="shared" si="129"/>
        <v>11.046058241429282</v>
      </c>
      <c r="AS339">
        <f t="shared" si="130"/>
        <v>-4.6887735418712868</v>
      </c>
    </row>
    <row r="340" spans="13:45" x14ac:dyDescent="0.25">
      <c r="M340" s="9"/>
      <c r="AJ340">
        <v>5.8992128717407919</v>
      </c>
      <c r="AK340">
        <v>185.7562307895551</v>
      </c>
      <c r="AL340">
        <v>-74.641494608530422</v>
      </c>
      <c r="AM340">
        <v>206.39581198839454</v>
      </c>
      <c r="AN340">
        <v>-82.934994009478245</v>
      </c>
      <c r="AQ340">
        <v>338</v>
      </c>
      <c r="AR340">
        <f t="shared" si="129"/>
        <v>11.126206254801447</v>
      </c>
      <c r="AS340">
        <f t="shared" si="130"/>
        <v>-4.495279120990948</v>
      </c>
    </row>
    <row r="341" spans="13:45" x14ac:dyDescent="0.25">
      <c r="M341" s="9"/>
      <c r="AJ341">
        <v>5.916666164260735</v>
      </c>
      <c r="AK341">
        <v>187.29392209922779</v>
      </c>
      <c r="AL341">
        <v>-70.677650042725716</v>
      </c>
      <c r="AM341">
        <v>208.10435788803088</v>
      </c>
      <c r="AN341">
        <v>-78.530722269695232</v>
      </c>
      <c r="AQ341">
        <v>339</v>
      </c>
      <c r="AR341">
        <f t="shared" si="129"/>
        <v>11.202965117966418</v>
      </c>
      <c r="AS341">
        <f t="shared" si="130"/>
        <v>-4.3004153945436094</v>
      </c>
    </row>
    <row r="342" spans="13:45" x14ac:dyDescent="0.25">
      <c r="M342" s="9"/>
      <c r="AJ342">
        <v>5.9341194567806781</v>
      </c>
      <c r="AK342">
        <v>188.62131987081929</v>
      </c>
      <c r="AL342">
        <v>-66.793557557364068</v>
      </c>
      <c r="AM342">
        <v>209.57924430091032</v>
      </c>
      <c r="AN342">
        <v>-74.215063952626735</v>
      </c>
      <c r="AQ342">
        <v>340</v>
      </c>
      <c r="AR342">
        <f t="shared" si="129"/>
        <v>11.276311449430901</v>
      </c>
      <c r="AS342">
        <f t="shared" si="130"/>
        <v>-4.104241719908023</v>
      </c>
    </row>
    <row r="343" spans="13:45" x14ac:dyDescent="0.25">
      <c r="M343" s="9"/>
      <c r="AJ343">
        <v>5.9515727493006212</v>
      </c>
      <c r="AK343">
        <v>189.3428399725222</v>
      </c>
      <c r="AL343">
        <v>-63.405168113083832</v>
      </c>
      <c r="AM343">
        <v>210.38093330280245</v>
      </c>
      <c r="AN343">
        <v>-70.450186792315364</v>
      </c>
      <c r="AQ343">
        <v>341</v>
      </c>
      <c r="AR343">
        <f t="shared" si="129"/>
        <v>11.346222907191802</v>
      </c>
      <c r="AS343">
        <f t="shared" si="130"/>
        <v>-3.9068178534858804</v>
      </c>
    </row>
    <row r="344" spans="13:45" x14ac:dyDescent="0.25">
      <c r="M344" s="9"/>
      <c r="AJ344">
        <v>5.9690260418205643</v>
      </c>
      <c r="AK344">
        <v>190.01947692324376</v>
      </c>
      <c r="AL344">
        <v>-60.018280195397686</v>
      </c>
      <c r="AM344">
        <v>211.13275213693751</v>
      </c>
      <c r="AN344">
        <v>-66.68697799488632</v>
      </c>
      <c r="AQ344">
        <v>342</v>
      </c>
      <c r="AR344">
        <f t="shared" si="129"/>
        <v>11.412678195541842</v>
      </c>
      <c r="AS344">
        <f t="shared" si="130"/>
        <v>-3.7082039324993712</v>
      </c>
    </row>
    <row r="345" spans="13:45" x14ac:dyDescent="0.25">
      <c r="M345" s="9"/>
      <c r="AJ345">
        <v>5.9864793343405074</v>
      </c>
      <c r="AK345">
        <v>190.85677139565138</v>
      </c>
      <c r="AL345">
        <v>-56.171945081062624</v>
      </c>
      <c r="AM345">
        <v>212.06307932850152</v>
      </c>
      <c r="AN345">
        <v>-62.413272312291802</v>
      </c>
      <c r="AQ345">
        <v>343</v>
      </c>
      <c r="AR345">
        <f t="shared" si="129"/>
        <v>11.475657071556423</v>
      </c>
      <c r="AS345">
        <f t="shared" si="130"/>
        <v>-3.5084604566728457</v>
      </c>
    </row>
    <row r="346" spans="13:45" x14ac:dyDescent="0.25">
      <c r="M346" s="9"/>
      <c r="AJ346">
        <v>6.0039326268604505</v>
      </c>
      <c r="AK346">
        <v>191.41389497226101</v>
      </c>
      <c r="AL346">
        <v>-52.81721111998371</v>
      </c>
      <c r="AM346">
        <v>212.68210552473445</v>
      </c>
      <c r="AN346">
        <v>-58.68579013331523</v>
      </c>
      <c r="AQ346">
        <v>344</v>
      </c>
      <c r="AR346">
        <f t="shared" si="129"/>
        <v>11.535140351259827</v>
      </c>
      <c r="AS346">
        <f t="shared" si="130"/>
        <v>-3.3076482698039875</v>
      </c>
    </row>
    <row r="347" spans="13:45" x14ac:dyDescent="0.25">
      <c r="M347" s="9"/>
      <c r="AJ347">
        <v>6.0213859193803936</v>
      </c>
      <c r="AK347">
        <v>191.93010647165724</v>
      </c>
      <c r="AL347">
        <v>-49.469728429869654</v>
      </c>
      <c r="AM347">
        <v>213.25567385739691</v>
      </c>
      <c r="AN347">
        <v>-54.966364922077389</v>
      </c>
      <c r="AQ347">
        <v>345</v>
      </c>
      <c r="AR347">
        <f t="shared" si="129"/>
        <v>11.59110991546882</v>
      </c>
      <c r="AS347">
        <f t="shared" si="130"/>
        <v>-3.105828541230248</v>
      </c>
    </row>
    <row r="348" spans="13:45" x14ac:dyDescent="0.25">
      <c r="M348" s="9"/>
      <c r="AJ348">
        <v>6.0388392119003367</v>
      </c>
      <c r="AK348">
        <v>192.40658235522835</v>
      </c>
      <c r="AL348">
        <v>-46.129611060948051</v>
      </c>
      <c r="AM348">
        <v>213.78509150580928</v>
      </c>
      <c r="AN348">
        <v>-51.255123401053389</v>
      </c>
      <c r="AQ348">
        <v>346</v>
      </c>
      <c r="AR348">
        <f t="shared" si="129"/>
        <v>11.643548715311958</v>
      </c>
      <c r="AS348">
        <f t="shared" si="130"/>
        <v>-2.9030627471960146</v>
      </c>
    </row>
    <row r="349" spans="13:45" x14ac:dyDescent="0.25">
      <c r="M349" s="9"/>
      <c r="AJ349">
        <v>6.0562925044202798</v>
      </c>
      <c r="AK349">
        <v>192.8444721886157</v>
      </c>
      <c r="AL349">
        <v>-42.796878835698159</v>
      </c>
      <c r="AM349">
        <v>214.27163576512854</v>
      </c>
      <c r="AN349">
        <v>-47.552087595220179</v>
      </c>
      <c r="AQ349">
        <v>347</v>
      </c>
      <c r="AR349">
        <f t="shared" si="129"/>
        <v>11.692440777422821</v>
      </c>
      <c r="AS349">
        <f t="shared" si="130"/>
        <v>-2.6994126521263841</v>
      </c>
    </row>
    <row r="350" spans="13:45" x14ac:dyDescent="0.25">
      <c r="M350" s="9"/>
      <c r="AJ350">
        <v>6.0737457969402229</v>
      </c>
      <c r="AK350">
        <v>193.24489052422808</v>
      </c>
      <c r="AL350">
        <v>-39.47145888888268</v>
      </c>
      <c r="AM350">
        <v>214.71654502692007</v>
      </c>
      <c r="AN350">
        <v>-43.857176543202975</v>
      </c>
      <c r="AQ350">
        <v>348</v>
      </c>
      <c r="AR350">
        <f t="shared" si="129"/>
        <v>11.737771208805666</v>
      </c>
      <c r="AS350">
        <f t="shared" si="130"/>
        <v>-2.4949402898131186</v>
      </c>
    </row>
    <row r="351" spans="13:45" x14ac:dyDescent="0.25">
      <c r="M351" s="9"/>
      <c r="AJ351">
        <v>6.091199089460166</v>
      </c>
      <c r="AK351">
        <v>193.60890878473569</v>
      </c>
      <c r="AL351">
        <v>-36.153187973806368</v>
      </c>
      <c r="AM351">
        <v>215.12100976081743</v>
      </c>
      <c r="AN351">
        <v>-40.17020885978485</v>
      </c>
      <c r="AQ351">
        <v>349</v>
      </c>
      <c r="AR351">
        <f t="shared" si="129"/>
        <v>11.779526201371969</v>
      </c>
      <c r="AS351">
        <f t="shared" si="130"/>
        <v>-2.2897079445185362</v>
      </c>
    </row>
    <row r="352" spans="13:45" x14ac:dyDescent="0.25">
      <c r="M352" s="9"/>
      <c r="AJ352">
        <v>6.1086523819801091</v>
      </c>
      <c r="AK352">
        <v>193.93754730431846</v>
      </c>
      <c r="AL352">
        <v>-32.841815572229017</v>
      </c>
      <c r="AM352">
        <v>215.48616367146494</v>
      </c>
      <c r="AN352">
        <v>-36.490906191365575</v>
      </c>
      <c r="AQ352">
        <v>350</v>
      </c>
      <c r="AR352">
        <f t="shared" si="129"/>
        <v>11.817693036146496</v>
      </c>
      <c r="AS352">
        <f t="shared" si="130"/>
        <v>-2.0837781320031645</v>
      </c>
    </row>
    <row r="353" spans="13:45" x14ac:dyDescent="0.25">
      <c r="M353" s="9"/>
      <c r="AJ353">
        <v>6.1261056745000522</v>
      </c>
      <c r="AK353">
        <v>194.23176757763608</v>
      </c>
      <c r="AL353">
        <v>-29.537007788669548</v>
      </c>
      <c r="AM353">
        <v>215.8130750862623</v>
      </c>
      <c r="AN353">
        <v>-32.818897542966162</v>
      </c>
      <c r="AQ353">
        <v>351</v>
      </c>
      <c r="AR353">
        <f t="shared" si="129"/>
        <v>11.852260087141651</v>
      </c>
      <c r="AS353">
        <f t="shared" si="130"/>
        <v>-1.8772135804827734</v>
      </c>
    </row>
    <row r="354" spans="13:45" x14ac:dyDescent="0.25">
      <c r="M354" s="9"/>
      <c r="AJ354">
        <v>6.1435589670199953</v>
      </c>
      <c r="AK354">
        <v>194.49246480327983</v>
      </c>
      <c r="AL354">
        <v>-26.238352016758896</v>
      </c>
      <c r="AM354">
        <v>216.10273867031091</v>
      </c>
      <c r="AN354">
        <v>-29.153724463065437</v>
      </c>
      <c r="AQ354">
        <v>352</v>
      </c>
      <c r="AR354">
        <f t="shared" si="129"/>
        <v>11.883216824898843</v>
      </c>
      <c r="AS354">
        <f t="shared" si="130"/>
        <v>-1.6700772115207907</v>
      </c>
    </row>
    <row r="355" spans="13:45" x14ac:dyDescent="0.25">
      <c r="M355" s="9"/>
      <c r="AJ355">
        <v>6.1610122595399384</v>
      </c>
      <c r="AK355">
        <v>194.72046080381557</v>
      </c>
      <c r="AL355">
        <v>-22.945362353639229</v>
      </c>
      <c r="AM355">
        <v>216.35606755979506</v>
      </c>
      <c r="AN355">
        <v>-25.494847059599142</v>
      </c>
      <c r="AQ355">
        <v>353</v>
      </c>
      <c r="AR355">
        <f t="shared" si="129"/>
        <v>11.910553819695865</v>
      </c>
      <c r="AS355">
        <f t="shared" si="130"/>
        <v>-1.4624321208617668</v>
      </c>
    </row>
    <row r="356" spans="13:45" x14ac:dyDescent="0.25">
      <c r="M356" s="9"/>
      <c r="AJ356">
        <v>6.1784655520598815</v>
      </c>
      <c r="AK356">
        <v>194.91649750047051</v>
      </c>
      <c r="AL356">
        <v>-19.657485745381923</v>
      </c>
      <c r="AM356">
        <v>216.5738861116339</v>
      </c>
      <c r="AN356">
        <v>-21.841650828202138</v>
      </c>
      <c r="AQ356">
        <v>354</v>
      </c>
      <c r="AR356">
        <f t="shared" si="129"/>
        <v>11.934262744419279</v>
      </c>
      <c r="AS356">
        <f t="shared" si="130"/>
        <v>-1.254341559211841</v>
      </c>
    </row>
    <row r="357" spans="13:45" x14ac:dyDescent="0.25">
      <c r="M357" s="9"/>
      <c r="AJ357">
        <v>6.1959188445798246</v>
      </c>
      <c r="AK357">
        <v>195.08123084825618</v>
      </c>
      <c r="AL357">
        <v>-16.374108775524199</v>
      </c>
      <c r="AM357">
        <v>216.75692316472907</v>
      </c>
      <c r="AN357">
        <v>-18.193454195026888</v>
      </c>
      <c r="AQ357">
        <v>355</v>
      </c>
      <c r="AR357">
        <f t="shared" si="129"/>
        <v>11.954336377100947</v>
      </c>
      <c r="AS357">
        <f t="shared" si="130"/>
        <v>-1.0458689129718999</v>
      </c>
    </row>
    <row r="358" spans="13:45" x14ac:dyDescent="0.25">
      <c r="M358" s="9"/>
      <c r="AJ358">
        <v>6.2133721370997677</v>
      </c>
      <c r="AK358">
        <v>195.21522545072943</v>
      </c>
      <c r="AL358">
        <v>-13.094565075698066</v>
      </c>
      <c r="AM358">
        <v>216.90580605636603</v>
      </c>
      <c r="AN358">
        <v>-14.549516750775629</v>
      </c>
      <c r="AQ358">
        <v>356</v>
      </c>
      <c r="AR358">
        <f t="shared" si="129"/>
        <v>11.970768603117889</v>
      </c>
      <c r="AS358">
        <f t="shared" si="130"/>
        <v>-0.83707768492950763</v>
      </c>
    </row>
    <row r="359" spans="13:45" x14ac:dyDescent="0.25">
      <c r="M359" s="9"/>
      <c r="AJ359">
        <v>6.2308254296197108</v>
      </c>
      <c r="AK359">
        <v>195.31894987753296</v>
      </c>
      <c r="AL359">
        <v>-9.818143278019047</v>
      </c>
      <c r="AM359">
        <v>217.02105541948106</v>
      </c>
      <c r="AN359">
        <v>-10.909048086687831</v>
      </c>
      <c r="AQ359">
        <v>357</v>
      </c>
      <c r="AR359">
        <f t="shared" si="129"/>
        <v>11.983554417054886</v>
      </c>
      <c r="AS359">
        <f t="shared" si="130"/>
        <v>-0.6280314749153324</v>
      </c>
    </row>
    <row r="360" spans="13:45" x14ac:dyDescent="0.25">
      <c r="M360" s="9"/>
      <c r="AJ360">
        <v>6.2482787221396539</v>
      </c>
      <c r="AK360">
        <v>195.39277274866814</v>
      </c>
      <c r="AL360">
        <v>-6.544095433640968</v>
      </c>
      <c r="AM360">
        <v>217.10308083185348</v>
      </c>
      <c r="AN360">
        <v>-7.2712171484899644</v>
      </c>
      <c r="AQ360">
        <v>358</v>
      </c>
      <c r="AR360">
        <f t="shared" si="129"/>
        <v>11.992689924229149</v>
      </c>
      <c r="AS360">
        <f t="shared" si="130"/>
        <v>-0.41879396043000988</v>
      </c>
    </row>
    <row r="361" spans="13:45" x14ac:dyDescent="0.25">
      <c r="M361" s="9"/>
      <c r="AJ361">
        <v>6.2657320146595969</v>
      </c>
      <c r="AK361">
        <v>195.43695961724902</v>
      </c>
      <c r="AL361">
        <v>-3.2716458128194956</v>
      </c>
      <c r="AM361">
        <v>217.15217735249891</v>
      </c>
      <c r="AN361">
        <v>-3.6351620142438841</v>
      </c>
      <c r="AQ361">
        <v>359</v>
      </c>
      <c r="AR361">
        <f t="shared" si="129"/>
        <v>11.998172341876696</v>
      </c>
      <c r="AS361">
        <f t="shared" si="130"/>
        <v>-0.20942887724740272</v>
      </c>
    </row>
    <row r="362" spans="13:45" x14ac:dyDescent="0.25">
      <c r="M362" s="9"/>
      <c r="AJ362">
        <v>6.28318530717954</v>
      </c>
      <c r="AK362">
        <v>195.45167071178759</v>
      </c>
      <c r="AL362">
        <v>-8.6975829828560827E-12</v>
      </c>
      <c r="AM362">
        <v>217.16852301309731</v>
      </c>
      <c r="AN362">
        <v>-9.6639810920623147E-12</v>
      </c>
      <c r="AQ362">
        <v>360</v>
      </c>
      <c r="AR362">
        <f t="shared" si="129"/>
        <v>12</v>
      </c>
      <c r="AS362">
        <f t="shared" si="130"/>
        <v>-2.940356291780688E-15</v>
      </c>
    </row>
  </sheetData>
  <dataValidations count="6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  <dataValidation type="list" allowBlank="1" showInputMessage="1" showErrorMessage="1" sqref="B1" xr:uid="{D0ECC5DB-334B-43A1-9C74-9F6B0A934D82}">
      <formula1>"Spiral,Other"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47625</xdr:colOff>
                    <xdr:row>4</xdr:row>
                    <xdr:rowOff>38100</xdr:rowOff>
                  </from>
                  <to>
                    <xdr:col>6</xdr:col>
                    <xdr:colOff>581025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curv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circle_section</vt:lpstr>
      <vt:lpstr>P_M_Curve</vt:lpstr>
      <vt:lpstr>P_M_Curve (Whitney vs PCA)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2020-12-02T12:46:31Z</dcterms:modified>
</cp:coreProperties>
</file>