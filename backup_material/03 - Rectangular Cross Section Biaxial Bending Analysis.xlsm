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nB\Desktop\Spreadsheets\"/>
    </mc:Choice>
  </mc:AlternateContent>
  <xr:revisionPtr revIDLastSave="0" documentId="13_ncr:1_{0679A0B6-BC41-4452-8B9C-ACA606026A05}" xr6:coauthVersionLast="45" xr6:coauthVersionMax="45" xr10:uidLastSave="{00000000-0000-0000-0000-000000000000}"/>
  <bookViews>
    <workbookView xWindow="-120" yWindow="-120" windowWidth="29040" windowHeight="15840" xr2:uid="{A97B9A5E-BB54-4E55-BD22-158AAF84A460}"/>
  </bookViews>
  <sheets>
    <sheet name="Cross Section Analysis" sheetId="1" r:id="rId1"/>
    <sheet name="Reference" sheetId="2" r:id="rId2"/>
  </sheets>
  <definedNames>
    <definedName name="solver_adj" localSheetId="0" hidden="1">'Cross Section Analysis'!$B$53,'Cross Section Analysis'!$B$78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'Cross Section Analysis'!$B$53</definedName>
    <definedName name="solver_lhs2" localSheetId="0" hidden="1">'Cross Section Analysis'!$B$53</definedName>
    <definedName name="solver_lhs3" localSheetId="0" hidden="1">'Cross Section Analysis'!$B$78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'Cross Section Analysis'!$M$119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3</definedName>
    <definedName name="solver_rel3" localSheetId="0" hidden="1">3</definedName>
    <definedName name="solver_rhs1" localSheetId="0" hidden="1">360</definedName>
    <definedName name="solver_rhs2" localSheetId="0" hidden="1">0</definedName>
    <definedName name="solver_rhs3" localSheetId="0" hidden="1">0.0001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5" i="1" l="1"/>
  <c r="S6" i="1"/>
  <c r="S13" i="1" s="1"/>
  <c r="S4" i="1"/>
  <c r="S14" i="1" s="1"/>
  <c r="S11" i="1"/>
  <c r="S15" i="1" l="1"/>
  <c r="S16" i="1" s="1"/>
  <c r="V131" i="1"/>
  <c r="S19" i="1" l="1"/>
  <c r="S20" i="1"/>
  <c r="S17" i="1"/>
  <c r="S18" i="1"/>
  <c r="F53" i="1"/>
  <c r="D130" i="1" l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129" i="1"/>
  <c r="C35" i="1" l="1"/>
  <c r="C36" i="1"/>
  <c r="C37" i="1"/>
  <c r="C38" i="1"/>
  <c r="C39" i="1"/>
  <c r="C40" i="1"/>
  <c r="C41" i="1"/>
  <c r="C42" i="1"/>
  <c r="C43" i="1"/>
  <c r="C44" i="1"/>
  <c r="C45" i="1"/>
  <c r="C34" i="1"/>
  <c r="B121" i="1" l="1"/>
  <c r="D120" i="1" l="1"/>
  <c r="V130" i="1" l="1"/>
  <c r="E120" i="1"/>
  <c r="W130" i="1" l="1"/>
  <c r="O119" i="1"/>
  <c r="O120" i="1" s="1"/>
  <c r="P119" i="1"/>
  <c r="P120" i="1" s="1"/>
  <c r="C490" i="1"/>
  <c r="B490" i="1"/>
  <c r="D490" i="1" l="1"/>
  <c r="Q120" i="1"/>
  <c r="C14" i="1"/>
  <c r="C15" i="1"/>
  <c r="C16" i="1"/>
  <c r="C17" i="1"/>
  <c r="C18" i="1"/>
  <c r="C19" i="1"/>
  <c r="C20" i="1"/>
  <c r="C21" i="1"/>
  <c r="C22" i="1"/>
  <c r="C23" i="1"/>
  <c r="C24" i="1"/>
  <c r="C13" i="1"/>
  <c r="G115" i="1"/>
  <c r="G114" i="1"/>
  <c r="D97" i="1"/>
  <c r="C97" i="1"/>
  <c r="B85" i="1"/>
  <c r="B3" i="1"/>
  <c r="C25" i="1" l="1"/>
  <c r="D25" i="1" s="1"/>
  <c r="J117" i="1"/>
  <c r="J118" i="1"/>
  <c r="Q129" i="1" s="1"/>
  <c r="B98" i="1"/>
  <c r="B4" i="1"/>
  <c r="B81" i="1" s="1"/>
  <c r="A75" i="1"/>
  <c r="A109" i="1" s="1"/>
  <c r="B75" i="1"/>
  <c r="A65" i="1"/>
  <c r="A99" i="1" s="1"/>
  <c r="B65" i="1"/>
  <c r="A66" i="1"/>
  <c r="A100" i="1" s="1"/>
  <c r="B66" i="1"/>
  <c r="A67" i="1"/>
  <c r="A101" i="1" s="1"/>
  <c r="B67" i="1"/>
  <c r="A68" i="1"/>
  <c r="A102" i="1" s="1"/>
  <c r="B68" i="1"/>
  <c r="A69" i="1"/>
  <c r="A103" i="1" s="1"/>
  <c r="B69" i="1"/>
  <c r="A70" i="1"/>
  <c r="A104" i="1" s="1"/>
  <c r="B70" i="1"/>
  <c r="A71" i="1"/>
  <c r="A105" i="1" s="1"/>
  <c r="B71" i="1"/>
  <c r="A72" i="1"/>
  <c r="A106" i="1" s="1"/>
  <c r="B72" i="1"/>
  <c r="A73" i="1"/>
  <c r="A107" i="1" s="1"/>
  <c r="B73" i="1"/>
  <c r="A74" i="1"/>
  <c r="A108" i="1" s="1"/>
  <c r="B74" i="1"/>
  <c r="B64" i="1"/>
  <c r="A64" i="1"/>
  <c r="A98" i="1" s="1"/>
  <c r="H7" i="1"/>
  <c r="G7" i="1"/>
  <c r="A35" i="1"/>
  <c r="A36" i="1"/>
  <c r="A37" i="1"/>
  <c r="A38" i="1"/>
  <c r="A39" i="1"/>
  <c r="A40" i="1"/>
  <c r="A41" i="1"/>
  <c r="A42" i="1"/>
  <c r="A43" i="1"/>
  <c r="A44" i="1"/>
  <c r="A45" i="1"/>
  <c r="A34" i="1"/>
  <c r="B28" i="1"/>
  <c r="B29" i="1" s="1"/>
  <c r="B103" i="1"/>
  <c r="B104" i="1"/>
  <c r="B105" i="1"/>
  <c r="C72" i="1"/>
  <c r="B107" i="1"/>
  <c r="C74" i="1"/>
  <c r="C75" i="1"/>
  <c r="B34" i="1"/>
  <c r="B30" i="1" l="1"/>
  <c r="B43" i="1"/>
  <c r="C70" i="1"/>
  <c r="B38" i="1"/>
  <c r="D38" i="1" s="1"/>
  <c r="E38" i="1" s="1"/>
  <c r="B102" i="1"/>
  <c r="C69" i="1"/>
  <c r="B37" i="1"/>
  <c r="D37" i="1" s="1"/>
  <c r="E37" i="1" s="1"/>
  <c r="B101" i="1"/>
  <c r="B44" i="1"/>
  <c r="D44" i="1" s="1"/>
  <c r="B108" i="1"/>
  <c r="B35" i="1"/>
  <c r="D35" i="1" s="1"/>
  <c r="F35" i="1" s="1"/>
  <c r="B99" i="1"/>
  <c r="B40" i="1"/>
  <c r="D40" i="1" s="1"/>
  <c r="E40" i="1" s="1"/>
  <c r="B45" i="1"/>
  <c r="D45" i="1" s="1"/>
  <c r="E45" i="1" s="1"/>
  <c r="B109" i="1"/>
  <c r="B36" i="1"/>
  <c r="D36" i="1" s="1"/>
  <c r="B100" i="1"/>
  <c r="B41" i="1"/>
  <c r="D41" i="1" s="1"/>
  <c r="F41" i="1" s="1"/>
  <c r="C71" i="1"/>
  <c r="B42" i="1"/>
  <c r="D42" i="1" s="1"/>
  <c r="E42" i="1" s="1"/>
  <c r="B106" i="1"/>
  <c r="B39" i="1"/>
  <c r="D39" i="1" s="1"/>
  <c r="E39" i="1" s="1"/>
  <c r="C73" i="1"/>
  <c r="C68" i="1"/>
  <c r="C67" i="1"/>
  <c r="C66" i="1"/>
  <c r="C65" i="1"/>
  <c r="C64" i="1"/>
  <c r="D34" i="1"/>
  <c r="E6" i="1"/>
  <c r="E5" i="1"/>
  <c r="D5" i="1"/>
  <c r="D4" i="1"/>
  <c r="B31" i="1" l="1"/>
  <c r="G3" i="1"/>
  <c r="H3" i="1" s="1"/>
  <c r="F34" i="1"/>
  <c r="E34" i="1"/>
  <c r="D43" i="1"/>
  <c r="E43" i="1" s="1"/>
  <c r="F39" i="1"/>
  <c r="E44" i="1"/>
  <c r="F44" i="1"/>
  <c r="F36" i="1"/>
  <c r="E36" i="1"/>
  <c r="E41" i="1"/>
  <c r="F42" i="1"/>
  <c r="F45" i="1"/>
  <c r="F37" i="1"/>
  <c r="F38" i="1"/>
  <c r="F40" i="1"/>
  <c r="E35" i="1"/>
  <c r="D46" i="1" l="1"/>
  <c r="B48" i="1" s="1"/>
  <c r="F43" i="1"/>
  <c r="F46" i="1" s="1"/>
  <c r="B50" i="1" s="1"/>
  <c r="E46" i="1"/>
  <c r="B49" i="1" s="1"/>
  <c r="D49" i="1" l="1"/>
  <c r="A60" i="1" s="1"/>
  <c r="E49" i="1"/>
  <c r="B60" i="1" s="1"/>
  <c r="C60" i="1" l="1"/>
  <c r="B91" i="1" s="1"/>
  <c r="D60" i="1"/>
  <c r="C91" i="1" s="1"/>
  <c r="B57" i="1"/>
  <c r="B58" i="1"/>
  <c r="B61" i="1"/>
  <c r="E67" i="1"/>
  <c r="A59" i="1"/>
  <c r="E74" i="1"/>
  <c r="D65" i="1"/>
  <c r="E75" i="1"/>
  <c r="D73" i="1"/>
  <c r="B59" i="1"/>
  <c r="E69" i="1"/>
  <c r="E68" i="1"/>
  <c r="E65" i="1"/>
  <c r="E72" i="1"/>
  <c r="A61" i="1"/>
  <c r="D72" i="1"/>
  <c r="D70" i="1"/>
  <c r="D71" i="1"/>
  <c r="D69" i="1"/>
  <c r="D66" i="1"/>
  <c r="A57" i="1"/>
  <c r="A58" i="1"/>
  <c r="D64" i="1"/>
  <c r="D68" i="1"/>
  <c r="D67" i="1"/>
  <c r="D74" i="1"/>
  <c r="D75" i="1"/>
  <c r="E64" i="1"/>
  <c r="E73" i="1"/>
  <c r="E70" i="1"/>
  <c r="E66" i="1"/>
  <c r="E71" i="1"/>
  <c r="F75" i="1" l="1"/>
  <c r="C109" i="1" s="1"/>
  <c r="G75" i="1"/>
  <c r="D109" i="1" s="1"/>
  <c r="F74" i="1"/>
  <c r="C108" i="1" s="1"/>
  <c r="G74" i="1"/>
  <c r="D108" i="1" s="1"/>
  <c r="G67" i="1"/>
  <c r="D101" i="1" s="1"/>
  <c r="F66" i="1"/>
  <c r="C100" i="1" s="1"/>
  <c r="G66" i="1"/>
  <c r="D100" i="1" s="1"/>
  <c r="F69" i="1"/>
  <c r="C103" i="1" s="1"/>
  <c r="G69" i="1"/>
  <c r="D103" i="1" s="1"/>
  <c r="F71" i="1"/>
  <c r="C105" i="1" s="1"/>
  <c r="G71" i="1"/>
  <c r="D105" i="1" s="1"/>
  <c r="F70" i="1"/>
  <c r="C104" i="1" s="1"/>
  <c r="G70" i="1"/>
  <c r="D104" i="1" s="1"/>
  <c r="G68" i="1"/>
  <c r="D102" i="1" s="1"/>
  <c r="F72" i="1"/>
  <c r="C106" i="1" s="1"/>
  <c r="G72" i="1"/>
  <c r="D106" i="1" s="1"/>
  <c r="G73" i="1"/>
  <c r="D107" i="1" s="1"/>
  <c r="G65" i="1"/>
  <c r="D99" i="1" s="1"/>
  <c r="F73" i="1"/>
  <c r="C107" i="1" s="1"/>
  <c r="G64" i="1"/>
  <c r="F65" i="1"/>
  <c r="C99" i="1" s="1"/>
  <c r="F64" i="1"/>
  <c r="C98" i="1" s="1"/>
  <c r="F67" i="1"/>
  <c r="C101" i="1" s="1"/>
  <c r="F68" i="1"/>
  <c r="C102" i="1" s="1"/>
  <c r="C61" i="1"/>
  <c r="D91" i="1" s="1"/>
  <c r="D61" i="1"/>
  <c r="E91" i="1" s="1"/>
  <c r="C58" i="1"/>
  <c r="D58" i="1"/>
  <c r="C59" i="1"/>
  <c r="D89" i="1" s="1"/>
  <c r="D59" i="1"/>
  <c r="C57" i="1"/>
  <c r="D57" i="1"/>
  <c r="C88" i="1" s="1"/>
  <c r="D90" i="1"/>
  <c r="E90" i="1"/>
  <c r="G76" i="1" l="1"/>
  <c r="D98" i="1"/>
  <c r="T59" i="1"/>
  <c r="D83" i="1"/>
  <c r="B90" i="1"/>
  <c r="B88" i="1"/>
  <c r="G91" i="1"/>
  <c r="G58" i="1"/>
  <c r="E88" i="1"/>
  <c r="E82" i="1"/>
  <c r="F91" i="1" s="1"/>
  <c r="C89" i="1"/>
  <c r="D79" i="1"/>
  <c r="G57" i="1"/>
  <c r="E78" i="1"/>
  <c r="E79" i="1" s="1"/>
  <c r="E89" i="1"/>
  <c r="C90" i="1"/>
  <c r="D88" i="1"/>
  <c r="B89" i="1"/>
  <c r="D78" i="1"/>
  <c r="D82" i="1"/>
  <c r="E103" i="1" l="1"/>
  <c r="F103" i="1" s="1"/>
  <c r="E98" i="1"/>
  <c r="U59" i="1"/>
  <c r="U60" i="1" s="1"/>
  <c r="T60" i="1"/>
  <c r="F90" i="1"/>
  <c r="F89" i="1"/>
  <c r="F88" i="1"/>
  <c r="I88" i="1" s="1"/>
  <c r="H91" i="1"/>
  <c r="G88" i="1"/>
  <c r="G90" i="1"/>
  <c r="E108" i="1"/>
  <c r="F108" i="1" s="1"/>
  <c r="E106" i="1"/>
  <c r="F106" i="1" s="1"/>
  <c r="E100" i="1"/>
  <c r="F100" i="1" s="1"/>
  <c r="G100" i="1" s="1"/>
  <c r="H100" i="1" s="1"/>
  <c r="J100" i="1" s="1"/>
  <c r="E105" i="1"/>
  <c r="F105" i="1" s="1"/>
  <c r="E102" i="1"/>
  <c r="F102" i="1" s="1"/>
  <c r="G102" i="1" s="1"/>
  <c r="H102" i="1" s="1"/>
  <c r="J102" i="1" s="1"/>
  <c r="E104" i="1"/>
  <c r="F104" i="1" s="1"/>
  <c r="E107" i="1"/>
  <c r="F107" i="1" s="1"/>
  <c r="E109" i="1"/>
  <c r="F109" i="1" s="1"/>
  <c r="E99" i="1"/>
  <c r="F99" i="1" s="1"/>
  <c r="G99" i="1" s="1"/>
  <c r="H99" i="1" s="1"/>
  <c r="J99" i="1" s="1"/>
  <c r="E101" i="1"/>
  <c r="F101" i="1" s="1"/>
  <c r="G101" i="1" s="1"/>
  <c r="H101" i="1" s="1"/>
  <c r="J101" i="1" s="1"/>
  <c r="I91" i="1"/>
  <c r="E83" i="1"/>
  <c r="G89" i="1"/>
  <c r="G103" i="1" l="1"/>
  <c r="H103" i="1" s="1"/>
  <c r="J103" i="1" s="1"/>
  <c r="P115" i="1"/>
  <c r="F98" i="1"/>
  <c r="G98" i="1" s="1"/>
  <c r="H98" i="1" s="1"/>
  <c r="J98" i="1" s="1"/>
  <c r="I100" i="1"/>
  <c r="I101" i="1"/>
  <c r="I99" i="1"/>
  <c r="H90" i="1"/>
  <c r="L91" i="1"/>
  <c r="H89" i="1"/>
  <c r="G106" i="1"/>
  <c r="H106" i="1" s="1"/>
  <c r="J106" i="1" s="1"/>
  <c r="G108" i="1"/>
  <c r="H108" i="1" s="1"/>
  <c r="J108" i="1" s="1"/>
  <c r="J91" i="1"/>
  <c r="K91" i="1"/>
  <c r="G109" i="1"/>
  <c r="H109" i="1" s="1"/>
  <c r="J109" i="1" s="1"/>
  <c r="H88" i="1"/>
  <c r="K88" i="1" s="1"/>
  <c r="I102" i="1"/>
  <c r="G105" i="1"/>
  <c r="H105" i="1" s="1"/>
  <c r="J105" i="1" s="1"/>
  <c r="I89" i="1"/>
  <c r="G107" i="1"/>
  <c r="H107" i="1" s="1"/>
  <c r="J107" i="1" s="1"/>
  <c r="G104" i="1"/>
  <c r="H104" i="1" s="1"/>
  <c r="J104" i="1" s="1"/>
  <c r="I90" i="1"/>
  <c r="I103" i="1" l="1"/>
  <c r="J89" i="1"/>
  <c r="F110" i="1"/>
  <c r="J113" i="1" s="1"/>
  <c r="I98" i="1"/>
  <c r="J110" i="1"/>
  <c r="I104" i="1"/>
  <c r="I108" i="1"/>
  <c r="J90" i="1"/>
  <c r="K90" i="1"/>
  <c r="L90" i="1"/>
  <c r="L89" i="1"/>
  <c r="K89" i="1"/>
  <c r="I106" i="1"/>
  <c r="L88" i="1"/>
  <c r="J88" i="1"/>
  <c r="I105" i="1"/>
  <c r="I109" i="1"/>
  <c r="H110" i="1"/>
  <c r="I107" i="1"/>
  <c r="L92" i="1" l="1"/>
  <c r="K92" i="1"/>
  <c r="J92" i="1"/>
  <c r="B113" i="1" s="1"/>
  <c r="D114" i="1" s="1"/>
  <c r="I110" i="1"/>
  <c r="J116" i="1" l="1"/>
  <c r="U117" i="1" s="1"/>
  <c r="B114" i="1"/>
  <c r="D115" i="1"/>
  <c r="B115" i="1"/>
  <c r="L119" i="1" l="1"/>
  <c r="F114" i="1"/>
  <c r="H114" i="1" s="1"/>
  <c r="J114" i="1" s="1"/>
  <c r="F115" i="1"/>
  <c r="H115" i="1" s="1"/>
  <c r="J115" i="1" s="1"/>
  <c r="W131" i="1" l="1"/>
  <c r="M113" i="1"/>
  <c r="N115" i="1"/>
  <c r="M117" i="1"/>
  <c r="I125" i="1"/>
  <c r="H125" i="1"/>
  <c r="M119" i="1" l="1"/>
  <c r="U118" i="1"/>
  <c r="O117" i="1"/>
  <c r="O121" i="1" s="1"/>
  <c r="O113" i="1"/>
  <c r="P113" i="1"/>
  <c r="N113" i="1"/>
  <c r="P117" i="1"/>
  <c r="Q113" i="1" l="1"/>
  <c r="P118" i="1"/>
  <c r="P121" i="1"/>
  <c r="O118" i="1"/>
  <c r="Q118" i="1" l="1"/>
</calcChain>
</file>

<file path=xl/sharedStrings.xml><?xml version="1.0" encoding="utf-8"?>
<sst xmlns="http://schemas.openxmlformats.org/spreadsheetml/2006/main" count="171" uniqueCount="124">
  <si>
    <t>x</t>
  </si>
  <si>
    <t>y</t>
  </si>
  <si>
    <t xml:space="preserve">B = </t>
  </si>
  <si>
    <t xml:space="preserve">H = </t>
  </si>
  <si>
    <t xml:space="preserve">F'c = </t>
  </si>
  <si>
    <t>ksi</t>
  </si>
  <si>
    <t>in</t>
  </si>
  <si>
    <t>Section Coordinates</t>
  </si>
  <si>
    <t>Reinf Steel:</t>
  </si>
  <si>
    <t xml:space="preserve">Fy = </t>
  </si>
  <si>
    <t>Bar #</t>
  </si>
  <si>
    <t>As (in^2)</t>
  </si>
  <si>
    <t xml:space="preserve">Es = </t>
  </si>
  <si>
    <t xml:space="preserve">Ec = </t>
  </si>
  <si>
    <t>plot_scale</t>
  </si>
  <si>
    <t>Plastic Center</t>
  </si>
  <si>
    <t>Concrete:</t>
  </si>
  <si>
    <t xml:space="preserve">Area = </t>
  </si>
  <si>
    <t>in^2</t>
  </si>
  <si>
    <t xml:space="preserve">CC = </t>
  </si>
  <si>
    <t>kips</t>
  </si>
  <si>
    <t xml:space="preserve">CC_Mx = </t>
  </si>
  <si>
    <t xml:space="preserve">CC_My = </t>
  </si>
  <si>
    <t>in-kips</t>
  </si>
  <si>
    <t>Steel:</t>
  </si>
  <si>
    <t>CS (kips)</t>
  </si>
  <si>
    <t>CS_Mx</t>
  </si>
  <si>
    <t>CS_My</t>
  </si>
  <si>
    <t>C =</t>
  </si>
  <si>
    <t>Mx =</t>
  </si>
  <si>
    <t xml:space="preserve">My = </t>
  </si>
  <si>
    <t>Xp:</t>
  </si>
  <si>
    <t>Yp:</t>
  </si>
  <si>
    <t>Geometric Center</t>
  </si>
  <si>
    <t>Coordinate Transformation to make plastic center = 0,0</t>
  </si>
  <si>
    <t xml:space="preserve">Beta1 = </t>
  </si>
  <si>
    <t>NA Angle:</t>
  </si>
  <si>
    <t>x'</t>
  </si>
  <si>
    <t>y'</t>
  </si>
  <si>
    <t>degrees</t>
  </si>
  <si>
    <t>Transformed H:</t>
  </si>
  <si>
    <t>NA Depth:</t>
  </si>
  <si>
    <t>Beta1*NA=</t>
  </si>
  <si>
    <t>X1</t>
  </si>
  <si>
    <t>Y1</t>
  </si>
  <si>
    <t>X2</t>
  </si>
  <si>
    <t>Y2</t>
  </si>
  <si>
    <t>Forces From Compression Block</t>
  </si>
  <si>
    <t>Edge Segment</t>
  </si>
  <si>
    <t>M</t>
  </si>
  <si>
    <t>Xna</t>
  </si>
  <si>
    <t>Yna</t>
  </si>
  <si>
    <t>Cc</t>
  </si>
  <si>
    <t>Cc_Mx</t>
  </si>
  <si>
    <t>Cc_My</t>
  </si>
  <si>
    <t xml:space="preserve">0.85*F'c = </t>
  </si>
  <si>
    <t>Forces from Steel</t>
  </si>
  <si>
    <t>Bar</t>
  </si>
  <si>
    <t xml:space="preserve">eu = </t>
  </si>
  <si>
    <t>Strain</t>
  </si>
  <si>
    <t>As</t>
  </si>
  <si>
    <t>depth:</t>
  </si>
  <si>
    <t>peak:</t>
  </si>
  <si>
    <t>Stress</t>
  </si>
  <si>
    <t>Ps</t>
  </si>
  <si>
    <t>Ps_Mx</t>
  </si>
  <si>
    <t>Ps_My</t>
  </si>
  <si>
    <t xml:space="preserve">Pn = </t>
  </si>
  <si>
    <t>Pn * ecc. From PC to GC</t>
  </si>
  <si>
    <t xml:space="preserve">Mnx,pc = </t>
  </si>
  <si>
    <t xml:space="preserve">Mny,pc = </t>
  </si>
  <si>
    <t xml:space="preserve">Fy -F'c </t>
  </si>
  <si>
    <t>ft-kips</t>
  </si>
  <si>
    <t xml:space="preserve">phi = </t>
  </si>
  <si>
    <t>Goal:</t>
  </si>
  <si>
    <t>P</t>
  </si>
  <si>
    <t>Mx</t>
  </si>
  <si>
    <t>My</t>
  </si>
  <si>
    <t xml:space="preserve">Theta = </t>
  </si>
  <si>
    <t xml:space="preserve">theta = </t>
  </si>
  <si>
    <t>Iterations to try:</t>
  </si>
  <si>
    <t>Iterations Used:</t>
  </si>
  <si>
    <t>scale</t>
  </si>
  <si>
    <t>max phiPn</t>
  </si>
  <si>
    <t>min phiPn</t>
  </si>
  <si>
    <t>Alpha</t>
  </si>
  <si>
    <t>points:</t>
  </si>
  <si>
    <t>Depth for all bars yield in compression:</t>
  </si>
  <si>
    <t>Sign Convention Note:</t>
  </si>
  <si>
    <t>Right hand rule with compression positive</t>
  </si>
  <si>
    <t>this means that +Mx puts compression on the top</t>
  </si>
  <si>
    <t>of the cross-section and +My puts compression on</t>
  </si>
  <si>
    <t>the left of the cross section</t>
  </si>
  <si>
    <t>(See Sign Convention Note Above)</t>
  </si>
  <si>
    <t>Unit Vector:</t>
  </si>
  <si>
    <t>3D Unit Vector:</t>
  </si>
  <si>
    <r>
      <t>Tan</t>
    </r>
    <r>
      <rPr>
        <vertAlign val="superscript"/>
        <sz val="11"/>
        <rFont val="Calibri"/>
        <family val="2"/>
        <scheme val="minor"/>
      </rPr>
      <t>-1</t>
    </r>
    <r>
      <rPr>
        <sz val="11"/>
        <rFont val="Calibri"/>
        <family val="2"/>
        <scheme val="minor"/>
      </rPr>
      <t>(Mx/My)</t>
    </r>
  </si>
  <si>
    <t>P-phiPn</t>
  </si>
  <si>
    <t>Coord. To plot goal</t>
  </si>
  <si>
    <t>phiTheta-theta</t>
  </si>
  <si>
    <t>Bar Layout Generator:</t>
  </si>
  <si>
    <t>XH:XB</t>
  </si>
  <si>
    <t>H</t>
  </si>
  <si>
    <t>B (inclusive of H bars)</t>
  </si>
  <si>
    <t>Bar Size</t>
  </si>
  <si>
    <t>Tie Bar</t>
  </si>
  <si>
    <t>1/2 Bar Ø</t>
  </si>
  <si>
    <t>Bar Ø (in)</t>
  </si>
  <si>
    <t>2*tie Ø</t>
  </si>
  <si>
    <t>Total Bar Count (&lt;= 12)</t>
  </si>
  <si>
    <t>Tie Bar Ø (in) = C</t>
  </si>
  <si>
    <t>Cover to tie (in) = D</t>
  </si>
  <si>
    <t>E = max of two above</t>
  </si>
  <si>
    <t>XJ = B - X0 = End X coord</t>
  </si>
  <si>
    <t>X0, Y0= C+D+E= Bar Start X,Y coord</t>
  </si>
  <si>
    <t>YJ = H - Y0 = End Y Coord</t>
  </si>
  <si>
    <t>X Spacing</t>
  </si>
  <si>
    <t>Y Spacing</t>
  </si>
  <si>
    <t>Layout Calcs:</t>
  </si>
  <si>
    <t>Table A-3 in ACI SP-17(14)</t>
  </si>
  <si>
    <t>Pattern: (2:2 Min - 12 Total Bars Max)</t>
  </si>
  <si>
    <t>I.P. Total Iterations:</t>
  </si>
  <si>
    <t>I.P. Found:</t>
  </si>
  <si>
    <t>Global Tolerance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</si>
</sst>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0"/>
    <numFmt numFmtId="166" formatCode="0.00000"/>
    <numFmt numFmtId="167" formatCode="0.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vertAlign val="superscript"/>
      <sz val="1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2" fontId="0" fillId="0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164" fontId="0" fillId="0" borderId="0" xfId="0" applyNumberFormat="1"/>
    <xf numFmtId="1" fontId="0" fillId="0" borderId="0" xfId="0" applyNumberFormat="1"/>
    <xf numFmtId="166" fontId="0" fillId="0" borderId="0" xfId="0" applyNumberFormat="1" applyAlignment="1">
      <alignment horizontal="left"/>
    </xf>
    <xf numFmtId="167" fontId="0" fillId="0" borderId="0" xfId="0" applyNumberFormat="1"/>
    <xf numFmtId="16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0" fillId="0" borderId="0" xfId="0" applyFill="1"/>
    <xf numFmtId="0" fontId="2" fillId="0" borderId="0" xfId="0" applyFont="1" applyFill="1" applyAlignment="1">
      <alignment horizontal="left"/>
    </xf>
    <xf numFmtId="0" fontId="3" fillId="0" borderId="0" xfId="0" applyFont="1" applyFill="1"/>
    <xf numFmtId="0" fontId="3" fillId="0" borderId="0" xfId="0" applyFont="1" applyFill="1" applyAlignment="1">
      <alignment horizontal="right"/>
    </xf>
    <xf numFmtId="0" fontId="3" fillId="0" borderId="0" xfId="0" applyFont="1" applyFill="1" applyAlignment="1">
      <alignment horizontal="center"/>
    </xf>
    <xf numFmtId="166" fontId="3" fillId="0" borderId="0" xfId="0" applyNumberFormat="1" applyFont="1" applyFill="1" applyAlignment="1">
      <alignment horizontal="center"/>
    </xf>
    <xf numFmtId="164" fontId="3" fillId="0" borderId="0" xfId="0" applyNumberFormat="1" applyFont="1" applyFill="1" applyAlignment="1">
      <alignment horizontal="center"/>
    </xf>
    <xf numFmtId="2" fontId="3" fillId="0" borderId="0" xfId="0" applyNumberFormat="1" applyFont="1" applyFill="1" applyAlignment="1">
      <alignment horizontal="center"/>
    </xf>
    <xf numFmtId="0" fontId="1" fillId="0" borderId="0" xfId="0" applyFont="1" applyAlignment="1">
      <alignment horizontal="right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1" xfId="0" applyNumberFormat="1" applyBorder="1"/>
    <xf numFmtId="0" fontId="4" fillId="0" borderId="0" xfId="0" applyFont="1"/>
    <xf numFmtId="0" fontId="4" fillId="0" borderId="0" xfId="0" applyFont="1" applyAlignment="1">
      <alignment horizontal="left"/>
    </xf>
    <xf numFmtId="2" fontId="0" fillId="0" borderId="0" xfId="0" applyNumberFormat="1" applyAlignment="1">
      <alignment horizontal="right"/>
    </xf>
    <xf numFmtId="2" fontId="0" fillId="3" borderId="2" xfId="0" applyNumberForma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166" fontId="0" fillId="0" borderId="0" xfId="0" applyNumberForma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4" borderId="0" xfId="0" applyFill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2" fontId="0" fillId="2" borderId="0" xfId="0" applyNumberFormat="1" applyFill="1" applyAlignment="1" applyProtection="1">
      <alignment horizontal="center"/>
      <protection locked="0"/>
    </xf>
    <xf numFmtId="0" fontId="3" fillId="0" borderId="0" xfId="0" applyFont="1" applyFill="1" applyProtection="1">
      <protection locked="0"/>
    </xf>
    <xf numFmtId="0" fontId="3" fillId="0" borderId="0" xfId="0" applyFont="1" applyFill="1" applyAlignment="1" applyProtection="1">
      <alignment horizontal="right"/>
      <protection locked="0"/>
    </xf>
    <xf numFmtId="0" fontId="0" fillId="0" borderId="0" xfId="0" applyProtection="1">
      <protection locked="0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166" fontId="0" fillId="0" borderId="0" xfId="0" applyNumberFormat="1"/>
    <xf numFmtId="0" fontId="0" fillId="0" borderId="8" xfId="0" applyBorder="1"/>
    <xf numFmtId="0" fontId="0" fillId="0" borderId="7" xfId="0" applyBorder="1"/>
    <xf numFmtId="0" fontId="0" fillId="0" borderId="0" xfId="0" applyBorder="1"/>
    <xf numFmtId="0" fontId="0" fillId="0" borderId="2" xfId="0" applyBorder="1"/>
    <xf numFmtId="164" fontId="3" fillId="0" borderId="0" xfId="0" applyNumberFormat="1" applyFont="1" applyFill="1" applyAlignment="1" applyProtection="1">
      <alignment horizontal="center" vertical="center"/>
      <protection locked="0"/>
    </xf>
    <xf numFmtId="164" fontId="3" fillId="0" borderId="0" xfId="0" applyNumberFormat="1" applyFont="1" applyFill="1" applyAlignment="1">
      <alignment horizontal="center" vertical="center"/>
    </xf>
    <xf numFmtId="16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0" borderId="9" xfId="0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166" fontId="0" fillId="0" borderId="9" xfId="0" applyNumberFormat="1" applyBorder="1"/>
    <xf numFmtId="0" fontId="0" fillId="2" borderId="0" xfId="0" applyFill="1" applyAlignment="1">
      <alignment horizontal="center"/>
    </xf>
    <xf numFmtId="0" fontId="8" fillId="0" borderId="3" xfId="0" applyFont="1" applyBorder="1" applyAlignment="1">
      <alignment horizontal="left"/>
    </xf>
    <xf numFmtId="0" fontId="0" fillId="2" borderId="7" xfId="0" applyFill="1" applyBorder="1"/>
    <xf numFmtId="0" fontId="0" fillId="0" borderId="0" xfId="0" applyFill="1" applyBorder="1"/>
    <xf numFmtId="0" fontId="0" fillId="0" borderId="10" xfId="0" applyBorder="1"/>
    <xf numFmtId="0" fontId="0" fillId="2" borderId="7" xfId="0" applyFill="1" applyBorder="1" applyProtection="1">
      <protection locked="0"/>
    </xf>
    <xf numFmtId="2" fontId="0" fillId="0" borderId="7" xfId="0" applyNumberFormat="1" applyBorder="1"/>
    <xf numFmtId="0" fontId="0" fillId="0" borderId="1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Cross</a:t>
            </a:r>
            <a:r>
              <a:rPr lang="en-US" baseline="0"/>
              <a:t> Section and Reinforcement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'Cross Section Analysis'!$D$3:$D$7</c:f>
              <c:numCache>
                <c:formatCode>0.00</c:formatCode>
                <c:ptCount val="5"/>
                <c:pt idx="0">
                  <c:v>0</c:v>
                </c:pt>
                <c:pt idx="1">
                  <c:v>18</c:v>
                </c:pt>
                <c:pt idx="2">
                  <c:v>18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'Cross Section Analysis'!$E$3:$E$7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24</c:v>
                </c:pt>
                <c:pt idx="3">
                  <c:v>24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042-49CA-9FFE-7F61A1310FE6}"/>
            </c:ext>
          </c:extLst>
        </c:ser>
        <c:ser>
          <c:idx val="1"/>
          <c:order val="1"/>
          <c:tx>
            <c:v>BARS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'Cross Section Analysis'!$D$13:$D$24</c:f>
              <c:numCache>
                <c:formatCode>0.00</c:formatCode>
                <c:ptCount val="12"/>
                <c:pt idx="0">
                  <c:v>3.125</c:v>
                </c:pt>
                <c:pt idx="1">
                  <c:v>9</c:v>
                </c:pt>
                <c:pt idx="2">
                  <c:v>14.875</c:v>
                </c:pt>
                <c:pt idx="3">
                  <c:v>3.125</c:v>
                </c:pt>
                <c:pt idx="4">
                  <c:v>14.875</c:v>
                </c:pt>
                <c:pt idx="5">
                  <c:v>3.125</c:v>
                </c:pt>
                <c:pt idx="6">
                  <c:v>14.875</c:v>
                </c:pt>
                <c:pt idx="7">
                  <c:v>3.125</c:v>
                </c:pt>
                <c:pt idx="8">
                  <c:v>14.875</c:v>
                </c:pt>
                <c:pt idx="9">
                  <c:v>3.125</c:v>
                </c:pt>
                <c:pt idx="10">
                  <c:v>9</c:v>
                </c:pt>
                <c:pt idx="11">
                  <c:v>14.875</c:v>
                </c:pt>
              </c:numCache>
            </c:numRef>
          </c:xVal>
          <c:yVal>
            <c:numRef>
              <c:f>'Cross Section Analysis'!$E$13:$E$24</c:f>
              <c:numCache>
                <c:formatCode>0.00</c:formatCode>
                <c:ptCount val="12"/>
                <c:pt idx="0">
                  <c:v>3.125</c:v>
                </c:pt>
                <c:pt idx="1">
                  <c:v>3.125</c:v>
                </c:pt>
                <c:pt idx="2">
                  <c:v>3.125</c:v>
                </c:pt>
                <c:pt idx="3">
                  <c:v>7.5625</c:v>
                </c:pt>
                <c:pt idx="4">
                  <c:v>7.5625</c:v>
                </c:pt>
                <c:pt idx="5">
                  <c:v>12</c:v>
                </c:pt>
                <c:pt idx="6">
                  <c:v>12</c:v>
                </c:pt>
                <c:pt idx="7">
                  <c:v>16.4375</c:v>
                </c:pt>
                <c:pt idx="8">
                  <c:v>16.4375</c:v>
                </c:pt>
                <c:pt idx="9">
                  <c:v>20.875</c:v>
                </c:pt>
                <c:pt idx="10">
                  <c:v>20.875</c:v>
                </c:pt>
                <c:pt idx="11">
                  <c:v>20.875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042-49CA-9FFE-7F61A1310FE6}"/>
            </c:ext>
          </c:extLst>
        </c:ser>
        <c:ser>
          <c:idx val="2"/>
          <c:order val="2"/>
          <c:tx>
            <c:v>_scale_point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'Cross Section Analysis'!$G$3:$G$4</c:f>
              <c:numCache>
                <c:formatCode>General</c:formatCode>
                <c:ptCount val="2"/>
                <c:pt idx="0" formatCode="0.00">
                  <c:v>25</c:v>
                </c:pt>
                <c:pt idx="1">
                  <c:v>-1</c:v>
                </c:pt>
              </c:numCache>
            </c:numRef>
          </c:xVal>
          <c:yVal>
            <c:numRef>
              <c:f>'Cross Section Analysis'!$H$3:$H$4</c:f>
              <c:numCache>
                <c:formatCode>General</c:formatCode>
                <c:ptCount val="2"/>
                <c:pt idx="0" formatCode="0.00">
                  <c:v>25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042-49CA-9FFE-7F61A1310FE6}"/>
            </c:ext>
          </c:extLst>
        </c:ser>
        <c:ser>
          <c:idx val="3"/>
          <c:order val="3"/>
          <c:tx>
            <c:v>PLASTIC CENTER</c:v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'Cross Section Analysis'!$D$49</c:f>
              <c:numCache>
                <c:formatCode>General</c:formatCode>
                <c:ptCount val="1"/>
                <c:pt idx="0">
                  <c:v>9</c:v>
                </c:pt>
              </c:numCache>
            </c:numRef>
          </c:xVal>
          <c:yVal>
            <c:numRef>
              <c:f>'Cross Section Analysis'!$E$49</c:f>
              <c:numCache>
                <c:formatCode>0.000</c:formatCode>
                <c:ptCount val="1"/>
                <c:pt idx="0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042-49CA-9FFE-7F61A1310FE6}"/>
            </c:ext>
          </c:extLst>
        </c:ser>
        <c:ser>
          <c:idx val="4"/>
          <c:order val="4"/>
          <c:tx>
            <c:v>GEOMETRIC CENTER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0"/>
            <c:spPr>
              <a:noFill/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'Cross Section Analysis'!$G$7</c:f>
              <c:numCache>
                <c:formatCode>General</c:formatCode>
                <c:ptCount val="1"/>
                <c:pt idx="0">
                  <c:v>9</c:v>
                </c:pt>
              </c:numCache>
            </c:numRef>
          </c:xVal>
          <c:yVal>
            <c:numRef>
              <c:f>'Cross Section Analysis'!$H$7</c:f>
              <c:numCache>
                <c:formatCode>General</c:formatCode>
                <c:ptCount val="1"/>
                <c:pt idx="0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042-49CA-9FFE-7F61A1310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0040592"/>
        <c:axId val="761478528"/>
      </c:scatterChart>
      <c:valAx>
        <c:axId val="930040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78528"/>
        <c:crosses val="autoZero"/>
        <c:crossBetween val="midCat"/>
      </c:valAx>
      <c:valAx>
        <c:axId val="7614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040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Transformed</a:t>
            </a:r>
            <a:r>
              <a:rPr lang="en-US" baseline="0"/>
              <a:t> Cross Section with Compression block</a:t>
            </a:r>
          </a:p>
          <a:p>
            <a:pPr>
              <a:defRPr/>
            </a:pPr>
            <a:r>
              <a:rPr lang="en-US" baseline="0"/>
              <a:t>(Translated so P.C. is 0,0 and rotated so NA is horizontal)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TRANSFORMED X 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'Cross Section Analysis'!$C$57:$C$61</c:f>
              <c:numCache>
                <c:formatCode>0.000</c:formatCode>
                <c:ptCount val="5"/>
                <c:pt idx="0">
                  <c:v>-14.894470783743646</c:v>
                </c:pt>
                <c:pt idx="1">
                  <c:v>-5.8755642645807695</c:v>
                </c:pt>
                <c:pt idx="2">
                  <c:v>14.894470783743646</c:v>
                </c:pt>
                <c:pt idx="3">
                  <c:v>5.8755642645807695</c:v>
                </c:pt>
                <c:pt idx="4">
                  <c:v>-14.894470783743646</c:v>
                </c:pt>
              </c:numCache>
            </c:numRef>
          </c:xVal>
          <c:yVal>
            <c:numRef>
              <c:f>'Cross Section Analysis'!$D$57:$D$61</c:f>
              <c:numCache>
                <c:formatCode>0.000</c:formatCode>
                <c:ptCount val="5"/>
                <c:pt idx="0">
                  <c:v>1.7761587970130703</c:v>
                </c:pt>
                <c:pt idx="1">
                  <c:v>-13.801367489230241</c:v>
                </c:pt>
                <c:pt idx="2">
                  <c:v>-1.7761587970130703</c:v>
                </c:pt>
                <c:pt idx="3">
                  <c:v>13.801367489230241</c:v>
                </c:pt>
                <c:pt idx="4">
                  <c:v>1.7761587970130703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F1-4499-A626-F3141CCA3A28}"/>
            </c:ext>
          </c:extLst>
        </c:ser>
        <c:ser>
          <c:idx val="1"/>
          <c:order val="1"/>
          <c:tx>
            <c:v>BARS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'Cross Section Analysis'!$F$64:$F$75</c:f>
              <c:numCache>
                <c:formatCode>0.000</c:formatCode>
                <c:ptCount val="12"/>
                <c:pt idx="0">
                  <c:v>-10.624256755027295</c:v>
                </c:pt>
                <c:pt idx="1">
                  <c:v>-7.6805858772449662</c:v>
                </c:pt>
                <c:pt idx="2">
                  <c:v>-4.7369149994626376</c:v>
                </c:pt>
                <c:pt idx="3">
                  <c:v>-6.7839638164048113</c:v>
                </c:pt>
                <c:pt idx="4">
                  <c:v>-0.89662206084015494</c:v>
                </c:pt>
                <c:pt idx="5">
                  <c:v>-2.9436708777823282</c:v>
                </c:pt>
                <c:pt idx="6">
                  <c:v>2.9436708777823282</c:v>
                </c:pt>
                <c:pt idx="7">
                  <c:v>0.89662206084015494</c:v>
                </c:pt>
                <c:pt idx="8">
                  <c:v>6.7839638164048113</c:v>
                </c:pt>
                <c:pt idx="9">
                  <c:v>4.7369149994626376</c:v>
                </c:pt>
                <c:pt idx="10">
                  <c:v>7.6805858772449662</c:v>
                </c:pt>
                <c:pt idx="11">
                  <c:v>10.624256755027295</c:v>
                </c:pt>
              </c:numCache>
            </c:numRef>
          </c:xVal>
          <c:yVal>
            <c:numRef>
              <c:f>'Cross Section Analysis'!$G$64:$G$75</c:f>
              <c:numCache>
                <c:formatCode>0.000</c:formatCode>
                <c:ptCount val="12"/>
                <c:pt idx="0">
                  <c:v>0.6375095318949402</c:v>
                </c:pt>
                <c:pt idx="1">
                  <c:v>-4.446821964309474</c:v>
                </c:pt>
                <c:pt idx="2">
                  <c:v>-9.5311534605138881</c:v>
                </c:pt>
                <c:pt idx="3">
                  <c:v>2.8609205140496772</c:v>
                </c:pt>
                <c:pt idx="4">
                  <c:v>-7.3077424783591507</c:v>
                </c:pt>
                <c:pt idx="5">
                  <c:v>5.0843314962044142</c:v>
                </c:pt>
                <c:pt idx="6">
                  <c:v>-5.0843314962044142</c:v>
                </c:pt>
                <c:pt idx="7">
                  <c:v>7.3077424783591507</c:v>
                </c:pt>
                <c:pt idx="8">
                  <c:v>-2.8609205140496772</c:v>
                </c:pt>
                <c:pt idx="9">
                  <c:v>9.5311534605138881</c:v>
                </c:pt>
                <c:pt idx="10">
                  <c:v>4.446821964309474</c:v>
                </c:pt>
                <c:pt idx="11">
                  <c:v>-0.6375095318949402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F1-4499-A626-F3141CCA3A28}"/>
            </c:ext>
          </c:extLst>
        </c:ser>
        <c:ser>
          <c:idx val="2"/>
          <c:order val="2"/>
          <c:tx>
            <c:v>NA</c:v>
          </c:tx>
          <c:spPr>
            <a:ln w="12700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Analysis'!$D$78:$D$79</c:f>
              <c:numCache>
                <c:formatCode>0.000</c:formatCode>
                <c:ptCount val="2"/>
                <c:pt idx="0">
                  <c:v>-14.894470783743646</c:v>
                </c:pt>
                <c:pt idx="1">
                  <c:v>14.894470783743646</c:v>
                </c:pt>
              </c:numCache>
            </c:numRef>
          </c:xVal>
          <c:yVal>
            <c:numRef>
              <c:f>'Cross Section Analysis'!$E$78:$E$79</c:f>
              <c:numCache>
                <c:formatCode>0.000</c:formatCode>
                <c:ptCount val="2"/>
                <c:pt idx="0">
                  <c:v>3.5051942660678783</c:v>
                </c:pt>
                <c:pt idx="1">
                  <c:v>3.5051942660678783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3F1-4499-A626-F3141CCA3A28}"/>
            </c:ext>
          </c:extLst>
        </c:ser>
        <c:ser>
          <c:idx val="3"/>
          <c:order val="3"/>
          <c:tx>
            <c:v>Compression Block Base</c:v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Analysis'!$D$82:$D$83</c:f>
              <c:numCache>
                <c:formatCode>0.000</c:formatCode>
                <c:ptCount val="2"/>
                <c:pt idx="0">
                  <c:v>-14.894470783743646</c:v>
                </c:pt>
                <c:pt idx="1">
                  <c:v>14.894470783743646</c:v>
                </c:pt>
              </c:numCache>
            </c:numRef>
          </c:xVal>
          <c:yVal>
            <c:numRef>
              <c:f>'Cross Section Analysis'!$E$82:$E$83</c:f>
              <c:numCache>
                <c:formatCode>0.000</c:formatCode>
                <c:ptCount val="2"/>
                <c:pt idx="0">
                  <c:v>5.5644289107003519</c:v>
                </c:pt>
                <c:pt idx="1">
                  <c:v>5.5644289107003519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3F1-4499-A626-F3141CCA3A28}"/>
            </c:ext>
          </c:extLst>
        </c:ser>
        <c:ser>
          <c:idx val="4"/>
          <c:order val="4"/>
          <c:tx>
            <c:v>cbloc_points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Analysis'!$H$88:$H$91</c:f>
              <c:numCache>
                <c:formatCode>0.000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10.644497256814084</c:v>
                </c:pt>
                <c:pt idx="3">
                  <c:v>-8.3513408433269944</c:v>
                </c:pt>
              </c:numCache>
            </c:numRef>
          </c:xVal>
          <c:yVal>
            <c:numRef>
              <c:f>'Cross Section Analysis'!$I$88:$I$91</c:f>
              <c:numCache>
                <c:formatCode>0.000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5.5644289107003519</c:v>
                </c:pt>
                <c:pt idx="3">
                  <c:v>5.5644289107003519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A5-4190-9AC0-CF117630758C}"/>
            </c:ext>
          </c:extLst>
        </c:ser>
        <c:ser>
          <c:idx val="5"/>
          <c:order val="5"/>
          <c:tx>
            <c:v>_scale</c:v>
          </c:tx>
          <c:spPr>
            <a:ln w="19050" cap="rnd">
              <a:noFill/>
              <a:round/>
            </a:ln>
            <a:effectLst/>
          </c:spPr>
          <c:marker>
            <c:symbol val="dot"/>
            <c:size val="2"/>
            <c:spPr>
              <a:solidFill>
                <a:schemeClr val="accent6"/>
              </a:solidFill>
              <a:ln w="9525">
                <a:solidFill>
                  <a:schemeClr val="bg1">
                    <a:lumMod val="85000"/>
                  </a:schemeClr>
                </a:solidFill>
              </a:ln>
              <a:effectLst/>
            </c:spPr>
          </c:marker>
          <c:xVal>
            <c:numRef>
              <c:f>'Cross Section Analysis'!$T$59:$T$60</c:f>
              <c:numCache>
                <c:formatCode>General</c:formatCode>
                <c:ptCount val="2"/>
                <c:pt idx="0">
                  <c:v>14.894470783743646</c:v>
                </c:pt>
                <c:pt idx="1">
                  <c:v>-14.894470783743646</c:v>
                </c:pt>
              </c:numCache>
            </c:numRef>
          </c:xVal>
          <c:yVal>
            <c:numRef>
              <c:f>'Cross Section Analysis'!$U$59:$U$60</c:f>
              <c:numCache>
                <c:formatCode>General</c:formatCode>
                <c:ptCount val="2"/>
                <c:pt idx="0">
                  <c:v>14.894470783743646</c:v>
                </c:pt>
                <c:pt idx="1">
                  <c:v>-14.894470783743646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27-4C63-A03A-DC06FDF14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0040592"/>
        <c:axId val="761478528"/>
      </c:scatterChart>
      <c:valAx>
        <c:axId val="930040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78528"/>
        <c:crosses val="autoZero"/>
        <c:crossBetween val="midCat"/>
      </c:valAx>
      <c:valAx>
        <c:axId val="7614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040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Mx vs My @ Goal P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mx_my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'Cross Section Analysis'!$B$129:$B$490</c:f>
              <c:numCache>
                <c:formatCode>0.000</c:formatCode>
                <c:ptCount val="362"/>
                <c:pt idx="0">
                  <c:v>449.17699700282668</c:v>
                </c:pt>
                <c:pt idx="1">
                  <c:v>448.54912822812827</c:v>
                </c:pt>
                <c:pt idx="2">
                  <c:v>447.90988586880485</c:v>
                </c:pt>
                <c:pt idx="3">
                  <c:v>447.25567249647747</c:v>
                </c:pt>
                <c:pt idx="4">
                  <c:v>446.58319968677836</c:v>
                </c:pt>
                <c:pt idx="5">
                  <c:v>445.88938503385037</c:v>
                </c:pt>
                <c:pt idx="6">
                  <c:v>444.44002809897319</c:v>
                </c:pt>
                <c:pt idx="7">
                  <c:v>442.58397948835272</c:v>
                </c:pt>
                <c:pt idx="8">
                  <c:v>440.7354845508338</c:v>
                </c:pt>
                <c:pt idx="9">
                  <c:v>438.88969024791282</c:v>
                </c:pt>
                <c:pt idx="10">
                  <c:v>437.04192136695167</c:v>
                </c:pt>
                <c:pt idx="11">
                  <c:v>435.18767895317507</c:v>
                </c:pt>
                <c:pt idx="12">
                  <c:v>433.32257974289399</c:v>
                </c:pt>
                <c:pt idx="13">
                  <c:v>431.44233743041929</c:v>
                </c:pt>
                <c:pt idx="14">
                  <c:v>429.54271454415539</c:v>
                </c:pt>
                <c:pt idx="15">
                  <c:v>427.6195025331059</c:v>
                </c:pt>
                <c:pt idx="16">
                  <c:v>426.32950579236245</c:v>
                </c:pt>
                <c:pt idx="17">
                  <c:v>424.33749850360493</c:v>
                </c:pt>
                <c:pt idx="18">
                  <c:v>422.30931966064708</c:v>
                </c:pt>
                <c:pt idx="19">
                  <c:v>418.88507354191597</c:v>
                </c:pt>
                <c:pt idx="20">
                  <c:v>414.04229171610677</c:v>
                </c:pt>
                <c:pt idx="21">
                  <c:v>409.25618056603253</c:v>
                </c:pt>
                <c:pt idx="22">
                  <c:v>404.51762092166621</c:v>
                </c:pt>
                <c:pt idx="23">
                  <c:v>399.04957346536042</c:v>
                </c:pt>
                <c:pt idx="24">
                  <c:v>393.44489071424761</c:v>
                </c:pt>
                <c:pt idx="25">
                  <c:v>387.86041539545897</c:v>
                </c:pt>
                <c:pt idx="26">
                  <c:v>382.28804618772364</c:v>
                </c:pt>
                <c:pt idx="27">
                  <c:v>376.25989816166793</c:v>
                </c:pt>
                <c:pt idx="28">
                  <c:v>370.797520520006</c:v>
                </c:pt>
                <c:pt idx="29">
                  <c:v>365.56899306628765</c:v>
                </c:pt>
                <c:pt idx="30">
                  <c:v>360.5399064576651</c:v>
                </c:pt>
                <c:pt idx="31">
                  <c:v>355.70078839708111</c:v>
                </c:pt>
                <c:pt idx="32">
                  <c:v>351.04516578393304</c:v>
                </c:pt>
                <c:pt idx="33">
                  <c:v>346.55573795032223</c:v>
                </c:pt>
                <c:pt idx="34">
                  <c:v>342.21687876583638</c:v>
                </c:pt>
                <c:pt idx="35">
                  <c:v>338.01440334740352</c:v>
                </c:pt>
                <c:pt idx="36">
                  <c:v>333.93534775109475</c:v>
                </c:pt>
                <c:pt idx="37">
                  <c:v>329.63907668001048</c:v>
                </c:pt>
                <c:pt idx="38">
                  <c:v>324.70742434946789</c:v>
                </c:pt>
                <c:pt idx="39">
                  <c:v>319.89454927358969</c:v>
                </c:pt>
                <c:pt idx="40">
                  <c:v>315.1869324958094</c:v>
                </c:pt>
                <c:pt idx="41">
                  <c:v>310.5577333614259</c:v>
                </c:pt>
                <c:pt idx="42">
                  <c:v>306.01279387706154</c:v>
                </c:pt>
                <c:pt idx="43">
                  <c:v>301.54235920545466</c:v>
                </c:pt>
                <c:pt idx="44">
                  <c:v>297.13710602320492</c:v>
                </c:pt>
                <c:pt idx="45">
                  <c:v>292.78805405495189</c:v>
                </c:pt>
                <c:pt idx="46">
                  <c:v>288.48647920075166</c:v>
                </c:pt>
                <c:pt idx="47">
                  <c:v>284.22383411938176</c:v>
                </c:pt>
                <c:pt idx="48">
                  <c:v>279.99168187816372</c:v>
                </c:pt>
                <c:pt idx="49">
                  <c:v>277.4824169103984</c:v>
                </c:pt>
                <c:pt idx="50">
                  <c:v>273.28547276827192</c:v>
                </c:pt>
                <c:pt idx="51">
                  <c:v>269.09394431526795</c:v>
                </c:pt>
                <c:pt idx="52">
                  <c:v>264.89900430052461</c:v>
                </c:pt>
                <c:pt idx="53">
                  <c:v>260.69150141901702</c:v>
                </c:pt>
                <c:pt idx="54">
                  <c:v>256.46184454523137</c:v>
                </c:pt>
                <c:pt idx="55">
                  <c:v>252.19989585539449</c:v>
                </c:pt>
                <c:pt idx="56">
                  <c:v>247.89481821571778</c:v>
                </c:pt>
                <c:pt idx="57">
                  <c:v>243.53491997130058</c:v>
                </c:pt>
                <c:pt idx="58">
                  <c:v>239.10747121836903</c:v>
                </c:pt>
                <c:pt idx="59">
                  <c:v>234.59847677221461</c:v>
                </c:pt>
                <c:pt idx="60">
                  <c:v>229.99240766129319</c:v>
                </c:pt>
                <c:pt idx="61">
                  <c:v>225.27188950961019</c:v>
                </c:pt>
                <c:pt idx="62">
                  <c:v>220.41729958075385</c:v>
                </c:pt>
                <c:pt idx="63">
                  <c:v>215.40629110332171</c:v>
                </c:pt>
                <c:pt idx="64">
                  <c:v>210.21999859417377</c:v>
                </c:pt>
                <c:pt idx="65">
                  <c:v>205.16521387304851</c:v>
                </c:pt>
                <c:pt idx="66">
                  <c:v>199.89330583407278</c:v>
                </c:pt>
                <c:pt idx="67">
                  <c:v>194.4824130802476</c:v>
                </c:pt>
                <c:pt idx="68">
                  <c:v>188.64802489782684</c:v>
                </c:pt>
                <c:pt idx="69">
                  <c:v>182.4645059625829</c:v>
                </c:pt>
                <c:pt idx="70">
                  <c:v>175.86937557613433</c:v>
                </c:pt>
                <c:pt idx="71">
                  <c:v>169.52367350294946</c:v>
                </c:pt>
                <c:pt idx="72">
                  <c:v>163.69388255975392</c:v>
                </c:pt>
                <c:pt idx="73">
                  <c:v>157.37348786329665</c:v>
                </c:pt>
                <c:pt idx="74">
                  <c:v>150.45484596226248</c:v>
                </c:pt>
                <c:pt idx="75">
                  <c:v>142.97361929134618</c:v>
                </c:pt>
                <c:pt idx="76">
                  <c:v>135.27849231666076</c:v>
                </c:pt>
                <c:pt idx="77">
                  <c:v>127.3588271721366</c:v>
                </c:pt>
                <c:pt idx="78">
                  <c:v>119.17966727576709</c:v>
                </c:pt>
                <c:pt idx="79">
                  <c:v>110.70112026849463</c:v>
                </c:pt>
                <c:pt idx="80">
                  <c:v>101.3949934996227</c:v>
                </c:pt>
                <c:pt idx="81">
                  <c:v>91.064310967192597</c:v>
                </c:pt>
                <c:pt idx="82">
                  <c:v>80.508583669741483</c:v>
                </c:pt>
                <c:pt idx="83">
                  <c:v>69.694034071328801</c:v>
                </c:pt>
                <c:pt idx="84">
                  <c:v>58.582478873581721</c:v>
                </c:pt>
                <c:pt idx="85">
                  <c:v>47.130457814552145</c:v>
                </c:pt>
                <c:pt idx="86">
                  <c:v>36.67130645173954</c:v>
                </c:pt>
                <c:pt idx="87">
                  <c:v>27.230202965489557</c:v>
                </c:pt>
                <c:pt idx="88">
                  <c:v>19.973662381806882</c:v>
                </c:pt>
                <c:pt idx="89">
                  <c:v>10.193065277364205</c:v>
                </c:pt>
                <c:pt idx="90">
                  <c:v>2.060230288015025E-14</c:v>
                </c:pt>
                <c:pt idx="91">
                  <c:v>-10.193065277364134</c:v>
                </c:pt>
                <c:pt idx="92">
                  <c:v>-19.97366238180684</c:v>
                </c:pt>
                <c:pt idx="93">
                  <c:v>-27.230202965489472</c:v>
                </c:pt>
                <c:pt idx="94">
                  <c:v>-36.671306451739603</c:v>
                </c:pt>
                <c:pt idx="95">
                  <c:v>-47.130457814552258</c:v>
                </c:pt>
                <c:pt idx="96">
                  <c:v>-58.582478873581849</c:v>
                </c:pt>
                <c:pt idx="97">
                  <c:v>-69.694034071328801</c:v>
                </c:pt>
                <c:pt idx="98">
                  <c:v>-80.50858366974137</c:v>
                </c:pt>
                <c:pt idx="99">
                  <c:v>-91.064310967192625</c:v>
                </c:pt>
                <c:pt idx="100">
                  <c:v>-101.3949934996226</c:v>
                </c:pt>
                <c:pt idx="101">
                  <c:v>-110.70112026849458</c:v>
                </c:pt>
                <c:pt idx="102">
                  <c:v>-119.179667275767</c:v>
                </c:pt>
                <c:pt idx="103">
                  <c:v>-127.3588271721366</c:v>
                </c:pt>
                <c:pt idx="104">
                  <c:v>-135.27849231666087</c:v>
                </c:pt>
                <c:pt idx="105">
                  <c:v>-142.97361929134624</c:v>
                </c:pt>
                <c:pt idx="106">
                  <c:v>-150.4548459622624</c:v>
                </c:pt>
                <c:pt idx="107">
                  <c:v>-157.37348786329665</c:v>
                </c:pt>
                <c:pt idx="108">
                  <c:v>-163.69388255975394</c:v>
                </c:pt>
                <c:pt idx="109">
                  <c:v>-169.52367350294941</c:v>
                </c:pt>
                <c:pt idx="110">
                  <c:v>-175.8693755761343</c:v>
                </c:pt>
                <c:pt idx="111">
                  <c:v>-182.46450596258285</c:v>
                </c:pt>
                <c:pt idx="112">
                  <c:v>-188.6480248978269</c:v>
                </c:pt>
                <c:pt idx="113">
                  <c:v>-194.48241308024754</c:v>
                </c:pt>
                <c:pt idx="114">
                  <c:v>-199.89330583407289</c:v>
                </c:pt>
                <c:pt idx="115">
                  <c:v>-205.16521387304846</c:v>
                </c:pt>
                <c:pt idx="116">
                  <c:v>-210.21999859417372</c:v>
                </c:pt>
                <c:pt idx="117">
                  <c:v>-215.40629110332171</c:v>
                </c:pt>
                <c:pt idx="118">
                  <c:v>-220.41729958075385</c:v>
                </c:pt>
                <c:pt idx="119">
                  <c:v>-225.27188950961028</c:v>
                </c:pt>
                <c:pt idx="120">
                  <c:v>-229.99240766129296</c:v>
                </c:pt>
                <c:pt idx="121">
                  <c:v>-234.59847677221475</c:v>
                </c:pt>
                <c:pt idx="122">
                  <c:v>-239.10747121836897</c:v>
                </c:pt>
                <c:pt idx="123">
                  <c:v>-243.53491997130044</c:v>
                </c:pt>
                <c:pt idx="124">
                  <c:v>-247.89481821571772</c:v>
                </c:pt>
                <c:pt idx="125">
                  <c:v>-252.19989585539437</c:v>
                </c:pt>
                <c:pt idx="126">
                  <c:v>-256.46184454523126</c:v>
                </c:pt>
                <c:pt idx="127">
                  <c:v>-260.69150141901702</c:v>
                </c:pt>
                <c:pt idx="128">
                  <c:v>-264.89900430052455</c:v>
                </c:pt>
                <c:pt idx="129">
                  <c:v>-269.09394431526778</c:v>
                </c:pt>
                <c:pt idx="130">
                  <c:v>-273.28547276827192</c:v>
                </c:pt>
                <c:pt idx="131">
                  <c:v>-277.48241691039823</c:v>
                </c:pt>
                <c:pt idx="132">
                  <c:v>-279.99168187816372</c:v>
                </c:pt>
                <c:pt idx="133">
                  <c:v>-284.22383411938171</c:v>
                </c:pt>
                <c:pt idx="134">
                  <c:v>-288.48647920075172</c:v>
                </c:pt>
                <c:pt idx="135">
                  <c:v>-292.78805405495189</c:v>
                </c:pt>
                <c:pt idx="136">
                  <c:v>-297.13710602320469</c:v>
                </c:pt>
                <c:pt idx="137">
                  <c:v>-301.54235920545472</c:v>
                </c:pt>
                <c:pt idx="138">
                  <c:v>-306.01279387706126</c:v>
                </c:pt>
                <c:pt idx="139">
                  <c:v>-310.5577333614259</c:v>
                </c:pt>
                <c:pt idx="140">
                  <c:v>-315.18693249580934</c:v>
                </c:pt>
                <c:pt idx="141">
                  <c:v>-319.89454927358969</c:v>
                </c:pt>
                <c:pt idx="142">
                  <c:v>-324.70742434946789</c:v>
                </c:pt>
                <c:pt idx="143">
                  <c:v>-329.63907668001048</c:v>
                </c:pt>
                <c:pt idx="144">
                  <c:v>-333.9353477510947</c:v>
                </c:pt>
                <c:pt idx="145">
                  <c:v>-338.01440334740346</c:v>
                </c:pt>
                <c:pt idx="146">
                  <c:v>-342.21687876583638</c:v>
                </c:pt>
                <c:pt idx="147">
                  <c:v>-346.55573795032211</c:v>
                </c:pt>
                <c:pt idx="148">
                  <c:v>-351.04516578393299</c:v>
                </c:pt>
                <c:pt idx="149">
                  <c:v>-355.70078839708123</c:v>
                </c:pt>
                <c:pt idx="150">
                  <c:v>-360.53990645766498</c:v>
                </c:pt>
                <c:pt idx="151">
                  <c:v>-365.56899306628787</c:v>
                </c:pt>
                <c:pt idx="152">
                  <c:v>-370.79752052000595</c:v>
                </c:pt>
                <c:pt idx="153">
                  <c:v>-376.25989816166782</c:v>
                </c:pt>
                <c:pt idx="154">
                  <c:v>-382.28804618772358</c:v>
                </c:pt>
                <c:pt idx="155">
                  <c:v>-387.86041539545897</c:v>
                </c:pt>
                <c:pt idx="156">
                  <c:v>-393.44489071424755</c:v>
                </c:pt>
                <c:pt idx="157">
                  <c:v>-399.04957346536031</c:v>
                </c:pt>
                <c:pt idx="158">
                  <c:v>-404.51762092166604</c:v>
                </c:pt>
                <c:pt idx="159">
                  <c:v>-409.25618056603253</c:v>
                </c:pt>
                <c:pt idx="160">
                  <c:v>-414.0422917161066</c:v>
                </c:pt>
                <c:pt idx="161">
                  <c:v>-418.88507354191597</c:v>
                </c:pt>
                <c:pt idx="162">
                  <c:v>-422.30931966064696</c:v>
                </c:pt>
                <c:pt idx="163">
                  <c:v>-424.33749850360499</c:v>
                </c:pt>
                <c:pt idx="164">
                  <c:v>-426.32950579236245</c:v>
                </c:pt>
                <c:pt idx="165">
                  <c:v>-427.61950253310556</c:v>
                </c:pt>
                <c:pt idx="166">
                  <c:v>-429.54271454415539</c:v>
                </c:pt>
                <c:pt idx="167">
                  <c:v>-431.44233743041917</c:v>
                </c:pt>
                <c:pt idx="168">
                  <c:v>-433.32257974289416</c:v>
                </c:pt>
                <c:pt idx="169">
                  <c:v>-435.18767895317507</c:v>
                </c:pt>
                <c:pt idx="170">
                  <c:v>-437.04192136695167</c:v>
                </c:pt>
                <c:pt idx="171">
                  <c:v>-438.88969024791265</c:v>
                </c:pt>
                <c:pt idx="172">
                  <c:v>-440.73548455083392</c:v>
                </c:pt>
                <c:pt idx="173">
                  <c:v>-442.58397948835272</c:v>
                </c:pt>
                <c:pt idx="174">
                  <c:v>-444.44002809897336</c:v>
                </c:pt>
                <c:pt idx="175">
                  <c:v>-445.88938503385037</c:v>
                </c:pt>
                <c:pt idx="176">
                  <c:v>-446.58319968677836</c:v>
                </c:pt>
                <c:pt idx="177">
                  <c:v>-447.25567249647759</c:v>
                </c:pt>
                <c:pt idx="178">
                  <c:v>-447.90988586880474</c:v>
                </c:pt>
                <c:pt idx="179">
                  <c:v>-448.54912822812827</c:v>
                </c:pt>
                <c:pt idx="180">
                  <c:v>-449.17699700282668</c:v>
                </c:pt>
                <c:pt idx="181">
                  <c:v>-448.5491282281281</c:v>
                </c:pt>
                <c:pt idx="182">
                  <c:v>-447.90988586880485</c:v>
                </c:pt>
                <c:pt idx="183">
                  <c:v>-447.25567249647759</c:v>
                </c:pt>
                <c:pt idx="184">
                  <c:v>-446.58319968677836</c:v>
                </c:pt>
                <c:pt idx="185">
                  <c:v>-445.88938503385037</c:v>
                </c:pt>
                <c:pt idx="186">
                  <c:v>-444.44002809897324</c:v>
                </c:pt>
                <c:pt idx="187">
                  <c:v>-442.58397948835307</c:v>
                </c:pt>
                <c:pt idx="188">
                  <c:v>-440.73548455083358</c:v>
                </c:pt>
                <c:pt idx="189">
                  <c:v>-438.88969024791282</c:v>
                </c:pt>
                <c:pt idx="190">
                  <c:v>-437.04192136695167</c:v>
                </c:pt>
                <c:pt idx="191">
                  <c:v>-435.18767895317507</c:v>
                </c:pt>
                <c:pt idx="192">
                  <c:v>-433.32257974289382</c:v>
                </c:pt>
                <c:pt idx="193">
                  <c:v>-431.4423374304194</c:v>
                </c:pt>
                <c:pt idx="194">
                  <c:v>-429.54271454415527</c:v>
                </c:pt>
                <c:pt idx="195">
                  <c:v>-427.61950253310567</c:v>
                </c:pt>
                <c:pt idx="196">
                  <c:v>-426.32950579236251</c:v>
                </c:pt>
                <c:pt idx="197">
                  <c:v>-424.33749850360493</c:v>
                </c:pt>
                <c:pt idx="198">
                  <c:v>-422.30931966064713</c:v>
                </c:pt>
                <c:pt idx="199">
                  <c:v>-418.88507354191586</c:v>
                </c:pt>
                <c:pt idx="200">
                  <c:v>-414.04229171610677</c:v>
                </c:pt>
                <c:pt idx="201">
                  <c:v>-409.25618056603241</c:v>
                </c:pt>
                <c:pt idx="202">
                  <c:v>-404.51762092166621</c:v>
                </c:pt>
                <c:pt idx="203">
                  <c:v>-399.04957346536042</c:v>
                </c:pt>
                <c:pt idx="204">
                  <c:v>-393.44489071424766</c:v>
                </c:pt>
                <c:pt idx="205">
                  <c:v>-387.86041539545903</c:v>
                </c:pt>
                <c:pt idx="206">
                  <c:v>-382.28804618772347</c:v>
                </c:pt>
                <c:pt idx="207">
                  <c:v>-376.25989816166799</c:v>
                </c:pt>
                <c:pt idx="208">
                  <c:v>-370.79752052000578</c:v>
                </c:pt>
                <c:pt idx="209">
                  <c:v>-365.56899306628804</c:v>
                </c:pt>
                <c:pt idx="210">
                  <c:v>-360.53990645766498</c:v>
                </c:pt>
                <c:pt idx="211">
                  <c:v>-355.70078839708111</c:v>
                </c:pt>
                <c:pt idx="212">
                  <c:v>-351.0451657839331</c:v>
                </c:pt>
                <c:pt idx="213">
                  <c:v>-346.55573795032223</c:v>
                </c:pt>
                <c:pt idx="214">
                  <c:v>-342.21687876583655</c:v>
                </c:pt>
                <c:pt idx="215">
                  <c:v>-338.01440334740346</c:v>
                </c:pt>
                <c:pt idx="216">
                  <c:v>-333.93534775109475</c:v>
                </c:pt>
                <c:pt idx="217">
                  <c:v>-329.63907668001048</c:v>
                </c:pt>
                <c:pt idx="218">
                  <c:v>-324.70742434946789</c:v>
                </c:pt>
                <c:pt idx="219">
                  <c:v>-319.89454927358969</c:v>
                </c:pt>
                <c:pt idx="220">
                  <c:v>-315.1869324958094</c:v>
                </c:pt>
                <c:pt idx="221">
                  <c:v>-310.5577333614259</c:v>
                </c:pt>
                <c:pt idx="222">
                  <c:v>-306.01279387706154</c:v>
                </c:pt>
                <c:pt idx="223">
                  <c:v>-301.54235920545477</c:v>
                </c:pt>
                <c:pt idx="224">
                  <c:v>-297.13710602320464</c:v>
                </c:pt>
                <c:pt idx="225">
                  <c:v>-292.78805405495211</c:v>
                </c:pt>
                <c:pt idx="226">
                  <c:v>-288.48647920075172</c:v>
                </c:pt>
                <c:pt idx="227">
                  <c:v>-284.22383411938176</c:v>
                </c:pt>
                <c:pt idx="228">
                  <c:v>-279.99168187816372</c:v>
                </c:pt>
                <c:pt idx="229">
                  <c:v>-277.4824169103984</c:v>
                </c:pt>
                <c:pt idx="230">
                  <c:v>-273.28547276827192</c:v>
                </c:pt>
                <c:pt idx="231">
                  <c:v>-269.09394431526795</c:v>
                </c:pt>
                <c:pt idx="232">
                  <c:v>-264.89900430052444</c:v>
                </c:pt>
                <c:pt idx="233">
                  <c:v>-260.69150141901696</c:v>
                </c:pt>
                <c:pt idx="234">
                  <c:v>-256.46184454523137</c:v>
                </c:pt>
                <c:pt idx="235">
                  <c:v>-252.19989585539449</c:v>
                </c:pt>
                <c:pt idx="236">
                  <c:v>-247.89481821571769</c:v>
                </c:pt>
                <c:pt idx="237">
                  <c:v>-243.53491997130044</c:v>
                </c:pt>
                <c:pt idx="238">
                  <c:v>-239.10747121836906</c:v>
                </c:pt>
                <c:pt idx="239">
                  <c:v>-234.59847677221484</c:v>
                </c:pt>
                <c:pt idx="240">
                  <c:v>-229.99240766129321</c:v>
                </c:pt>
                <c:pt idx="241">
                  <c:v>-225.27188950961019</c:v>
                </c:pt>
                <c:pt idx="242">
                  <c:v>-220.41729958075385</c:v>
                </c:pt>
                <c:pt idx="243">
                  <c:v>-215.40629110332176</c:v>
                </c:pt>
                <c:pt idx="244">
                  <c:v>-210.21999859417377</c:v>
                </c:pt>
                <c:pt idx="245">
                  <c:v>-205.16521387304843</c:v>
                </c:pt>
                <c:pt idx="246">
                  <c:v>-199.89330583407283</c:v>
                </c:pt>
                <c:pt idx="247">
                  <c:v>-194.48241308024754</c:v>
                </c:pt>
                <c:pt idx="248">
                  <c:v>-188.6480248978269</c:v>
                </c:pt>
                <c:pt idx="249">
                  <c:v>-182.46450596258296</c:v>
                </c:pt>
                <c:pt idx="250">
                  <c:v>-175.86937557613419</c:v>
                </c:pt>
                <c:pt idx="251">
                  <c:v>-169.52367350294944</c:v>
                </c:pt>
                <c:pt idx="252">
                  <c:v>-163.693882559754</c:v>
                </c:pt>
                <c:pt idx="253">
                  <c:v>-157.37348786329676</c:v>
                </c:pt>
                <c:pt idx="254">
                  <c:v>-150.45484596226237</c:v>
                </c:pt>
                <c:pt idx="255">
                  <c:v>-142.97361929134607</c:v>
                </c:pt>
                <c:pt idx="256">
                  <c:v>-135.27849231666085</c:v>
                </c:pt>
                <c:pt idx="257">
                  <c:v>-127.35882717213674</c:v>
                </c:pt>
                <c:pt idx="258">
                  <c:v>-119.17966727576736</c:v>
                </c:pt>
                <c:pt idx="259">
                  <c:v>-110.70112026849442</c:v>
                </c:pt>
                <c:pt idx="260">
                  <c:v>-101.39499349962267</c:v>
                </c:pt>
                <c:pt idx="261">
                  <c:v>-91.064310967192711</c:v>
                </c:pt>
                <c:pt idx="262">
                  <c:v>-80.508583669741625</c:v>
                </c:pt>
                <c:pt idx="263">
                  <c:v>-69.694034071328701</c:v>
                </c:pt>
                <c:pt idx="264">
                  <c:v>-58.582478873581721</c:v>
                </c:pt>
                <c:pt idx="265">
                  <c:v>-47.13045781455218</c:v>
                </c:pt>
                <c:pt idx="266">
                  <c:v>-36.671306451739817</c:v>
                </c:pt>
                <c:pt idx="267">
                  <c:v>-27.230202965489685</c:v>
                </c:pt>
                <c:pt idx="268">
                  <c:v>-19.973662381806665</c:v>
                </c:pt>
                <c:pt idx="269">
                  <c:v>-10.193065277364179</c:v>
                </c:pt>
                <c:pt idx="270">
                  <c:v>-1.0230784457877647E-13</c:v>
                </c:pt>
                <c:pt idx="271">
                  <c:v>10.193065277363935</c:v>
                </c:pt>
                <c:pt idx="272">
                  <c:v>19.973662381806985</c:v>
                </c:pt>
                <c:pt idx="273">
                  <c:v>27.230202965489504</c:v>
                </c:pt>
                <c:pt idx="274">
                  <c:v>36.671306451739547</c:v>
                </c:pt>
                <c:pt idx="275">
                  <c:v>47.130457814551946</c:v>
                </c:pt>
                <c:pt idx="276">
                  <c:v>58.582478873581515</c:v>
                </c:pt>
                <c:pt idx="277">
                  <c:v>69.6940340713289</c:v>
                </c:pt>
                <c:pt idx="278">
                  <c:v>80.508583669741455</c:v>
                </c:pt>
                <c:pt idx="279">
                  <c:v>91.064310967192498</c:v>
                </c:pt>
                <c:pt idx="280">
                  <c:v>101.3949934996225</c:v>
                </c:pt>
                <c:pt idx="281">
                  <c:v>110.70112026849476</c:v>
                </c:pt>
                <c:pt idx="282">
                  <c:v>119.17966727576709</c:v>
                </c:pt>
                <c:pt idx="283">
                  <c:v>127.3588271721366</c:v>
                </c:pt>
                <c:pt idx="284">
                  <c:v>135.27849231666065</c:v>
                </c:pt>
                <c:pt idx="285">
                  <c:v>142.9736192913459</c:v>
                </c:pt>
                <c:pt idx="286">
                  <c:v>150.45484596226254</c:v>
                </c:pt>
                <c:pt idx="287">
                  <c:v>157.37348786329656</c:v>
                </c:pt>
                <c:pt idx="288">
                  <c:v>163.69388255975386</c:v>
                </c:pt>
                <c:pt idx="289">
                  <c:v>169.52367350294929</c:v>
                </c:pt>
                <c:pt idx="290">
                  <c:v>175.86937557613439</c:v>
                </c:pt>
                <c:pt idx="291">
                  <c:v>182.4645059625829</c:v>
                </c:pt>
                <c:pt idx="292">
                  <c:v>188.64802489782684</c:v>
                </c:pt>
                <c:pt idx="293">
                  <c:v>194.48241308024745</c:v>
                </c:pt>
                <c:pt idx="294">
                  <c:v>199.89330583407272</c:v>
                </c:pt>
                <c:pt idx="295">
                  <c:v>205.1652138730486</c:v>
                </c:pt>
                <c:pt idx="296">
                  <c:v>210.21999859417375</c:v>
                </c:pt>
                <c:pt idx="297">
                  <c:v>215.40629110332165</c:v>
                </c:pt>
                <c:pt idx="298">
                  <c:v>220.41729958075376</c:v>
                </c:pt>
                <c:pt idx="299">
                  <c:v>225.27188950961033</c:v>
                </c:pt>
                <c:pt idx="300">
                  <c:v>229.99240766129319</c:v>
                </c:pt>
                <c:pt idx="301">
                  <c:v>234.59847677221461</c:v>
                </c:pt>
                <c:pt idx="302">
                  <c:v>239.10747121836897</c:v>
                </c:pt>
                <c:pt idx="303">
                  <c:v>243.53491997130038</c:v>
                </c:pt>
                <c:pt idx="304">
                  <c:v>247.89481821571789</c:v>
                </c:pt>
                <c:pt idx="305">
                  <c:v>252.19989585539435</c:v>
                </c:pt>
                <c:pt idx="306">
                  <c:v>256.4618445452312</c:v>
                </c:pt>
                <c:pt idx="307">
                  <c:v>260.69150141901684</c:v>
                </c:pt>
                <c:pt idx="308">
                  <c:v>264.89900430052478</c:v>
                </c:pt>
                <c:pt idx="309">
                  <c:v>269.09394431526778</c:v>
                </c:pt>
                <c:pt idx="310">
                  <c:v>273.28547276827192</c:v>
                </c:pt>
                <c:pt idx="311">
                  <c:v>277.4824169103984</c:v>
                </c:pt>
                <c:pt idx="312">
                  <c:v>279.99168187816349</c:v>
                </c:pt>
                <c:pt idx="313">
                  <c:v>284.22383411938171</c:v>
                </c:pt>
                <c:pt idx="314">
                  <c:v>288.48647920075177</c:v>
                </c:pt>
                <c:pt idx="315">
                  <c:v>292.78805405495183</c:v>
                </c:pt>
                <c:pt idx="316">
                  <c:v>297.13710602320458</c:v>
                </c:pt>
                <c:pt idx="317">
                  <c:v>301.54235920545477</c:v>
                </c:pt>
                <c:pt idx="318">
                  <c:v>306.0127938770616</c:v>
                </c:pt>
                <c:pt idx="319">
                  <c:v>310.5577333614259</c:v>
                </c:pt>
                <c:pt idx="320">
                  <c:v>315.18693249580934</c:v>
                </c:pt>
                <c:pt idx="321">
                  <c:v>319.89454927358963</c:v>
                </c:pt>
                <c:pt idx="322">
                  <c:v>324.70742434946789</c:v>
                </c:pt>
                <c:pt idx="323">
                  <c:v>329.63907668001048</c:v>
                </c:pt>
                <c:pt idx="324">
                  <c:v>333.9353477510947</c:v>
                </c:pt>
                <c:pt idx="325">
                  <c:v>338.0144033474034</c:v>
                </c:pt>
                <c:pt idx="326">
                  <c:v>342.2168787658365</c:v>
                </c:pt>
                <c:pt idx="327">
                  <c:v>346.55573795032205</c:v>
                </c:pt>
                <c:pt idx="328">
                  <c:v>351.04516578393316</c:v>
                </c:pt>
                <c:pt idx="329">
                  <c:v>355.70078839708111</c:v>
                </c:pt>
                <c:pt idx="330">
                  <c:v>360.5399064576647</c:v>
                </c:pt>
                <c:pt idx="331">
                  <c:v>365.56899306628799</c:v>
                </c:pt>
                <c:pt idx="332">
                  <c:v>370.79752052000583</c:v>
                </c:pt>
                <c:pt idx="333">
                  <c:v>376.25989816166782</c:v>
                </c:pt>
                <c:pt idx="334">
                  <c:v>382.28804618772335</c:v>
                </c:pt>
                <c:pt idx="335">
                  <c:v>387.86041539545903</c:v>
                </c:pt>
                <c:pt idx="336">
                  <c:v>393.44489071424783</c:v>
                </c:pt>
                <c:pt idx="337">
                  <c:v>399.04957346536031</c:v>
                </c:pt>
                <c:pt idx="338">
                  <c:v>404.51762092166604</c:v>
                </c:pt>
                <c:pt idx="339">
                  <c:v>409.25618056603213</c:v>
                </c:pt>
                <c:pt idx="340">
                  <c:v>414.04229171610677</c:v>
                </c:pt>
                <c:pt idx="341">
                  <c:v>418.88507354191597</c:v>
                </c:pt>
                <c:pt idx="342">
                  <c:v>422.30931966064696</c:v>
                </c:pt>
                <c:pt idx="343">
                  <c:v>424.33749850360459</c:v>
                </c:pt>
                <c:pt idx="344">
                  <c:v>426.32950579236262</c:v>
                </c:pt>
                <c:pt idx="345">
                  <c:v>427.61950253310579</c:v>
                </c:pt>
                <c:pt idx="346">
                  <c:v>429.54271454415533</c:v>
                </c:pt>
                <c:pt idx="347">
                  <c:v>431.4423374304194</c:v>
                </c:pt>
                <c:pt idx="348">
                  <c:v>433.32257974289377</c:v>
                </c:pt>
                <c:pt idx="349">
                  <c:v>435.18767895317495</c:v>
                </c:pt>
                <c:pt idx="350">
                  <c:v>437.04192136695173</c:v>
                </c:pt>
                <c:pt idx="351">
                  <c:v>438.88969024791265</c:v>
                </c:pt>
                <c:pt idx="352">
                  <c:v>440.73548455083341</c:v>
                </c:pt>
                <c:pt idx="353">
                  <c:v>442.58397948835307</c:v>
                </c:pt>
                <c:pt idx="354">
                  <c:v>444.4400280989733</c:v>
                </c:pt>
                <c:pt idx="355">
                  <c:v>445.88938503385026</c:v>
                </c:pt>
                <c:pt idx="356">
                  <c:v>446.58319968677853</c:v>
                </c:pt>
                <c:pt idx="357">
                  <c:v>447.2556724964773</c:v>
                </c:pt>
                <c:pt idx="358">
                  <c:v>447.90988586880479</c:v>
                </c:pt>
                <c:pt idx="359">
                  <c:v>448.54912822812827</c:v>
                </c:pt>
                <c:pt idx="360">
                  <c:v>449.17699700282668</c:v>
                </c:pt>
                <c:pt idx="361">
                  <c:v>449.17699700282668</c:v>
                </c:pt>
              </c:numCache>
            </c:numRef>
          </c:xVal>
          <c:yVal>
            <c:numRef>
              <c:f>'Cross Section Analysis'!$C$129:$C$490</c:f>
              <c:numCache>
                <c:formatCode>0.000</c:formatCode>
                <c:ptCount val="362"/>
                <c:pt idx="0">
                  <c:v>0</c:v>
                </c:pt>
                <c:pt idx="1">
                  <c:v>4.6414562489679172</c:v>
                </c:pt>
                <c:pt idx="2">
                  <c:v>9.1698488256299573</c:v>
                </c:pt>
                <c:pt idx="3">
                  <c:v>13.597773778352533</c:v>
                </c:pt>
                <c:pt idx="4">
                  <c:v>17.936497800120268</c:v>
                </c:pt>
                <c:pt idx="5">
                  <c:v>22.196162073417934</c:v>
                </c:pt>
                <c:pt idx="6">
                  <c:v>27.042413366685395</c:v>
                </c:pt>
                <c:pt idx="7">
                  <c:v>32.169931776066583</c:v>
                </c:pt>
                <c:pt idx="8">
                  <c:v>37.211977676290772</c:v>
                </c:pt>
                <c:pt idx="9">
                  <c:v>42.177073985818417</c:v>
                </c:pt>
                <c:pt idx="10">
                  <c:v>47.073188906328724</c:v>
                </c:pt>
                <c:pt idx="11">
                  <c:v>51.907806659842443</c:v>
                </c:pt>
                <c:pt idx="12">
                  <c:v>56.687984978803748</c:v>
                </c:pt>
                <c:pt idx="13">
                  <c:v>61.420409499321323</c:v>
                </c:pt>
                <c:pt idx="14">
                  <c:v>66.111440416299928</c:v>
                </c:pt>
                <c:pt idx="15">
                  <c:v>70.767156384887528</c:v>
                </c:pt>
                <c:pt idx="16">
                  <c:v>73.841660376797208</c:v>
                </c:pt>
                <c:pt idx="17">
                  <c:v>78.45075600486598</c:v>
                </c:pt>
                <c:pt idx="18">
                  <c:v>83.041141463742235</c:v>
                </c:pt>
                <c:pt idx="19">
                  <c:v>87.301253173019035</c:v>
                </c:pt>
                <c:pt idx="20">
                  <c:v>91.172584512450825</c:v>
                </c:pt>
                <c:pt idx="21">
                  <c:v>94.988052087886174</c:v>
                </c:pt>
                <c:pt idx="22">
                  <c:v>98.754495257351991</c:v>
                </c:pt>
                <c:pt idx="23">
                  <c:v>103.21017373787957</c:v>
                </c:pt>
                <c:pt idx="24">
                  <c:v>107.77448336452693</c:v>
                </c:pt>
                <c:pt idx="25">
                  <c:v>112.29488546198776</c:v>
                </c:pt>
                <c:pt idx="26">
                  <c:v>116.77717771948952</c:v>
                </c:pt>
                <c:pt idx="27">
                  <c:v>119.70910011997721</c:v>
                </c:pt>
                <c:pt idx="28">
                  <c:v>124.05760580981931</c:v>
                </c:pt>
                <c:pt idx="29">
                  <c:v>128.17284960344384</c:v>
                </c:pt>
                <c:pt idx="30">
                  <c:v>132.03684266693523</c:v>
                </c:pt>
                <c:pt idx="31">
                  <c:v>135.69931546950593</c:v>
                </c:pt>
                <c:pt idx="32">
                  <c:v>139.21011105764177</c:v>
                </c:pt>
                <c:pt idx="33">
                  <c:v>142.5884250702361</c:v>
                </c:pt>
                <c:pt idx="34">
                  <c:v>145.85118624454847</c:v>
                </c:pt>
                <c:pt idx="35">
                  <c:v>149.01342609318837</c:v>
                </c:pt>
                <c:pt idx="36">
                  <c:v>152.08859110815843</c:v>
                </c:pt>
                <c:pt idx="37">
                  <c:v>155.2819698472928</c:v>
                </c:pt>
                <c:pt idx="38">
                  <c:v>158.84112264578121</c:v>
                </c:pt>
                <c:pt idx="39">
                  <c:v>162.32611183215346</c:v>
                </c:pt>
                <c:pt idx="40">
                  <c:v>165.73884354654959</c:v>
                </c:pt>
                <c:pt idx="41">
                  <c:v>169.00912134580011</c:v>
                </c:pt>
                <c:pt idx="42">
                  <c:v>172.2281060019543</c:v>
                </c:pt>
                <c:pt idx="43">
                  <c:v>175.40495765106064</c:v>
                </c:pt>
                <c:pt idx="44">
                  <c:v>178.5483351235375</c:v>
                </c:pt>
                <c:pt idx="45">
                  <c:v>181.6664948777306</c:v>
                </c:pt>
                <c:pt idx="46">
                  <c:v>184.76737918658057</c:v>
                </c:pt>
                <c:pt idx="47">
                  <c:v>187.85869978596429</c:v>
                </c:pt>
                <c:pt idx="48">
                  <c:v>190.94802328902949</c:v>
                </c:pt>
                <c:pt idx="49">
                  <c:v>193.87676102274517</c:v>
                </c:pt>
                <c:pt idx="50">
                  <c:v>196.98327939958094</c:v>
                </c:pt>
                <c:pt idx="51">
                  <c:v>200.11056005480535</c:v>
                </c:pt>
                <c:pt idx="52">
                  <c:v>203.26629914206964</c:v>
                </c:pt>
                <c:pt idx="53">
                  <c:v>206.4584212607881</c:v>
                </c:pt>
                <c:pt idx="54">
                  <c:v>209.6951576445552</c:v>
                </c:pt>
                <c:pt idx="55">
                  <c:v>212.98514479683857</c:v>
                </c:pt>
                <c:pt idx="56">
                  <c:v>216.33751465064307</c:v>
                </c:pt>
                <c:pt idx="57">
                  <c:v>219.76200795834859</c:v>
                </c:pt>
                <c:pt idx="58">
                  <c:v>223.26910178477345</c:v>
                </c:pt>
                <c:pt idx="59">
                  <c:v>226.87014984247304</c:v>
                </c:pt>
                <c:pt idx="60">
                  <c:v>230.57754698421346</c:v>
                </c:pt>
                <c:pt idx="61">
                  <c:v>234.40493031508504</c:v>
                </c:pt>
                <c:pt idx="62">
                  <c:v>238.36740250268269</c:v>
                </c:pt>
                <c:pt idx="63">
                  <c:v>242.48181149502821</c:v>
                </c:pt>
                <c:pt idx="64">
                  <c:v>246.75382733989019</c:v>
                </c:pt>
                <c:pt idx="65">
                  <c:v>250.55770897656194</c:v>
                </c:pt>
                <c:pt idx="66">
                  <c:v>254.53905226857796</c:v>
                </c:pt>
                <c:pt idx="67">
                  <c:v>257.7308508983902</c:v>
                </c:pt>
                <c:pt idx="68">
                  <c:v>262.13887424160754</c:v>
                </c:pt>
                <c:pt idx="69">
                  <c:v>266.80627320776182</c:v>
                </c:pt>
                <c:pt idx="70">
                  <c:v>271.77010608190392</c:v>
                </c:pt>
                <c:pt idx="71">
                  <c:v>276.44434618007841</c:v>
                </c:pt>
                <c:pt idx="72">
                  <c:v>280.59372927870157</c:v>
                </c:pt>
                <c:pt idx="73">
                  <c:v>285.05609631315428</c:v>
                </c:pt>
                <c:pt idx="74">
                  <c:v>289.88469060838992</c:v>
                </c:pt>
                <c:pt idx="75">
                  <c:v>295.04189841949545</c:v>
                </c:pt>
                <c:pt idx="76">
                  <c:v>300.31408554940748</c:v>
                </c:pt>
                <c:pt idx="77">
                  <c:v>305.71284476935301</c:v>
                </c:pt>
                <c:pt idx="78">
                  <c:v>311.26446983114681</c:v>
                </c:pt>
                <c:pt idx="79">
                  <c:v>316.99817563323131</c:v>
                </c:pt>
                <c:pt idx="80">
                  <c:v>321.55698344170901</c:v>
                </c:pt>
                <c:pt idx="81">
                  <c:v>323.93288496645539</c:v>
                </c:pt>
                <c:pt idx="82">
                  <c:v>326.26939288115778</c:v>
                </c:pt>
                <c:pt idx="83">
                  <c:v>328.57826433456307</c:v>
                </c:pt>
                <c:pt idx="84">
                  <c:v>330.87230429441598</c:v>
                </c:pt>
                <c:pt idx="85">
                  <c:v>333.16571293362421</c:v>
                </c:pt>
                <c:pt idx="86">
                  <c:v>335.20658501631652</c:v>
                </c:pt>
                <c:pt idx="87">
                  <c:v>335.79265612706405</c:v>
                </c:pt>
                <c:pt idx="88">
                  <c:v>336.03581680564434</c:v>
                </c:pt>
                <c:pt idx="89">
                  <c:v>336.23486765661283</c:v>
                </c:pt>
                <c:pt idx="90">
                  <c:v>336.32337040635474</c:v>
                </c:pt>
                <c:pt idx="91">
                  <c:v>336.23486765661306</c:v>
                </c:pt>
                <c:pt idx="92">
                  <c:v>336.0358168056444</c:v>
                </c:pt>
                <c:pt idx="93">
                  <c:v>335.79265612706405</c:v>
                </c:pt>
                <c:pt idx="94">
                  <c:v>335.20658501631652</c:v>
                </c:pt>
                <c:pt idx="95">
                  <c:v>333.16571293362421</c:v>
                </c:pt>
                <c:pt idx="96">
                  <c:v>330.87230429441593</c:v>
                </c:pt>
                <c:pt idx="97">
                  <c:v>328.5782643345633</c:v>
                </c:pt>
                <c:pt idx="98">
                  <c:v>326.26939288115778</c:v>
                </c:pt>
                <c:pt idx="99">
                  <c:v>323.93288496645539</c:v>
                </c:pt>
                <c:pt idx="100">
                  <c:v>321.55698344170901</c:v>
                </c:pt>
                <c:pt idx="101">
                  <c:v>316.99817563323126</c:v>
                </c:pt>
                <c:pt idx="102">
                  <c:v>311.26446983114704</c:v>
                </c:pt>
                <c:pt idx="103">
                  <c:v>305.71284476935301</c:v>
                </c:pt>
                <c:pt idx="104">
                  <c:v>300.31408554940748</c:v>
                </c:pt>
                <c:pt idx="105">
                  <c:v>295.0418984194954</c:v>
                </c:pt>
                <c:pt idx="106">
                  <c:v>289.88469060839014</c:v>
                </c:pt>
                <c:pt idx="107">
                  <c:v>285.05609631315451</c:v>
                </c:pt>
                <c:pt idx="108">
                  <c:v>280.59372927870174</c:v>
                </c:pt>
                <c:pt idx="109">
                  <c:v>276.44434618007841</c:v>
                </c:pt>
                <c:pt idx="110">
                  <c:v>271.77010608190415</c:v>
                </c:pt>
                <c:pt idx="111">
                  <c:v>266.80627320776182</c:v>
                </c:pt>
                <c:pt idx="112">
                  <c:v>262.13887424160754</c:v>
                </c:pt>
                <c:pt idx="113">
                  <c:v>257.7308508983902</c:v>
                </c:pt>
                <c:pt idx="114">
                  <c:v>254.53905226857805</c:v>
                </c:pt>
                <c:pt idx="115">
                  <c:v>250.55770897656188</c:v>
                </c:pt>
                <c:pt idx="116">
                  <c:v>246.75382733989017</c:v>
                </c:pt>
                <c:pt idx="117">
                  <c:v>242.48181149502824</c:v>
                </c:pt>
                <c:pt idx="118">
                  <c:v>238.36740250268269</c:v>
                </c:pt>
                <c:pt idx="119">
                  <c:v>234.40493031508518</c:v>
                </c:pt>
                <c:pt idx="120">
                  <c:v>230.57754698421357</c:v>
                </c:pt>
                <c:pt idx="121">
                  <c:v>226.8701498424731</c:v>
                </c:pt>
                <c:pt idx="122">
                  <c:v>223.26910178477351</c:v>
                </c:pt>
                <c:pt idx="123">
                  <c:v>219.76200795834839</c:v>
                </c:pt>
                <c:pt idx="124">
                  <c:v>216.33751465064307</c:v>
                </c:pt>
                <c:pt idx="125">
                  <c:v>212.98514479683854</c:v>
                </c:pt>
                <c:pt idx="126">
                  <c:v>209.69515764455514</c:v>
                </c:pt>
                <c:pt idx="127">
                  <c:v>206.4584212607881</c:v>
                </c:pt>
                <c:pt idx="128">
                  <c:v>203.26629914206958</c:v>
                </c:pt>
                <c:pt idx="129">
                  <c:v>200.11056005480532</c:v>
                </c:pt>
                <c:pt idx="130">
                  <c:v>196.98327939958091</c:v>
                </c:pt>
                <c:pt idx="131">
                  <c:v>193.8767610227452</c:v>
                </c:pt>
                <c:pt idx="132">
                  <c:v>190.94802328902952</c:v>
                </c:pt>
                <c:pt idx="133">
                  <c:v>187.85869978596435</c:v>
                </c:pt>
                <c:pt idx="134">
                  <c:v>184.76737918658054</c:v>
                </c:pt>
                <c:pt idx="135">
                  <c:v>181.66649487773063</c:v>
                </c:pt>
                <c:pt idx="136">
                  <c:v>178.54833512353738</c:v>
                </c:pt>
                <c:pt idx="137">
                  <c:v>175.40495765106073</c:v>
                </c:pt>
                <c:pt idx="138">
                  <c:v>172.2281060019543</c:v>
                </c:pt>
                <c:pt idx="139">
                  <c:v>169.00912134580014</c:v>
                </c:pt>
                <c:pt idx="140">
                  <c:v>165.73884354654967</c:v>
                </c:pt>
                <c:pt idx="141">
                  <c:v>162.32611183215349</c:v>
                </c:pt>
                <c:pt idx="142">
                  <c:v>158.84112264578118</c:v>
                </c:pt>
                <c:pt idx="143">
                  <c:v>155.28196984729271</c:v>
                </c:pt>
                <c:pt idx="144">
                  <c:v>152.08859110815848</c:v>
                </c:pt>
                <c:pt idx="145">
                  <c:v>149.01342609318837</c:v>
                </c:pt>
                <c:pt idx="146">
                  <c:v>145.85118624454842</c:v>
                </c:pt>
                <c:pt idx="147">
                  <c:v>142.58842507023613</c:v>
                </c:pt>
                <c:pt idx="148">
                  <c:v>139.21011105764174</c:v>
                </c:pt>
                <c:pt idx="149">
                  <c:v>135.6993154695061</c:v>
                </c:pt>
                <c:pt idx="150">
                  <c:v>132.03684266693523</c:v>
                </c:pt>
                <c:pt idx="151">
                  <c:v>128.17284960344392</c:v>
                </c:pt>
                <c:pt idx="152">
                  <c:v>124.05760580981931</c:v>
                </c:pt>
                <c:pt idx="153">
                  <c:v>119.70910011997726</c:v>
                </c:pt>
                <c:pt idx="154">
                  <c:v>116.77717771948949</c:v>
                </c:pt>
                <c:pt idx="155">
                  <c:v>112.29488546198776</c:v>
                </c:pt>
                <c:pt idx="156">
                  <c:v>107.77448336452699</c:v>
                </c:pt>
                <c:pt idx="157">
                  <c:v>103.21017373787951</c:v>
                </c:pt>
                <c:pt idx="158">
                  <c:v>98.754495257352048</c:v>
                </c:pt>
                <c:pt idx="159">
                  <c:v>94.988052087886174</c:v>
                </c:pt>
                <c:pt idx="160">
                  <c:v>91.172584512450868</c:v>
                </c:pt>
                <c:pt idx="161">
                  <c:v>87.301253173018949</c:v>
                </c:pt>
                <c:pt idx="162">
                  <c:v>83.041141463742306</c:v>
                </c:pt>
                <c:pt idx="163">
                  <c:v>78.450756004865994</c:v>
                </c:pt>
                <c:pt idx="164">
                  <c:v>73.841660376797236</c:v>
                </c:pt>
                <c:pt idx="165">
                  <c:v>70.767156384887585</c:v>
                </c:pt>
                <c:pt idx="166">
                  <c:v>66.111440416299928</c:v>
                </c:pt>
                <c:pt idx="167">
                  <c:v>61.420409499321352</c:v>
                </c:pt>
                <c:pt idx="168">
                  <c:v>56.687984978803719</c:v>
                </c:pt>
                <c:pt idx="169">
                  <c:v>51.907806659842521</c:v>
                </c:pt>
                <c:pt idx="170">
                  <c:v>47.073188906328724</c:v>
                </c:pt>
                <c:pt idx="171">
                  <c:v>42.177073985818424</c:v>
                </c:pt>
                <c:pt idx="172">
                  <c:v>37.211977676290743</c:v>
                </c:pt>
                <c:pt idx="173">
                  <c:v>32.169931776066605</c:v>
                </c:pt>
                <c:pt idx="174">
                  <c:v>27.042413366685444</c:v>
                </c:pt>
                <c:pt idx="175">
                  <c:v>22.196162073417938</c:v>
                </c:pt>
                <c:pt idx="176">
                  <c:v>17.936497800120339</c:v>
                </c:pt>
                <c:pt idx="177">
                  <c:v>13.597773778352533</c:v>
                </c:pt>
                <c:pt idx="178">
                  <c:v>9.1698488256300319</c:v>
                </c:pt>
                <c:pt idx="179">
                  <c:v>4.6414562489679199</c:v>
                </c:pt>
                <c:pt idx="180">
                  <c:v>5.5030850385850699E-14</c:v>
                </c:pt>
                <c:pt idx="181">
                  <c:v>-4.6414562489679474</c:v>
                </c:pt>
                <c:pt idx="182">
                  <c:v>-9.1698488256299608</c:v>
                </c:pt>
                <c:pt idx="183">
                  <c:v>-13.597773778352439</c:v>
                </c:pt>
                <c:pt idx="184">
                  <c:v>-17.936497800120254</c:v>
                </c:pt>
                <c:pt idx="185">
                  <c:v>-22.196162073417863</c:v>
                </c:pt>
                <c:pt idx="186">
                  <c:v>-27.042413366685402</c:v>
                </c:pt>
                <c:pt idx="187">
                  <c:v>-32.169931776066555</c:v>
                </c:pt>
                <c:pt idx="188">
                  <c:v>-37.211977676290793</c:v>
                </c:pt>
                <c:pt idx="189">
                  <c:v>-42.177073985818375</c:v>
                </c:pt>
                <c:pt idx="190">
                  <c:v>-47.073188906328767</c:v>
                </c:pt>
                <c:pt idx="191">
                  <c:v>-51.907806659842443</c:v>
                </c:pt>
                <c:pt idx="192">
                  <c:v>-56.687984978803769</c:v>
                </c:pt>
                <c:pt idx="193">
                  <c:v>-61.420409499321288</c:v>
                </c:pt>
                <c:pt idx="194">
                  <c:v>-66.111440416299828</c:v>
                </c:pt>
                <c:pt idx="195">
                  <c:v>-70.767156384887542</c:v>
                </c:pt>
                <c:pt idx="196">
                  <c:v>-73.841660376797222</c:v>
                </c:pt>
                <c:pt idx="197">
                  <c:v>-78.45075600486598</c:v>
                </c:pt>
                <c:pt idx="198">
                  <c:v>-83.041141463742235</c:v>
                </c:pt>
                <c:pt idx="199">
                  <c:v>-87.301253173019035</c:v>
                </c:pt>
                <c:pt idx="200">
                  <c:v>-91.172584512450783</c:v>
                </c:pt>
                <c:pt idx="201">
                  <c:v>-94.988052087886246</c:v>
                </c:pt>
                <c:pt idx="202">
                  <c:v>-98.754495257352005</c:v>
                </c:pt>
                <c:pt idx="203">
                  <c:v>-103.21017373787951</c:v>
                </c:pt>
                <c:pt idx="204">
                  <c:v>-107.77448336452696</c:v>
                </c:pt>
                <c:pt idx="205">
                  <c:v>-112.2948854619877</c:v>
                </c:pt>
                <c:pt idx="206">
                  <c:v>-116.77717771948952</c:v>
                </c:pt>
                <c:pt idx="207">
                  <c:v>-119.70910011997724</c:v>
                </c:pt>
                <c:pt idx="208">
                  <c:v>-124.05760580981931</c:v>
                </c:pt>
                <c:pt idx="209">
                  <c:v>-128.17284960344386</c:v>
                </c:pt>
                <c:pt idx="210">
                  <c:v>-132.03684266693526</c:v>
                </c:pt>
                <c:pt idx="211">
                  <c:v>-135.69931546950593</c:v>
                </c:pt>
                <c:pt idx="212">
                  <c:v>-139.21011105764174</c:v>
                </c:pt>
                <c:pt idx="213">
                  <c:v>-142.5884250702361</c:v>
                </c:pt>
                <c:pt idx="214">
                  <c:v>-145.85118624454839</c:v>
                </c:pt>
                <c:pt idx="215">
                  <c:v>-149.0134260931884</c:v>
                </c:pt>
                <c:pt idx="216">
                  <c:v>-152.08859110815843</c:v>
                </c:pt>
                <c:pt idx="217">
                  <c:v>-155.28196984729286</c:v>
                </c:pt>
                <c:pt idx="218">
                  <c:v>-158.8411226457811</c:v>
                </c:pt>
                <c:pt idx="219">
                  <c:v>-162.32611183215352</c:v>
                </c:pt>
                <c:pt idx="220">
                  <c:v>-165.73884354654959</c:v>
                </c:pt>
                <c:pt idx="221">
                  <c:v>-169.00912134580008</c:v>
                </c:pt>
                <c:pt idx="222">
                  <c:v>-172.22810600195436</c:v>
                </c:pt>
                <c:pt idx="223">
                  <c:v>-175.40495765106064</c:v>
                </c:pt>
                <c:pt idx="224">
                  <c:v>-178.5483351235375</c:v>
                </c:pt>
                <c:pt idx="225">
                  <c:v>-181.66649487773068</c:v>
                </c:pt>
                <c:pt idx="226">
                  <c:v>-184.76737918658065</c:v>
                </c:pt>
                <c:pt idx="227">
                  <c:v>-187.85869978596435</c:v>
                </c:pt>
                <c:pt idx="228">
                  <c:v>-190.94802328902958</c:v>
                </c:pt>
                <c:pt idx="229">
                  <c:v>-193.87676102274514</c:v>
                </c:pt>
                <c:pt idx="230">
                  <c:v>-196.98327939958085</c:v>
                </c:pt>
                <c:pt idx="231">
                  <c:v>-200.11056005480515</c:v>
                </c:pt>
                <c:pt idx="232">
                  <c:v>-203.26629914206964</c:v>
                </c:pt>
                <c:pt idx="233">
                  <c:v>-206.4584212607881</c:v>
                </c:pt>
                <c:pt idx="234">
                  <c:v>-209.69515764455514</c:v>
                </c:pt>
                <c:pt idx="235">
                  <c:v>-212.98514479683854</c:v>
                </c:pt>
                <c:pt idx="236">
                  <c:v>-216.33751465064313</c:v>
                </c:pt>
                <c:pt idx="237">
                  <c:v>-219.76200795834851</c:v>
                </c:pt>
                <c:pt idx="238">
                  <c:v>-223.26910178477354</c:v>
                </c:pt>
                <c:pt idx="239">
                  <c:v>-226.87014984247304</c:v>
                </c:pt>
                <c:pt idx="240">
                  <c:v>-230.57754698421343</c:v>
                </c:pt>
                <c:pt idx="241">
                  <c:v>-234.40493031508521</c:v>
                </c:pt>
                <c:pt idx="242">
                  <c:v>-238.36740250268284</c:v>
                </c:pt>
                <c:pt idx="243">
                  <c:v>-242.48181149502815</c:v>
                </c:pt>
                <c:pt idx="244">
                  <c:v>-246.75382733989011</c:v>
                </c:pt>
                <c:pt idx="245">
                  <c:v>-250.55770897656197</c:v>
                </c:pt>
                <c:pt idx="246">
                  <c:v>-254.53905226857805</c:v>
                </c:pt>
                <c:pt idx="247">
                  <c:v>-257.7308508983902</c:v>
                </c:pt>
                <c:pt idx="248">
                  <c:v>-262.13887424160743</c:v>
                </c:pt>
                <c:pt idx="249">
                  <c:v>-266.80627320776159</c:v>
                </c:pt>
                <c:pt idx="250">
                  <c:v>-271.77010608190403</c:v>
                </c:pt>
                <c:pt idx="251">
                  <c:v>-276.44434618007841</c:v>
                </c:pt>
                <c:pt idx="252">
                  <c:v>-280.59372927870146</c:v>
                </c:pt>
                <c:pt idx="253">
                  <c:v>-285.0560963131544</c:v>
                </c:pt>
                <c:pt idx="254">
                  <c:v>-289.88469060839026</c:v>
                </c:pt>
                <c:pt idx="255">
                  <c:v>-295.0418984194954</c:v>
                </c:pt>
                <c:pt idx="256">
                  <c:v>-300.31408554940731</c:v>
                </c:pt>
                <c:pt idx="257">
                  <c:v>-305.71284476935301</c:v>
                </c:pt>
                <c:pt idx="258">
                  <c:v>-311.26446983114681</c:v>
                </c:pt>
                <c:pt idx="259">
                  <c:v>-316.99817563323143</c:v>
                </c:pt>
                <c:pt idx="260">
                  <c:v>-321.55698344170895</c:v>
                </c:pt>
                <c:pt idx="261">
                  <c:v>-323.93288496645528</c:v>
                </c:pt>
                <c:pt idx="262">
                  <c:v>-326.26939288115756</c:v>
                </c:pt>
                <c:pt idx="263">
                  <c:v>-328.57826433456324</c:v>
                </c:pt>
                <c:pt idx="264">
                  <c:v>-330.87230429441627</c:v>
                </c:pt>
                <c:pt idx="265">
                  <c:v>-333.16571293362415</c:v>
                </c:pt>
                <c:pt idx="266">
                  <c:v>-335.20658501631618</c:v>
                </c:pt>
                <c:pt idx="267">
                  <c:v>-335.79265612706388</c:v>
                </c:pt>
                <c:pt idx="268">
                  <c:v>-336.03581680564452</c:v>
                </c:pt>
                <c:pt idx="269">
                  <c:v>-336.23486765661283</c:v>
                </c:pt>
                <c:pt idx="270">
                  <c:v>-336.32337040635474</c:v>
                </c:pt>
                <c:pt idx="271">
                  <c:v>-336.23486765661306</c:v>
                </c:pt>
                <c:pt idx="272">
                  <c:v>-336.03581680564434</c:v>
                </c:pt>
                <c:pt idx="273">
                  <c:v>-335.79265612706405</c:v>
                </c:pt>
                <c:pt idx="274">
                  <c:v>-335.20658501631658</c:v>
                </c:pt>
                <c:pt idx="275">
                  <c:v>-333.16571293362449</c:v>
                </c:pt>
                <c:pt idx="276">
                  <c:v>-330.87230429441638</c:v>
                </c:pt>
                <c:pt idx="277">
                  <c:v>-328.57826433456302</c:v>
                </c:pt>
                <c:pt idx="278">
                  <c:v>-326.26939288115778</c:v>
                </c:pt>
                <c:pt idx="279">
                  <c:v>-323.93288496645533</c:v>
                </c:pt>
                <c:pt idx="280">
                  <c:v>-321.55698344170941</c:v>
                </c:pt>
                <c:pt idx="281">
                  <c:v>-316.99817563323114</c:v>
                </c:pt>
                <c:pt idx="282">
                  <c:v>-311.26446983114681</c:v>
                </c:pt>
                <c:pt idx="283">
                  <c:v>-305.71284476935301</c:v>
                </c:pt>
                <c:pt idx="284">
                  <c:v>-300.31408554940754</c:v>
                </c:pt>
                <c:pt idx="285">
                  <c:v>-295.04189841949551</c:v>
                </c:pt>
                <c:pt idx="286">
                  <c:v>-289.88469060838986</c:v>
                </c:pt>
                <c:pt idx="287">
                  <c:v>-285.05609631315434</c:v>
                </c:pt>
                <c:pt idx="288">
                  <c:v>-280.59372927870174</c:v>
                </c:pt>
                <c:pt idx="289">
                  <c:v>-276.44434618007864</c:v>
                </c:pt>
                <c:pt idx="290">
                  <c:v>-271.77010608190392</c:v>
                </c:pt>
                <c:pt idx="291">
                  <c:v>-266.80627320776182</c:v>
                </c:pt>
                <c:pt idx="292">
                  <c:v>-262.13887424160754</c:v>
                </c:pt>
                <c:pt idx="293">
                  <c:v>-257.73085089839026</c:v>
                </c:pt>
                <c:pt idx="294">
                  <c:v>-254.53905226857819</c:v>
                </c:pt>
                <c:pt idx="295">
                  <c:v>-250.55770897656188</c:v>
                </c:pt>
                <c:pt idx="296">
                  <c:v>-246.75382733989011</c:v>
                </c:pt>
                <c:pt idx="297">
                  <c:v>-242.48181149502824</c:v>
                </c:pt>
                <c:pt idx="298">
                  <c:v>-238.36740250268284</c:v>
                </c:pt>
                <c:pt idx="299">
                  <c:v>-234.40493031508504</c:v>
                </c:pt>
                <c:pt idx="300">
                  <c:v>-230.57754698421357</c:v>
                </c:pt>
                <c:pt idx="301">
                  <c:v>-226.87014984247304</c:v>
                </c:pt>
                <c:pt idx="302">
                  <c:v>-223.26910178477354</c:v>
                </c:pt>
                <c:pt idx="303">
                  <c:v>-219.76200795834865</c:v>
                </c:pt>
                <c:pt idx="304">
                  <c:v>-216.33751465064307</c:v>
                </c:pt>
                <c:pt idx="305">
                  <c:v>-212.98514479683854</c:v>
                </c:pt>
                <c:pt idx="306">
                  <c:v>-209.69515764455522</c:v>
                </c:pt>
                <c:pt idx="307">
                  <c:v>-206.45842126078819</c:v>
                </c:pt>
                <c:pt idx="308">
                  <c:v>-203.26629914206961</c:v>
                </c:pt>
                <c:pt idx="309">
                  <c:v>-200.11056005480523</c:v>
                </c:pt>
                <c:pt idx="310">
                  <c:v>-196.98327939958091</c:v>
                </c:pt>
                <c:pt idx="311">
                  <c:v>-193.87676102274526</c:v>
                </c:pt>
                <c:pt idx="312">
                  <c:v>-190.94802328902963</c:v>
                </c:pt>
                <c:pt idx="313">
                  <c:v>-187.85869978596432</c:v>
                </c:pt>
                <c:pt idx="314">
                  <c:v>-184.76737918658063</c:v>
                </c:pt>
                <c:pt idx="315">
                  <c:v>-181.66649487773066</c:v>
                </c:pt>
                <c:pt idx="316">
                  <c:v>-178.5483351235375</c:v>
                </c:pt>
                <c:pt idx="317">
                  <c:v>-175.40495765106058</c:v>
                </c:pt>
                <c:pt idx="318">
                  <c:v>-172.22810600195436</c:v>
                </c:pt>
                <c:pt idx="319">
                  <c:v>-169.00912134580017</c:v>
                </c:pt>
                <c:pt idx="320">
                  <c:v>-165.73884354654967</c:v>
                </c:pt>
                <c:pt idx="321">
                  <c:v>-162.3261118321536</c:v>
                </c:pt>
                <c:pt idx="322">
                  <c:v>-158.84112264578118</c:v>
                </c:pt>
                <c:pt idx="323">
                  <c:v>-155.28196984729277</c:v>
                </c:pt>
                <c:pt idx="324">
                  <c:v>-152.08859110815851</c:v>
                </c:pt>
                <c:pt idx="325">
                  <c:v>-149.01342609318857</c:v>
                </c:pt>
                <c:pt idx="326">
                  <c:v>-145.85118624454827</c:v>
                </c:pt>
                <c:pt idx="327">
                  <c:v>-142.58842507023601</c:v>
                </c:pt>
                <c:pt idx="328">
                  <c:v>-139.21011105764183</c:v>
                </c:pt>
                <c:pt idx="329">
                  <c:v>-135.6993154695061</c:v>
                </c:pt>
                <c:pt idx="330">
                  <c:v>-132.03684266693534</c:v>
                </c:pt>
                <c:pt idx="331">
                  <c:v>-128.17284960344386</c:v>
                </c:pt>
                <c:pt idx="332">
                  <c:v>-124.05760580981929</c:v>
                </c:pt>
                <c:pt idx="333">
                  <c:v>-119.70910011997734</c:v>
                </c:pt>
                <c:pt idx="334">
                  <c:v>-116.77717771948961</c:v>
                </c:pt>
                <c:pt idx="335">
                  <c:v>-112.29488546198766</c:v>
                </c:pt>
                <c:pt idx="336">
                  <c:v>-107.77448336452693</c:v>
                </c:pt>
                <c:pt idx="337">
                  <c:v>-103.21017373787957</c:v>
                </c:pt>
                <c:pt idx="338">
                  <c:v>-98.754495257352062</c:v>
                </c:pt>
                <c:pt idx="339">
                  <c:v>-94.988052087886302</c:v>
                </c:pt>
                <c:pt idx="340">
                  <c:v>-91.172584512450754</c:v>
                </c:pt>
                <c:pt idx="341">
                  <c:v>-87.301253173019035</c:v>
                </c:pt>
                <c:pt idx="342">
                  <c:v>-83.041141463742306</c:v>
                </c:pt>
                <c:pt idx="343">
                  <c:v>-78.450756004866108</c:v>
                </c:pt>
                <c:pt idx="344">
                  <c:v>-73.841660376797179</c:v>
                </c:pt>
                <c:pt idx="345">
                  <c:v>-70.7671563848875</c:v>
                </c:pt>
                <c:pt idx="346">
                  <c:v>-66.111440416299956</c:v>
                </c:pt>
                <c:pt idx="347">
                  <c:v>-61.420409499321373</c:v>
                </c:pt>
                <c:pt idx="348">
                  <c:v>-56.687984978803875</c:v>
                </c:pt>
                <c:pt idx="349">
                  <c:v>-51.907806659842407</c:v>
                </c:pt>
                <c:pt idx="350">
                  <c:v>-47.073188906328767</c:v>
                </c:pt>
                <c:pt idx="351">
                  <c:v>-42.177073985818488</c:v>
                </c:pt>
                <c:pt idx="352">
                  <c:v>-37.211977676290864</c:v>
                </c:pt>
                <c:pt idx="353">
                  <c:v>-32.169931776066534</c:v>
                </c:pt>
                <c:pt idx="354">
                  <c:v>-27.042413366685356</c:v>
                </c:pt>
                <c:pt idx="355">
                  <c:v>-22.196162073417963</c:v>
                </c:pt>
                <c:pt idx="356">
                  <c:v>-17.936497800120364</c:v>
                </c:pt>
                <c:pt idx="357">
                  <c:v>-13.597773778352682</c:v>
                </c:pt>
                <c:pt idx="358">
                  <c:v>-9.1698488256299573</c:v>
                </c:pt>
                <c:pt idx="359">
                  <c:v>-4.641456248967943</c:v>
                </c:pt>
                <c:pt idx="360">
                  <c:v>-1.100617007717014E-13</c:v>
                </c:pt>
                <c:pt idx="36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35-104B-91C4-30CCC9729C73}"/>
            </c:ext>
          </c:extLst>
        </c:ser>
        <c:ser>
          <c:idx val="1"/>
          <c:order val="1"/>
          <c:tx>
            <c:v>goal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tx1">
                  <a:lumMod val="95000"/>
                  <a:lumOff val="5000"/>
                </a:schemeClr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Analysis'!$B$119</c:f>
              <c:numCache>
                <c:formatCode>General</c:formatCode>
                <c:ptCount val="1"/>
                <c:pt idx="0">
                  <c:v>200</c:v>
                </c:pt>
              </c:numCache>
            </c:numRef>
          </c:xVal>
          <c:yVal>
            <c:numRef>
              <c:f>'Cross Section Analysis'!$B$120</c:f>
              <c:numCache>
                <c:formatCode>General</c:formatCode>
                <c:ptCount val="1"/>
                <c:pt idx="0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35-104B-91C4-30CCC9729C73}"/>
            </c:ext>
          </c:extLst>
        </c:ser>
        <c:ser>
          <c:idx val="2"/>
          <c:order val="2"/>
          <c:tx>
            <c:v>goal_line</c:v>
          </c:tx>
          <c:spPr>
            <a:ln w="1270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'Cross Section Analysis'!$H$124:$H$125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230.31609181540227</c:v>
                </c:pt>
              </c:numCache>
            </c:numRef>
          </c:xVal>
          <c:yVal>
            <c:numRef>
              <c:f>'Cross Section Analysis'!$I$124:$I$125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230.31610875764963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335-104B-91C4-30CCC9729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131712"/>
        <c:axId val="1892693248"/>
      </c:scatterChart>
      <c:valAx>
        <c:axId val="181713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693248"/>
        <c:crosses val="autoZero"/>
        <c:crossBetween val="midCat"/>
      </c:valAx>
      <c:valAx>
        <c:axId val="189269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13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P-M @ Goal Load Angle = Tan</a:t>
            </a:r>
            <a:r>
              <a:rPr lang="en-US" baseline="30000"/>
              <a:t>-1</a:t>
            </a:r>
            <a:r>
              <a:rPr lang="en-US"/>
              <a:t>(Mx/My)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p_m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'Cross Section Analysis'!$R$129:$R$231</c:f>
              <c:numCache>
                <c:formatCode>General</c:formatCode>
                <c:ptCount val="103"/>
                <c:pt idx="0">
                  <c:v>#N/A</c:v>
                </c:pt>
                <c:pt idx="1">
                  <c:v>1.0515187186171155E-3</c:v>
                </c:pt>
                <c:pt idx="2">
                  <c:v>63.536801819313396</c:v>
                </c:pt>
                <c:pt idx="3">
                  <c:v>115.43519130168032</c:v>
                </c:pt>
                <c:pt idx="4">
                  <c:v>164.99177348799532</c:v>
                </c:pt>
                <c:pt idx="5">
                  <c:v>207.28468610994662</c:v>
                </c:pt>
                <c:pt idx="6">
                  <c:v>246.11470279684474</c:v>
                </c:pt>
                <c:pt idx="7">
                  <c:v>282.03852685762905</c:v>
                </c:pt>
                <c:pt idx="8">
                  <c:v>308.39850370409744</c:v>
                </c:pt>
                <c:pt idx="9">
                  <c:v>319.08192223166662</c:v>
                </c:pt>
                <c:pt idx="10">
                  <c:v>327.34960726338522</c:v>
                </c:pt>
                <c:pt idx="11">
                  <c:v>330.94708899662902</c:v>
                </c:pt>
                <c:pt idx="12">
                  <c:v>330.18632928866185</c:v>
                </c:pt>
                <c:pt idx="13">
                  <c:v>327.62024500252693</c:v>
                </c:pt>
                <c:pt idx="14">
                  <c:v>321.27971903414431</c:v>
                </c:pt>
                <c:pt idx="15">
                  <c:v>323.34588110783233</c:v>
                </c:pt>
                <c:pt idx="16">
                  <c:v>324.33767470399266</c:v>
                </c:pt>
                <c:pt idx="17">
                  <c:v>323.66139747578467</c:v>
                </c:pt>
                <c:pt idx="18">
                  <c:v>320.83949267582136</c:v>
                </c:pt>
                <c:pt idx="19">
                  <c:v>315.48745365734879</c:v>
                </c:pt>
                <c:pt idx="20">
                  <c:v>307.65461701424874</c:v>
                </c:pt>
                <c:pt idx="21">
                  <c:v>296.92072572866516</c:v>
                </c:pt>
                <c:pt idx="22">
                  <c:v>282.97583116205874</c:v>
                </c:pt>
                <c:pt idx="23">
                  <c:v>265.08150892478062</c:v>
                </c:pt>
                <c:pt idx="24">
                  <c:v>243.03586253228806</c:v>
                </c:pt>
                <c:pt idx="25">
                  <c:v>216.76989504606442</c:v>
                </c:pt>
                <c:pt idx="26">
                  <c:v>185.51946922764228</c:v>
                </c:pt>
                <c:pt idx="27">
                  <c:v>0</c:v>
                </c:pt>
              </c:numCache>
            </c:numRef>
          </c:xVal>
          <c:yVal>
            <c:numRef>
              <c:f>'Cross Section Analysis'!$Q$129:$Q$231</c:f>
              <c:numCache>
                <c:formatCode>General</c:formatCode>
                <c:ptCount val="103"/>
                <c:pt idx="0">
                  <c:v>-511.92</c:v>
                </c:pt>
                <c:pt idx="1">
                  <c:v>-511.91900000000004</c:v>
                </c:pt>
                <c:pt idx="2">
                  <c:v>-442.26043200000004</c:v>
                </c:pt>
                <c:pt idx="3">
                  <c:v>-372.60186400000003</c:v>
                </c:pt>
                <c:pt idx="4">
                  <c:v>-302.94329600000003</c:v>
                </c:pt>
                <c:pt idx="5">
                  <c:v>-233.28472800000003</c:v>
                </c:pt>
                <c:pt idx="6">
                  <c:v>-163.62616000000003</c:v>
                </c:pt>
                <c:pt idx="7">
                  <c:v>-93.96759200000001</c:v>
                </c:pt>
                <c:pt idx="8">
                  <c:v>-24.309023999999994</c:v>
                </c:pt>
                <c:pt idx="9">
                  <c:v>45.349544000000023</c:v>
                </c:pt>
                <c:pt idx="10">
                  <c:v>115.00811200000004</c:v>
                </c:pt>
                <c:pt idx="11">
                  <c:v>184.66668000000004</c:v>
                </c:pt>
                <c:pt idx="12">
                  <c:v>254.32524800000004</c:v>
                </c:pt>
                <c:pt idx="13">
                  <c:v>323.98381600000005</c:v>
                </c:pt>
                <c:pt idx="14">
                  <c:v>393.64238400000005</c:v>
                </c:pt>
                <c:pt idx="15">
                  <c:v>463.30095200000005</c:v>
                </c:pt>
                <c:pt idx="16">
                  <c:v>532.95952000000011</c:v>
                </c:pt>
                <c:pt idx="17">
                  <c:v>602.61808800000017</c:v>
                </c:pt>
                <c:pt idx="18">
                  <c:v>672.27665600000023</c:v>
                </c:pt>
                <c:pt idx="19">
                  <c:v>741.93522400000029</c:v>
                </c:pt>
                <c:pt idx="20">
                  <c:v>811.59379200000035</c:v>
                </c:pt>
                <c:pt idx="21">
                  <c:v>881.25236000000041</c:v>
                </c:pt>
                <c:pt idx="22">
                  <c:v>950.91092800000047</c:v>
                </c:pt>
                <c:pt idx="23">
                  <c:v>1020.5694960000005</c:v>
                </c:pt>
                <c:pt idx="24">
                  <c:v>1090.2280640000006</c:v>
                </c:pt>
                <c:pt idx="25">
                  <c:v>1159.8866320000006</c:v>
                </c:pt>
                <c:pt idx="26">
                  <c:v>1229.5452000000007</c:v>
                </c:pt>
                <c:pt idx="27">
                  <c:v>1229.5452000000007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88-45A8-82B1-F1E57D0B9DAF}"/>
            </c:ext>
          </c:extLst>
        </c:ser>
        <c:ser>
          <c:idx val="1"/>
          <c:order val="1"/>
          <c:tx>
            <c:v>goal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tx1">
                  <a:lumMod val="95000"/>
                  <a:lumOff val="5000"/>
                </a:schemeClr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Analysis'!$E$120</c:f>
              <c:numCache>
                <c:formatCode>General</c:formatCode>
                <c:ptCount val="1"/>
                <c:pt idx="0">
                  <c:v>282.84271247461902</c:v>
                </c:pt>
              </c:numCache>
            </c:numRef>
          </c:xVal>
          <c:yVal>
            <c:numRef>
              <c:f>'Cross Section Analysis'!$D$120</c:f>
              <c:numCache>
                <c:formatCode>General</c:formatCode>
                <c:ptCount val="1"/>
                <c:pt idx="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88-45A8-82B1-F1E57D0B9DAF}"/>
            </c:ext>
          </c:extLst>
        </c:ser>
        <c:ser>
          <c:idx val="2"/>
          <c:order val="2"/>
          <c:tx>
            <c:v>goal_line</c:v>
          </c:tx>
          <c:spPr>
            <a:ln w="1270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7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Analysis'!$W$130:$W$131</c:f>
              <c:numCache>
                <c:formatCode>General</c:formatCode>
                <c:ptCount val="2"/>
                <c:pt idx="0">
                  <c:v>282.84271247461902</c:v>
                </c:pt>
                <c:pt idx="1">
                  <c:v>325.71615265808708</c:v>
                </c:pt>
              </c:numCache>
            </c:numRef>
          </c:xVal>
          <c:yVal>
            <c:numRef>
              <c:f>'Cross Section Analysis'!$V$130:$V$131</c:f>
              <c:numCache>
                <c:formatCode>General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88-45A8-82B1-F1E57D0B9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131712"/>
        <c:axId val="1892693248"/>
      </c:scatterChart>
      <c:valAx>
        <c:axId val="181713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693248"/>
        <c:crosses val="autoZero"/>
        <c:crossBetween val="midCat"/>
      </c:valAx>
      <c:valAx>
        <c:axId val="189269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13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Relation</a:t>
            </a:r>
            <a:r>
              <a:rPr lang="en-US" baseline="0"/>
              <a:t> of NA Angle to Mx v My Load Angle @ Goal P</a:t>
            </a:r>
            <a:endParaRPr lang="en-US"/>
          </a:p>
          <a:p>
            <a:pPr>
              <a:defRPr/>
            </a:pPr>
            <a:endParaRPr lang="en-US"/>
          </a:p>
        </c:rich>
      </c:tx>
      <c:layout>
        <c:manualLayout>
          <c:xMode val="edge"/>
          <c:yMode val="edge"/>
          <c:x val="0.28362741652021084"/>
          <c:y val="9.12547528517110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NA v Load Angle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xVal>
            <c:numRef>
              <c:f>'Cross Section Analysis'!$D$129:$D$489</c:f>
              <c:numCache>
                <c:formatCode>0.000</c:formatCode>
                <c:ptCount val="361"/>
                <c:pt idx="0">
                  <c:v>0</c:v>
                </c:pt>
                <c:pt idx="1">
                  <c:v>0.59285894461102939</c:v>
                </c:pt>
                <c:pt idx="2">
                  <c:v>1.1728257618890612</c:v>
                </c:pt>
                <c:pt idx="3">
                  <c:v>1.7414091848762481</c:v>
                </c:pt>
                <c:pt idx="4">
                  <c:v>2.2999825336581607</c:v>
                </c:pt>
                <c:pt idx="5">
                  <c:v>2.8498043391154506</c:v>
                </c:pt>
                <c:pt idx="6">
                  <c:v>3.4819282438698331</c:v>
                </c:pt>
                <c:pt idx="7">
                  <c:v>4.1573250857430724</c:v>
                </c:pt>
                <c:pt idx="8">
                  <c:v>4.8261249011116956</c:v>
                </c:pt>
                <c:pt idx="9">
                  <c:v>5.489238510532167</c:v>
                </c:pt>
                <c:pt idx="10">
                  <c:v>6.1475504341319045</c:v>
                </c:pt>
                <c:pt idx="11">
                  <c:v>6.801923505933936</c:v>
                </c:pt>
                <c:pt idx="12">
                  <c:v>7.4532032679205287</c:v>
                </c:pt>
                <c:pt idx="13">
                  <c:v>8.1022221394185046</c:v>
                </c:pt>
                <c:pt idx="14">
                  <c:v>8.7498036784218804</c:v>
                </c:pt>
                <c:pt idx="15">
                  <c:v>9.3967665998807544</c:v>
                </c:pt>
                <c:pt idx="16">
                  <c:v>9.826328550796763</c:v>
                </c:pt>
                <c:pt idx="17">
                  <c:v>10.474470714073105</c:v>
                </c:pt>
                <c:pt idx="18">
                  <c:v>11.124473684805107</c:v>
                </c:pt>
                <c:pt idx="19">
                  <c:v>11.772684309039166</c:v>
                </c:pt>
                <c:pt idx="20">
                  <c:v>12.418410484983752</c:v>
                </c:pt>
                <c:pt idx="21">
                  <c:v>13.066947064767065</c:v>
                </c:pt>
                <c:pt idx="22">
                  <c:v>13.719214228098256</c:v>
                </c:pt>
                <c:pt idx="23">
                  <c:v>14.501202731958895</c:v>
                </c:pt>
                <c:pt idx="24">
                  <c:v>15.318985456702391</c:v>
                </c:pt>
                <c:pt idx="25">
                  <c:v>16.146996900615431</c:v>
                </c:pt>
                <c:pt idx="26">
                  <c:v>16.986291580802948</c:v>
                </c:pt>
                <c:pt idx="27">
                  <c:v>17.648747184454429</c:v>
                </c:pt>
                <c:pt idx="28">
                  <c:v>18.498678585812542</c:v>
                </c:pt>
                <c:pt idx="29">
                  <c:v>19.32127492285445</c:v>
                </c:pt>
                <c:pt idx="30">
                  <c:v>20.113729538371224</c:v>
                </c:pt>
                <c:pt idx="31">
                  <c:v>20.881777638670236</c:v>
                </c:pt>
                <c:pt idx="32">
                  <c:v>21.631245817798685</c:v>
                </c:pt>
                <c:pt idx="33">
                  <c:v>22.364442676521051</c:v>
                </c:pt>
                <c:pt idx="34">
                  <c:v>23.083469462285006</c:v>
                </c:pt>
                <c:pt idx="35">
                  <c:v>23.790252089497027</c:v>
                </c:pt>
                <c:pt idx="36">
                  <c:v>24.486570775500148</c:v>
                </c:pt>
                <c:pt idx="37">
                  <c:v>25.223560113764801</c:v>
                </c:pt>
                <c:pt idx="38">
                  <c:v>26.067061692486305</c:v>
                </c:pt>
                <c:pt idx="39">
                  <c:v>26.904891966345023</c:v>
                </c:pt>
                <c:pt idx="40">
                  <c:v>27.737323930401168</c:v>
                </c:pt>
                <c:pt idx="41">
                  <c:v>28.55554519013041</c:v>
                </c:pt>
                <c:pt idx="42">
                  <c:v>29.371392976191</c:v>
                </c:pt>
                <c:pt idx="43">
                  <c:v>30.186246884351824</c:v>
                </c:pt>
                <c:pt idx="44">
                  <c:v>31.001466278403328</c:v>
                </c:pt>
                <c:pt idx="45">
                  <c:v>31.81840160348478</c:v>
                </c:pt>
                <c:pt idx="46">
                  <c:v>32.638405518163779</c:v>
                </c:pt>
                <c:pt idx="47">
                  <c:v>33.462843987288551</c:v>
                </c:pt>
                <c:pt idx="48">
                  <c:v>34.293107386056519</c:v>
                </c:pt>
                <c:pt idx="49">
                  <c:v>34.941971796297395</c:v>
                </c:pt>
                <c:pt idx="50">
                  <c:v>35.783940545753083</c:v>
                </c:pt>
                <c:pt idx="51">
                  <c:v>36.636179103281123</c:v>
                </c:pt>
                <c:pt idx="52">
                  <c:v>37.500291883496864</c:v>
                </c:pt>
                <c:pt idx="53">
                  <c:v>38.377974848105048</c:v>
                </c:pt>
                <c:pt idx="54">
                  <c:v>39.27103328418076</c:v>
                </c:pt>
                <c:pt idx="55">
                  <c:v>40.181401321623767</c:v>
                </c:pt>
                <c:pt idx="56">
                  <c:v>41.111164942587003</c:v>
                </c:pt>
                <c:pt idx="57">
                  <c:v>42.062587980192987</c:v>
                </c:pt>
                <c:pt idx="58">
                  <c:v>43.038142291748407</c:v>
                </c:pt>
                <c:pt idx="59">
                  <c:v>44.040543387433068</c:v>
                </c:pt>
                <c:pt idx="60">
                  <c:v>45.072792407004293</c:v>
                </c:pt>
                <c:pt idx="61">
                  <c:v>46.138225444317932</c:v>
                </c:pt>
                <c:pt idx="62">
                  <c:v>47.240573470547226</c:v>
                </c:pt>
                <c:pt idx="63">
                  <c:v>48.384033698173248</c:v>
                </c:pt>
                <c:pt idx="64">
                  <c:v>49.570921608378846</c:v>
                </c:pt>
                <c:pt idx="65">
                  <c:v>50.688211069713219</c:v>
                </c:pt>
                <c:pt idx="66">
                  <c:v>51.856925341842192</c:v>
                </c:pt>
                <c:pt idx="67">
                  <c:v>52.961977990701868</c:v>
                </c:pt>
                <c:pt idx="68">
                  <c:v>54.259353042701051</c:v>
                </c:pt>
                <c:pt idx="69">
                  <c:v>55.632405406375639</c:v>
                </c:pt>
                <c:pt idx="70">
                  <c:v>57.092062871959108</c:v>
                </c:pt>
                <c:pt idx="71">
                  <c:v>58.482169248066668</c:v>
                </c:pt>
                <c:pt idx="72">
                  <c:v>59.74139838843724</c:v>
                </c:pt>
                <c:pt idx="73">
                  <c:v>61.09783274483388</c:v>
                </c:pt>
                <c:pt idx="74">
                  <c:v>62.569956907554491</c:v>
                </c:pt>
                <c:pt idx="75">
                  <c:v>64.145751115453223</c:v>
                </c:pt>
                <c:pt idx="76">
                  <c:v>65.75049785732925</c:v>
                </c:pt>
                <c:pt idx="77">
                  <c:v>67.383572491107259</c:v>
                </c:pt>
                <c:pt idx="78">
                  <c:v>69.048718542020779</c:v>
                </c:pt>
                <c:pt idx="79">
                  <c:v>70.749935307457648</c:v>
                </c:pt>
                <c:pt idx="80">
                  <c:v>72.498627911885251</c:v>
                </c:pt>
                <c:pt idx="81">
                  <c:v>74.298215956011873</c:v>
                </c:pt>
                <c:pt idx="82">
                  <c:v>76.1388811206361</c:v>
                </c:pt>
                <c:pt idx="83">
                  <c:v>78.024599373951133</c:v>
                </c:pt>
                <c:pt idx="84">
                  <c:v>79.959570031993167</c:v>
                </c:pt>
                <c:pt idx="85">
                  <c:v>81.948221365657048</c:v>
                </c:pt>
                <c:pt idx="86">
                  <c:v>83.756719844475512</c:v>
                </c:pt>
                <c:pt idx="87">
                  <c:v>85.363897270531737</c:v>
                </c:pt>
                <c:pt idx="88">
                  <c:v>86.59839333473073</c:v>
                </c:pt>
                <c:pt idx="89">
                  <c:v>88.263592306386357</c:v>
                </c:pt>
                <c:pt idx="90">
                  <c:v>90</c:v>
                </c:pt>
                <c:pt idx="91">
                  <c:v>91.736407693613629</c:v>
                </c:pt>
                <c:pt idx="92">
                  <c:v>93.40160666526927</c:v>
                </c:pt>
                <c:pt idx="93">
                  <c:v>94.636102729468249</c:v>
                </c:pt>
                <c:pt idx="94">
                  <c:v>96.243280155524488</c:v>
                </c:pt>
                <c:pt idx="95">
                  <c:v>98.051778634342966</c:v>
                </c:pt>
                <c:pt idx="96">
                  <c:v>100.04042996800686</c:v>
                </c:pt>
                <c:pt idx="97">
                  <c:v>101.97540062604887</c:v>
                </c:pt>
                <c:pt idx="98">
                  <c:v>103.86111887936389</c:v>
                </c:pt>
                <c:pt idx="99">
                  <c:v>105.70178404398813</c:v>
                </c:pt>
                <c:pt idx="100">
                  <c:v>107.50137208811473</c:v>
                </c:pt>
                <c:pt idx="101">
                  <c:v>109.25006469254235</c:v>
                </c:pt>
                <c:pt idx="102">
                  <c:v>110.95128145797919</c:v>
                </c:pt>
                <c:pt idx="103">
                  <c:v>112.61642750889274</c:v>
                </c:pt>
                <c:pt idx="104">
                  <c:v>114.24950214267076</c:v>
                </c:pt>
                <c:pt idx="105">
                  <c:v>115.85424888454678</c:v>
                </c:pt>
                <c:pt idx="106">
                  <c:v>117.43004309244546</c:v>
                </c:pt>
                <c:pt idx="107">
                  <c:v>118.90216725516611</c:v>
                </c:pt>
                <c:pt idx="108">
                  <c:v>120.25860161156274</c:v>
                </c:pt>
                <c:pt idx="109">
                  <c:v>121.51783075193332</c:v>
                </c:pt>
                <c:pt idx="110">
                  <c:v>122.90793712804086</c:v>
                </c:pt>
                <c:pt idx="111">
                  <c:v>124.36759459362435</c:v>
                </c:pt>
                <c:pt idx="112">
                  <c:v>125.74064695729895</c:v>
                </c:pt>
                <c:pt idx="113">
                  <c:v>127.03802200929812</c:v>
                </c:pt>
                <c:pt idx="114">
                  <c:v>128.14307465815781</c:v>
                </c:pt>
                <c:pt idx="115">
                  <c:v>129.31178893028678</c:v>
                </c:pt>
                <c:pt idx="116">
                  <c:v>130.42907839162115</c:v>
                </c:pt>
                <c:pt idx="117">
                  <c:v>131.61596630182677</c:v>
                </c:pt>
                <c:pt idx="118">
                  <c:v>132.75942652945278</c:v>
                </c:pt>
                <c:pt idx="119">
                  <c:v>133.86177455568205</c:v>
                </c:pt>
                <c:pt idx="120">
                  <c:v>134.92720759299567</c:v>
                </c:pt>
                <c:pt idx="121">
                  <c:v>135.95945661256695</c:v>
                </c:pt>
                <c:pt idx="122">
                  <c:v>136.96185770825159</c:v>
                </c:pt>
                <c:pt idx="123">
                  <c:v>137.93741201980703</c:v>
                </c:pt>
                <c:pt idx="124">
                  <c:v>138.88883505741299</c:v>
                </c:pt>
                <c:pt idx="125">
                  <c:v>139.81859867837625</c:v>
                </c:pt>
                <c:pt idx="126">
                  <c:v>140.72896671581924</c:v>
                </c:pt>
                <c:pt idx="127">
                  <c:v>141.62202515189495</c:v>
                </c:pt>
                <c:pt idx="128">
                  <c:v>142.49970811650314</c:v>
                </c:pt>
                <c:pt idx="129">
                  <c:v>143.36382089671886</c:v>
                </c:pt>
                <c:pt idx="130">
                  <c:v>144.21605945424693</c:v>
                </c:pt>
                <c:pt idx="131">
                  <c:v>145.05802820370261</c:v>
                </c:pt>
                <c:pt idx="132">
                  <c:v>145.7068926139435</c:v>
                </c:pt>
                <c:pt idx="133">
                  <c:v>146.53715601271142</c:v>
                </c:pt>
                <c:pt idx="134">
                  <c:v>147.36159448183622</c:v>
                </c:pt>
                <c:pt idx="135">
                  <c:v>148.18159839651523</c:v>
                </c:pt>
                <c:pt idx="136">
                  <c:v>148.99853372159669</c:v>
                </c:pt>
                <c:pt idx="137">
                  <c:v>149.81375311564818</c:v>
                </c:pt>
                <c:pt idx="138">
                  <c:v>150.62860702380897</c:v>
                </c:pt>
                <c:pt idx="139">
                  <c:v>151.44445480986957</c:v>
                </c:pt>
                <c:pt idx="140">
                  <c:v>152.26267606959883</c:v>
                </c:pt>
                <c:pt idx="141">
                  <c:v>153.09510803365495</c:v>
                </c:pt>
                <c:pt idx="142">
                  <c:v>153.93293830751369</c:v>
                </c:pt>
                <c:pt idx="143">
                  <c:v>154.77643988623521</c:v>
                </c:pt>
                <c:pt idx="144">
                  <c:v>155.51342922449982</c:v>
                </c:pt>
                <c:pt idx="145">
                  <c:v>156.20974791050298</c:v>
                </c:pt>
                <c:pt idx="146">
                  <c:v>156.916530537715</c:v>
                </c:pt>
                <c:pt idx="147">
                  <c:v>157.63555732347893</c:v>
                </c:pt>
                <c:pt idx="148">
                  <c:v>158.36875418220131</c:v>
                </c:pt>
                <c:pt idx="149">
                  <c:v>159.11822236132977</c:v>
                </c:pt>
                <c:pt idx="150">
                  <c:v>159.88627046162878</c:v>
                </c:pt>
                <c:pt idx="151">
                  <c:v>160.67872507714554</c:v>
                </c:pt>
                <c:pt idx="152">
                  <c:v>161.50132141418746</c:v>
                </c:pt>
                <c:pt idx="153">
                  <c:v>162.35125281554556</c:v>
                </c:pt>
                <c:pt idx="154">
                  <c:v>163.01370841919706</c:v>
                </c:pt>
                <c:pt idx="155">
                  <c:v>163.85300309938458</c:v>
                </c:pt>
                <c:pt idx="156">
                  <c:v>164.68101454329758</c:v>
                </c:pt>
                <c:pt idx="157">
                  <c:v>165.4987972680411</c:v>
                </c:pt>
                <c:pt idx="158">
                  <c:v>166.28078577190172</c:v>
                </c:pt>
                <c:pt idx="159">
                  <c:v>166.93305293523292</c:v>
                </c:pt>
                <c:pt idx="160">
                  <c:v>167.58158951501625</c:v>
                </c:pt>
                <c:pt idx="161">
                  <c:v>168.22731569096084</c:v>
                </c:pt>
                <c:pt idx="162">
                  <c:v>168.87552631519486</c:v>
                </c:pt>
                <c:pt idx="163">
                  <c:v>169.52552928592689</c:v>
                </c:pt>
                <c:pt idx="164">
                  <c:v>170.17367144920323</c:v>
                </c:pt>
                <c:pt idx="165">
                  <c:v>170.60323340011922</c:v>
                </c:pt>
                <c:pt idx="166">
                  <c:v>171.25019632157813</c:v>
                </c:pt>
                <c:pt idx="167">
                  <c:v>171.8977778605815</c:v>
                </c:pt>
                <c:pt idx="168">
                  <c:v>172.54679673207949</c:v>
                </c:pt>
                <c:pt idx="169">
                  <c:v>173.19807649406604</c:v>
                </c:pt>
                <c:pt idx="170">
                  <c:v>173.85244956586808</c:v>
                </c:pt>
                <c:pt idx="171">
                  <c:v>174.51076148946785</c:v>
                </c:pt>
                <c:pt idx="172">
                  <c:v>175.17387509888832</c:v>
                </c:pt>
                <c:pt idx="173">
                  <c:v>175.84267491425692</c:v>
                </c:pt>
                <c:pt idx="174">
                  <c:v>176.51807175613015</c:v>
                </c:pt>
                <c:pt idx="175">
                  <c:v>177.15019566088455</c:v>
                </c:pt>
                <c:pt idx="176">
                  <c:v>177.70001746634185</c:v>
                </c:pt>
                <c:pt idx="177">
                  <c:v>178.25859081512374</c:v>
                </c:pt>
                <c:pt idx="178">
                  <c:v>178.82717423811093</c:v>
                </c:pt>
                <c:pt idx="179">
                  <c:v>179.40714105538899</c:v>
                </c:pt>
                <c:pt idx="180">
                  <c:v>180</c:v>
                </c:pt>
                <c:pt idx="181">
                  <c:v>180.59285894461104</c:v>
                </c:pt>
                <c:pt idx="182">
                  <c:v>181.17282576188904</c:v>
                </c:pt>
                <c:pt idx="183">
                  <c:v>181.74140918487626</c:v>
                </c:pt>
                <c:pt idx="184">
                  <c:v>182.29998253365815</c:v>
                </c:pt>
                <c:pt idx="185">
                  <c:v>182.84980433911545</c:v>
                </c:pt>
                <c:pt idx="186">
                  <c:v>183.48192824386982</c:v>
                </c:pt>
                <c:pt idx="187">
                  <c:v>184.15732508574308</c:v>
                </c:pt>
                <c:pt idx="188">
                  <c:v>184.82612490111168</c:v>
                </c:pt>
                <c:pt idx="189">
                  <c:v>185.48923851053215</c:v>
                </c:pt>
                <c:pt idx="190">
                  <c:v>186.14755043413192</c:v>
                </c:pt>
                <c:pt idx="191">
                  <c:v>186.80192350593396</c:v>
                </c:pt>
                <c:pt idx="192">
                  <c:v>187.45320326792051</c:v>
                </c:pt>
                <c:pt idx="193">
                  <c:v>188.1022221394185</c:v>
                </c:pt>
                <c:pt idx="194">
                  <c:v>188.74980367842187</c:v>
                </c:pt>
                <c:pt idx="195">
                  <c:v>189.39676659988078</c:v>
                </c:pt>
                <c:pt idx="196">
                  <c:v>189.82632855079677</c:v>
                </c:pt>
                <c:pt idx="197">
                  <c:v>190.47447071407311</c:v>
                </c:pt>
                <c:pt idx="198">
                  <c:v>191.12447368480511</c:v>
                </c:pt>
                <c:pt idx="199">
                  <c:v>191.77268430903916</c:v>
                </c:pt>
                <c:pt idx="200">
                  <c:v>192.41841048498375</c:v>
                </c:pt>
                <c:pt idx="201">
                  <c:v>193.06694706476708</c:v>
                </c:pt>
                <c:pt idx="202">
                  <c:v>193.71921422809825</c:v>
                </c:pt>
                <c:pt idx="203">
                  <c:v>194.5012027319589</c:v>
                </c:pt>
                <c:pt idx="204">
                  <c:v>195.31898545670239</c:v>
                </c:pt>
                <c:pt idx="205">
                  <c:v>196.14699690061542</c:v>
                </c:pt>
                <c:pt idx="206">
                  <c:v>196.98629158080294</c:v>
                </c:pt>
                <c:pt idx="207">
                  <c:v>197.64874718445444</c:v>
                </c:pt>
                <c:pt idx="208">
                  <c:v>198.49867858581257</c:v>
                </c:pt>
                <c:pt idx="209">
                  <c:v>199.32127492285443</c:v>
                </c:pt>
                <c:pt idx="210">
                  <c:v>200.11372953837122</c:v>
                </c:pt>
                <c:pt idx="211">
                  <c:v>200.88177763867023</c:v>
                </c:pt>
                <c:pt idx="212">
                  <c:v>201.63124581779869</c:v>
                </c:pt>
                <c:pt idx="213">
                  <c:v>202.36444267652104</c:v>
                </c:pt>
                <c:pt idx="214">
                  <c:v>203.083469462285</c:v>
                </c:pt>
                <c:pt idx="215">
                  <c:v>203.79025208949705</c:v>
                </c:pt>
                <c:pt idx="216">
                  <c:v>204.48657077550016</c:v>
                </c:pt>
                <c:pt idx="217">
                  <c:v>205.22356011376482</c:v>
                </c:pt>
                <c:pt idx="218">
                  <c:v>206.06706169248628</c:v>
                </c:pt>
                <c:pt idx="219">
                  <c:v>206.90489196634505</c:v>
                </c:pt>
                <c:pt idx="220">
                  <c:v>207.73732393040117</c:v>
                </c:pt>
                <c:pt idx="221">
                  <c:v>208.5555451901304</c:v>
                </c:pt>
                <c:pt idx="222">
                  <c:v>209.37139297619103</c:v>
                </c:pt>
                <c:pt idx="223">
                  <c:v>210.18624688435182</c:v>
                </c:pt>
                <c:pt idx="224">
                  <c:v>211.00146627840334</c:v>
                </c:pt>
                <c:pt idx="225">
                  <c:v>211.81840160348477</c:v>
                </c:pt>
                <c:pt idx="226">
                  <c:v>212.63840551816378</c:v>
                </c:pt>
                <c:pt idx="227">
                  <c:v>213.46284398728855</c:v>
                </c:pt>
                <c:pt idx="228">
                  <c:v>214.29310738605653</c:v>
                </c:pt>
                <c:pt idx="229">
                  <c:v>214.94197179629739</c:v>
                </c:pt>
                <c:pt idx="230">
                  <c:v>215.78394054575307</c:v>
                </c:pt>
                <c:pt idx="231">
                  <c:v>216.63617910328111</c:v>
                </c:pt>
                <c:pt idx="232">
                  <c:v>217.50029188349689</c:v>
                </c:pt>
                <c:pt idx="233">
                  <c:v>218.37797484810505</c:v>
                </c:pt>
                <c:pt idx="234">
                  <c:v>219.27103328418076</c:v>
                </c:pt>
                <c:pt idx="235">
                  <c:v>220.18140132162375</c:v>
                </c:pt>
                <c:pt idx="236">
                  <c:v>221.11116494258701</c:v>
                </c:pt>
                <c:pt idx="237">
                  <c:v>222.062587980193</c:v>
                </c:pt>
                <c:pt idx="238">
                  <c:v>223.03814229174841</c:v>
                </c:pt>
                <c:pt idx="239">
                  <c:v>224.04054338743302</c:v>
                </c:pt>
                <c:pt idx="240">
                  <c:v>225.07279240700427</c:v>
                </c:pt>
                <c:pt idx="241">
                  <c:v>226.13822544431795</c:v>
                </c:pt>
                <c:pt idx="242">
                  <c:v>227.24057347054725</c:v>
                </c:pt>
                <c:pt idx="243">
                  <c:v>228.38403369817323</c:v>
                </c:pt>
                <c:pt idx="244">
                  <c:v>229.57092160837885</c:v>
                </c:pt>
                <c:pt idx="245">
                  <c:v>230.68821106971322</c:v>
                </c:pt>
                <c:pt idx="246">
                  <c:v>231.85692534184219</c:v>
                </c:pt>
                <c:pt idx="247">
                  <c:v>232.96197799070188</c:v>
                </c:pt>
                <c:pt idx="248">
                  <c:v>234.25935304270104</c:v>
                </c:pt>
                <c:pt idx="249">
                  <c:v>235.63240540637563</c:v>
                </c:pt>
                <c:pt idx="250">
                  <c:v>237.09206287195914</c:v>
                </c:pt>
                <c:pt idx="251">
                  <c:v>238.48216924806667</c:v>
                </c:pt>
                <c:pt idx="252">
                  <c:v>239.7413983884372</c:v>
                </c:pt>
                <c:pt idx="253">
                  <c:v>241.09783274483385</c:v>
                </c:pt>
                <c:pt idx="254">
                  <c:v>242.56995690755454</c:v>
                </c:pt>
                <c:pt idx="255">
                  <c:v>244.14575111545324</c:v>
                </c:pt>
                <c:pt idx="256">
                  <c:v>245.75049785732921</c:v>
                </c:pt>
                <c:pt idx="257">
                  <c:v>247.38357249110726</c:v>
                </c:pt>
                <c:pt idx="258">
                  <c:v>249.04871854202074</c:v>
                </c:pt>
                <c:pt idx="259">
                  <c:v>250.74993530745769</c:v>
                </c:pt>
                <c:pt idx="260">
                  <c:v>252.49862791188525</c:v>
                </c:pt>
                <c:pt idx="261">
                  <c:v>254.29821595601186</c:v>
                </c:pt>
                <c:pt idx="262">
                  <c:v>256.13888112063603</c:v>
                </c:pt>
                <c:pt idx="263">
                  <c:v>258.02459937395116</c:v>
                </c:pt>
                <c:pt idx="264">
                  <c:v>259.95957003199317</c:v>
                </c:pt>
                <c:pt idx="265">
                  <c:v>261.94822136565705</c:v>
                </c:pt>
                <c:pt idx="266">
                  <c:v>263.75671984447547</c:v>
                </c:pt>
                <c:pt idx="267">
                  <c:v>265.36389727053171</c:v>
                </c:pt>
                <c:pt idx="268">
                  <c:v>266.59839333473076</c:v>
                </c:pt>
                <c:pt idx="269">
                  <c:v>268.26359230638639</c:v>
                </c:pt>
                <c:pt idx="270">
                  <c:v>270</c:v>
                </c:pt>
                <c:pt idx="271">
                  <c:v>271.73640769361361</c:v>
                </c:pt>
                <c:pt idx="272">
                  <c:v>273.4016066652693</c:v>
                </c:pt>
                <c:pt idx="273">
                  <c:v>274.63610272946823</c:v>
                </c:pt>
                <c:pt idx="274">
                  <c:v>276.24328015552447</c:v>
                </c:pt>
                <c:pt idx="275">
                  <c:v>278.0517786343429</c:v>
                </c:pt>
                <c:pt idx="276">
                  <c:v>280.04042996800678</c:v>
                </c:pt>
                <c:pt idx="277">
                  <c:v>281.97540062604889</c:v>
                </c:pt>
                <c:pt idx="278">
                  <c:v>283.86111887936391</c:v>
                </c:pt>
                <c:pt idx="279">
                  <c:v>285.70178404398814</c:v>
                </c:pt>
                <c:pt idx="280">
                  <c:v>287.50137208811469</c:v>
                </c:pt>
                <c:pt idx="281">
                  <c:v>289.25006469254237</c:v>
                </c:pt>
                <c:pt idx="282">
                  <c:v>290.95128145797923</c:v>
                </c:pt>
                <c:pt idx="283">
                  <c:v>292.61642750889274</c:v>
                </c:pt>
                <c:pt idx="284">
                  <c:v>294.24950214267074</c:v>
                </c:pt>
                <c:pt idx="285">
                  <c:v>295.85424888454673</c:v>
                </c:pt>
                <c:pt idx="286">
                  <c:v>297.43004309244554</c:v>
                </c:pt>
                <c:pt idx="287">
                  <c:v>298.90216725516609</c:v>
                </c:pt>
                <c:pt idx="288">
                  <c:v>300.25860161156271</c:v>
                </c:pt>
                <c:pt idx="289">
                  <c:v>301.51783075193327</c:v>
                </c:pt>
                <c:pt idx="290">
                  <c:v>302.90793712804088</c:v>
                </c:pt>
                <c:pt idx="291">
                  <c:v>304.36759459362435</c:v>
                </c:pt>
                <c:pt idx="292">
                  <c:v>305.74064695729896</c:v>
                </c:pt>
                <c:pt idx="293">
                  <c:v>307.03802200929812</c:v>
                </c:pt>
                <c:pt idx="294">
                  <c:v>308.14307465815779</c:v>
                </c:pt>
                <c:pt idx="295">
                  <c:v>309.31178893028681</c:v>
                </c:pt>
                <c:pt idx="296">
                  <c:v>310.42907839162115</c:v>
                </c:pt>
                <c:pt idx="297">
                  <c:v>311.61596630182675</c:v>
                </c:pt>
                <c:pt idx="298">
                  <c:v>312.75942652945275</c:v>
                </c:pt>
                <c:pt idx="299">
                  <c:v>313.86177455568208</c:v>
                </c:pt>
                <c:pt idx="300">
                  <c:v>314.92720759299567</c:v>
                </c:pt>
                <c:pt idx="301">
                  <c:v>315.95945661256695</c:v>
                </c:pt>
                <c:pt idx="302">
                  <c:v>316.96185770825156</c:v>
                </c:pt>
                <c:pt idx="303">
                  <c:v>317.93741201980697</c:v>
                </c:pt>
                <c:pt idx="304">
                  <c:v>318.88883505741302</c:v>
                </c:pt>
                <c:pt idx="305">
                  <c:v>319.81859867837625</c:v>
                </c:pt>
                <c:pt idx="306">
                  <c:v>320.72896671581918</c:v>
                </c:pt>
                <c:pt idx="307">
                  <c:v>321.62202515189495</c:v>
                </c:pt>
                <c:pt idx="308">
                  <c:v>322.49970811650314</c:v>
                </c:pt>
                <c:pt idx="309">
                  <c:v>323.36382089671889</c:v>
                </c:pt>
                <c:pt idx="310">
                  <c:v>324.21605945424693</c:v>
                </c:pt>
                <c:pt idx="311">
                  <c:v>325.05802820370258</c:v>
                </c:pt>
                <c:pt idx="312">
                  <c:v>325.70689261394341</c:v>
                </c:pt>
                <c:pt idx="313">
                  <c:v>326.53715601271142</c:v>
                </c:pt>
                <c:pt idx="314">
                  <c:v>327.36159448183622</c:v>
                </c:pt>
                <c:pt idx="315">
                  <c:v>328.1815983965152</c:v>
                </c:pt>
                <c:pt idx="316">
                  <c:v>328.99853372159663</c:v>
                </c:pt>
                <c:pt idx="317">
                  <c:v>329.81375311564818</c:v>
                </c:pt>
                <c:pt idx="318">
                  <c:v>330.62860702380897</c:v>
                </c:pt>
                <c:pt idx="319">
                  <c:v>331.44445480986957</c:v>
                </c:pt>
                <c:pt idx="320">
                  <c:v>332.2626760695988</c:v>
                </c:pt>
                <c:pt idx="321">
                  <c:v>333.09510803365492</c:v>
                </c:pt>
                <c:pt idx="322">
                  <c:v>333.93293830751372</c:v>
                </c:pt>
                <c:pt idx="323">
                  <c:v>334.77643988623521</c:v>
                </c:pt>
                <c:pt idx="324">
                  <c:v>335.51342922449982</c:v>
                </c:pt>
                <c:pt idx="325">
                  <c:v>336.20974791050293</c:v>
                </c:pt>
                <c:pt idx="326">
                  <c:v>336.916530537715</c:v>
                </c:pt>
                <c:pt idx="327">
                  <c:v>337.63555732347896</c:v>
                </c:pt>
                <c:pt idx="328">
                  <c:v>338.36875418220131</c:v>
                </c:pt>
                <c:pt idx="329">
                  <c:v>339.11822236132974</c:v>
                </c:pt>
                <c:pt idx="330">
                  <c:v>339.88627046162873</c:v>
                </c:pt>
                <c:pt idx="331">
                  <c:v>340.67872507714554</c:v>
                </c:pt>
                <c:pt idx="332">
                  <c:v>341.50132141418749</c:v>
                </c:pt>
                <c:pt idx="333">
                  <c:v>342.35125281554554</c:v>
                </c:pt>
                <c:pt idx="334">
                  <c:v>343.01370841919703</c:v>
                </c:pt>
                <c:pt idx="335">
                  <c:v>343.85300309938458</c:v>
                </c:pt>
                <c:pt idx="336">
                  <c:v>344.68101454329764</c:v>
                </c:pt>
                <c:pt idx="337">
                  <c:v>345.49879726804113</c:v>
                </c:pt>
                <c:pt idx="338">
                  <c:v>346.28078577190172</c:v>
                </c:pt>
                <c:pt idx="339">
                  <c:v>346.93305293523292</c:v>
                </c:pt>
                <c:pt idx="340">
                  <c:v>347.58158951501628</c:v>
                </c:pt>
                <c:pt idx="341">
                  <c:v>348.22731569096084</c:v>
                </c:pt>
                <c:pt idx="342">
                  <c:v>348.87552631519486</c:v>
                </c:pt>
                <c:pt idx="343">
                  <c:v>349.52552928592689</c:v>
                </c:pt>
                <c:pt idx="344">
                  <c:v>350.17367144920325</c:v>
                </c:pt>
                <c:pt idx="345">
                  <c:v>350.60323340011922</c:v>
                </c:pt>
                <c:pt idx="346">
                  <c:v>351.25019632157813</c:v>
                </c:pt>
                <c:pt idx="347">
                  <c:v>351.89777786058147</c:v>
                </c:pt>
                <c:pt idx="348">
                  <c:v>352.54679673207943</c:v>
                </c:pt>
                <c:pt idx="349">
                  <c:v>353.19807649406607</c:v>
                </c:pt>
                <c:pt idx="350">
                  <c:v>353.85244956586808</c:v>
                </c:pt>
                <c:pt idx="351">
                  <c:v>354.51076148946782</c:v>
                </c:pt>
                <c:pt idx="352">
                  <c:v>355.17387509888829</c:v>
                </c:pt>
                <c:pt idx="353">
                  <c:v>355.84267491425692</c:v>
                </c:pt>
                <c:pt idx="354">
                  <c:v>356.51807175613015</c:v>
                </c:pt>
                <c:pt idx="355">
                  <c:v>357.15019566088455</c:v>
                </c:pt>
                <c:pt idx="356">
                  <c:v>357.70001746634182</c:v>
                </c:pt>
                <c:pt idx="357">
                  <c:v>358.25859081512374</c:v>
                </c:pt>
                <c:pt idx="358">
                  <c:v>358.82717423811096</c:v>
                </c:pt>
                <c:pt idx="359">
                  <c:v>359.40714105538899</c:v>
                </c:pt>
                <c:pt idx="360">
                  <c:v>360</c:v>
                </c:pt>
              </c:numCache>
            </c:numRef>
          </c:xVal>
          <c:yVal>
            <c:numRef>
              <c:f>'Cross Section Analysis'!$A$129:$A$489</c:f>
              <c:numCache>
                <c:formatCode>General</c:formatCode>
                <c:ptCount val="361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-3</c:v>
                </c:pt>
                <c:pt idx="4">
                  <c:v>-4</c:v>
                </c:pt>
                <c:pt idx="5">
                  <c:v>-5</c:v>
                </c:pt>
                <c:pt idx="6">
                  <c:v>-6</c:v>
                </c:pt>
                <c:pt idx="7">
                  <c:v>-7</c:v>
                </c:pt>
                <c:pt idx="8">
                  <c:v>-8</c:v>
                </c:pt>
                <c:pt idx="9">
                  <c:v>-9</c:v>
                </c:pt>
                <c:pt idx="10">
                  <c:v>-10</c:v>
                </c:pt>
                <c:pt idx="11">
                  <c:v>-11</c:v>
                </c:pt>
                <c:pt idx="12">
                  <c:v>-12</c:v>
                </c:pt>
                <c:pt idx="13">
                  <c:v>-13</c:v>
                </c:pt>
                <c:pt idx="14">
                  <c:v>-14</c:v>
                </c:pt>
                <c:pt idx="15">
                  <c:v>-15</c:v>
                </c:pt>
                <c:pt idx="16">
                  <c:v>-16</c:v>
                </c:pt>
                <c:pt idx="17">
                  <c:v>-17</c:v>
                </c:pt>
                <c:pt idx="18">
                  <c:v>-18</c:v>
                </c:pt>
                <c:pt idx="19">
                  <c:v>-19</c:v>
                </c:pt>
                <c:pt idx="20">
                  <c:v>-20</c:v>
                </c:pt>
                <c:pt idx="21">
                  <c:v>-21</c:v>
                </c:pt>
                <c:pt idx="22">
                  <c:v>-22</c:v>
                </c:pt>
                <c:pt idx="23">
                  <c:v>-23</c:v>
                </c:pt>
                <c:pt idx="24">
                  <c:v>-24</c:v>
                </c:pt>
                <c:pt idx="25">
                  <c:v>-25</c:v>
                </c:pt>
                <c:pt idx="26">
                  <c:v>-26</c:v>
                </c:pt>
                <c:pt idx="27">
                  <c:v>-27</c:v>
                </c:pt>
                <c:pt idx="28">
                  <c:v>-28</c:v>
                </c:pt>
                <c:pt idx="29">
                  <c:v>-29</c:v>
                </c:pt>
                <c:pt idx="30">
                  <c:v>-30</c:v>
                </c:pt>
                <c:pt idx="31">
                  <c:v>-31</c:v>
                </c:pt>
                <c:pt idx="32">
                  <c:v>-32</c:v>
                </c:pt>
                <c:pt idx="33">
                  <c:v>-33</c:v>
                </c:pt>
                <c:pt idx="34">
                  <c:v>-34</c:v>
                </c:pt>
                <c:pt idx="35">
                  <c:v>-35</c:v>
                </c:pt>
                <c:pt idx="36">
                  <c:v>-36</c:v>
                </c:pt>
                <c:pt idx="37">
                  <c:v>-37</c:v>
                </c:pt>
                <c:pt idx="38">
                  <c:v>-38</c:v>
                </c:pt>
                <c:pt idx="39">
                  <c:v>-39</c:v>
                </c:pt>
                <c:pt idx="40">
                  <c:v>-40</c:v>
                </c:pt>
                <c:pt idx="41">
                  <c:v>-41</c:v>
                </c:pt>
                <c:pt idx="42">
                  <c:v>-42</c:v>
                </c:pt>
                <c:pt idx="43">
                  <c:v>-43</c:v>
                </c:pt>
                <c:pt idx="44">
                  <c:v>-44</c:v>
                </c:pt>
                <c:pt idx="45">
                  <c:v>-45</c:v>
                </c:pt>
                <c:pt idx="46">
                  <c:v>-46</c:v>
                </c:pt>
                <c:pt idx="47">
                  <c:v>-47</c:v>
                </c:pt>
                <c:pt idx="48">
                  <c:v>-48</c:v>
                </c:pt>
                <c:pt idx="49">
                  <c:v>-49</c:v>
                </c:pt>
                <c:pt idx="50">
                  <c:v>-50</c:v>
                </c:pt>
                <c:pt idx="51">
                  <c:v>-51</c:v>
                </c:pt>
                <c:pt idx="52">
                  <c:v>-52</c:v>
                </c:pt>
                <c:pt idx="53">
                  <c:v>-53</c:v>
                </c:pt>
                <c:pt idx="54">
                  <c:v>-54</c:v>
                </c:pt>
                <c:pt idx="55">
                  <c:v>-55</c:v>
                </c:pt>
                <c:pt idx="56">
                  <c:v>-56</c:v>
                </c:pt>
                <c:pt idx="57">
                  <c:v>-57</c:v>
                </c:pt>
                <c:pt idx="58">
                  <c:v>-58</c:v>
                </c:pt>
                <c:pt idx="59">
                  <c:v>-59</c:v>
                </c:pt>
                <c:pt idx="60">
                  <c:v>-60</c:v>
                </c:pt>
                <c:pt idx="61">
                  <c:v>-61</c:v>
                </c:pt>
                <c:pt idx="62">
                  <c:v>-62</c:v>
                </c:pt>
                <c:pt idx="63">
                  <c:v>-63</c:v>
                </c:pt>
                <c:pt idx="64">
                  <c:v>-64</c:v>
                </c:pt>
                <c:pt idx="65">
                  <c:v>-65</c:v>
                </c:pt>
                <c:pt idx="66">
                  <c:v>-66</c:v>
                </c:pt>
                <c:pt idx="67">
                  <c:v>-67</c:v>
                </c:pt>
                <c:pt idx="68">
                  <c:v>-68</c:v>
                </c:pt>
                <c:pt idx="69">
                  <c:v>-69</c:v>
                </c:pt>
                <c:pt idx="70">
                  <c:v>-70</c:v>
                </c:pt>
                <c:pt idx="71">
                  <c:v>-71</c:v>
                </c:pt>
                <c:pt idx="72">
                  <c:v>-72</c:v>
                </c:pt>
                <c:pt idx="73">
                  <c:v>-73</c:v>
                </c:pt>
                <c:pt idx="74">
                  <c:v>-74</c:v>
                </c:pt>
                <c:pt idx="75">
                  <c:v>-75</c:v>
                </c:pt>
                <c:pt idx="76">
                  <c:v>-76</c:v>
                </c:pt>
                <c:pt idx="77">
                  <c:v>-77</c:v>
                </c:pt>
                <c:pt idx="78">
                  <c:v>-78</c:v>
                </c:pt>
                <c:pt idx="79">
                  <c:v>-79</c:v>
                </c:pt>
                <c:pt idx="80">
                  <c:v>-80</c:v>
                </c:pt>
                <c:pt idx="81">
                  <c:v>-81</c:v>
                </c:pt>
                <c:pt idx="82">
                  <c:v>-82</c:v>
                </c:pt>
                <c:pt idx="83">
                  <c:v>-83</c:v>
                </c:pt>
                <c:pt idx="84">
                  <c:v>-84</c:v>
                </c:pt>
                <c:pt idx="85">
                  <c:v>-85</c:v>
                </c:pt>
                <c:pt idx="86">
                  <c:v>-86</c:v>
                </c:pt>
                <c:pt idx="87">
                  <c:v>-87</c:v>
                </c:pt>
                <c:pt idx="88">
                  <c:v>-88</c:v>
                </c:pt>
                <c:pt idx="89">
                  <c:v>-89</c:v>
                </c:pt>
                <c:pt idx="90">
                  <c:v>-90</c:v>
                </c:pt>
                <c:pt idx="91">
                  <c:v>-91</c:v>
                </c:pt>
                <c:pt idx="92">
                  <c:v>-92</c:v>
                </c:pt>
                <c:pt idx="93">
                  <c:v>-93</c:v>
                </c:pt>
                <c:pt idx="94">
                  <c:v>-94</c:v>
                </c:pt>
                <c:pt idx="95">
                  <c:v>-95</c:v>
                </c:pt>
                <c:pt idx="96">
                  <c:v>-96</c:v>
                </c:pt>
                <c:pt idx="97">
                  <c:v>-97</c:v>
                </c:pt>
                <c:pt idx="98">
                  <c:v>-98</c:v>
                </c:pt>
                <c:pt idx="99">
                  <c:v>-99</c:v>
                </c:pt>
                <c:pt idx="100">
                  <c:v>-100</c:v>
                </c:pt>
                <c:pt idx="101">
                  <c:v>-101</c:v>
                </c:pt>
                <c:pt idx="102">
                  <c:v>-102</c:v>
                </c:pt>
                <c:pt idx="103">
                  <c:v>-103</c:v>
                </c:pt>
                <c:pt idx="104">
                  <c:v>-104</c:v>
                </c:pt>
                <c:pt idx="105">
                  <c:v>-105</c:v>
                </c:pt>
                <c:pt idx="106">
                  <c:v>-106</c:v>
                </c:pt>
                <c:pt idx="107">
                  <c:v>-107</c:v>
                </c:pt>
                <c:pt idx="108">
                  <c:v>-108</c:v>
                </c:pt>
                <c:pt idx="109">
                  <c:v>-109</c:v>
                </c:pt>
                <c:pt idx="110">
                  <c:v>-110</c:v>
                </c:pt>
                <c:pt idx="111">
                  <c:v>-111</c:v>
                </c:pt>
                <c:pt idx="112">
                  <c:v>-112</c:v>
                </c:pt>
                <c:pt idx="113">
                  <c:v>-113</c:v>
                </c:pt>
                <c:pt idx="114">
                  <c:v>-114</c:v>
                </c:pt>
                <c:pt idx="115">
                  <c:v>-115</c:v>
                </c:pt>
                <c:pt idx="116">
                  <c:v>-116</c:v>
                </c:pt>
                <c:pt idx="117">
                  <c:v>-117</c:v>
                </c:pt>
                <c:pt idx="118">
                  <c:v>-118</c:v>
                </c:pt>
                <c:pt idx="119">
                  <c:v>-119</c:v>
                </c:pt>
                <c:pt idx="120">
                  <c:v>-120</c:v>
                </c:pt>
                <c:pt idx="121">
                  <c:v>-121</c:v>
                </c:pt>
                <c:pt idx="122">
                  <c:v>-122</c:v>
                </c:pt>
                <c:pt idx="123">
                  <c:v>-123</c:v>
                </c:pt>
                <c:pt idx="124">
                  <c:v>-124</c:v>
                </c:pt>
                <c:pt idx="125">
                  <c:v>-125</c:v>
                </c:pt>
                <c:pt idx="126">
                  <c:v>-126</c:v>
                </c:pt>
                <c:pt idx="127">
                  <c:v>-127</c:v>
                </c:pt>
                <c:pt idx="128">
                  <c:v>-128</c:v>
                </c:pt>
                <c:pt idx="129">
                  <c:v>-129</c:v>
                </c:pt>
                <c:pt idx="130">
                  <c:v>-130</c:v>
                </c:pt>
                <c:pt idx="131">
                  <c:v>-131</c:v>
                </c:pt>
                <c:pt idx="132">
                  <c:v>-132</c:v>
                </c:pt>
                <c:pt idx="133">
                  <c:v>-133</c:v>
                </c:pt>
                <c:pt idx="134">
                  <c:v>-134</c:v>
                </c:pt>
                <c:pt idx="135">
                  <c:v>-135</c:v>
                </c:pt>
                <c:pt idx="136">
                  <c:v>-136</c:v>
                </c:pt>
                <c:pt idx="137">
                  <c:v>-137</c:v>
                </c:pt>
                <c:pt idx="138">
                  <c:v>-138</c:v>
                </c:pt>
                <c:pt idx="139">
                  <c:v>-139</c:v>
                </c:pt>
                <c:pt idx="140">
                  <c:v>-140</c:v>
                </c:pt>
                <c:pt idx="141">
                  <c:v>-141</c:v>
                </c:pt>
                <c:pt idx="142">
                  <c:v>-142</c:v>
                </c:pt>
                <c:pt idx="143">
                  <c:v>-143</c:v>
                </c:pt>
                <c:pt idx="144">
                  <c:v>-144</c:v>
                </c:pt>
                <c:pt idx="145">
                  <c:v>-145</c:v>
                </c:pt>
                <c:pt idx="146">
                  <c:v>-146</c:v>
                </c:pt>
                <c:pt idx="147">
                  <c:v>-147</c:v>
                </c:pt>
                <c:pt idx="148">
                  <c:v>-148</c:v>
                </c:pt>
                <c:pt idx="149">
                  <c:v>-149</c:v>
                </c:pt>
                <c:pt idx="150">
                  <c:v>-150</c:v>
                </c:pt>
                <c:pt idx="151">
                  <c:v>-151</c:v>
                </c:pt>
                <c:pt idx="152">
                  <c:v>-152</c:v>
                </c:pt>
                <c:pt idx="153">
                  <c:v>-153</c:v>
                </c:pt>
                <c:pt idx="154">
                  <c:v>-154</c:v>
                </c:pt>
                <c:pt idx="155">
                  <c:v>-155</c:v>
                </c:pt>
                <c:pt idx="156">
                  <c:v>-156</c:v>
                </c:pt>
                <c:pt idx="157">
                  <c:v>-157</c:v>
                </c:pt>
                <c:pt idx="158">
                  <c:v>-158</c:v>
                </c:pt>
                <c:pt idx="159">
                  <c:v>-159</c:v>
                </c:pt>
                <c:pt idx="160">
                  <c:v>-160</c:v>
                </c:pt>
                <c:pt idx="161">
                  <c:v>-161</c:v>
                </c:pt>
                <c:pt idx="162">
                  <c:v>-162</c:v>
                </c:pt>
                <c:pt idx="163">
                  <c:v>-163</c:v>
                </c:pt>
                <c:pt idx="164">
                  <c:v>-164</c:v>
                </c:pt>
                <c:pt idx="165">
                  <c:v>-165</c:v>
                </c:pt>
                <c:pt idx="166">
                  <c:v>-166</c:v>
                </c:pt>
                <c:pt idx="167">
                  <c:v>-167</c:v>
                </c:pt>
                <c:pt idx="168">
                  <c:v>-168</c:v>
                </c:pt>
                <c:pt idx="169">
                  <c:v>-169</c:v>
                </c:pt>
                <c:pt idx="170">
                  <c:v>-170</c:v>
                </c:pt>
                <c:pt idx="171">
                  <c:v>-171</c:v>
                </c:pt>
                <c:pt idx="172">
                  <c:v>-172</c:v>
                </c:pt>
                <c:pt idx="173">
                  <c:v>-173</c:v>
                </c:pt>
                <c:pt idx="174">
                  <c:v>-174</c:v>
                </c:pt>
                <c:pt idx="175">
                  <c:v>-175</c:v>
                </c:pt>
                <c:pt idx="176">
                  <c:v>-176</c:v>
                </c:pt>
                <c:pt idx="177">
                  <c:v>-177</c:v>
                </c:pt>
                <c:pt idx="178">
                  <c:v>-178</c:v>
                </c:pt>
                <c:pt idx="179">
                  <c:v>-179</c:v>
                </c:pt>
                <c:pt idx="180">
                  <c:v>-180</c:v>
                </c:pt>
                <c:pt idx="181">
                  <c:v>-181</c:v>
                </c:pt>
                <c:pt idx="182">
                  <c:v>-182</c:v>
                </c:pt>
                <c:pt idx="183">
                  <c:v>-183</c:v>
                </c:pt>
                <c:pt idx="184">
                  <c:v>-184</c:v>
                </c:pt>
                <c:pt idx="185">
                  <c:v>-185</c:v>
                </c:pt>
                <c:pt idx="186">
                  <c:v>-186</c:v>
                </c:pt>
                <c:pt idx="187">
                  <c:v>-187</c:v>
                </c:pt>
                <c:pt idx="188">
                  <c:v>-188</c:v>
                </c:pt>
                <c:pt idx="189">
                  <c:v>-189</c:v>
                </c:pt>
                <c:pt idx="190">
                  <c:v>-190</c:v>
                </c:pt>
                <c:pt idx="191">
                  <c:v>-191</c:v>
                </c:pt>
                <c:pt idx="192">
                  <c:v>-192</c:v>
                </c:pt>
                <c:pt idx="193">
                  <c:v>-193</c:v>
                </c:pt>
                <c:pt idx="194">
                  <c:v>-194</c:v>
                </c:pt>
                <c:pt idx="195">
                  <c:v>-195</c:v>
                </c:pt>
                <c:pt idx="196">
                  <c:v>-196</c:v>
                </c:pt>
                <c:pt idx="197">
                  <c:v>-197</c:v>
                </c:pt>
                <c:pt idx="198">
                  <c:v>-198</c:v>
                </c:pt>
                <c:pt idx="199">
                  <c:v>-199</c:v>
                </c:pt>
                <c:pt idx="200">
                  <c:v>-200</c:v>
                </c:pt>
                <c:pt idx="201">
                  <c:v>-201</c:v>
                </c:pt>
                <c:pt idx="202">
                  <c:v>-202</c:v>
                </c:pt>
                <c:pt idx="203">
                  <c:v>-203</c:v>
                </c:pt>
                <c:pt idx="204">
                  <c:v>-204</c:v>
                </c:pt>
                <c:pt idx="205">
                  <c:v>-205</c:v>
                </c:pt>
                <c:pt idx="206">
                  <c:v>-206</c:v>
                </c:pt>
                <c:pt idx="207">
                  <c:v>-207</c:v>
                </c:pt>
                <c:pt idx="208">
                  <c:v>-208</c:v>
                </c:pt>
                <c:pt idx="209">
                  <c:v>-209</c:v>
                </c:pt>
                <c:pt idx="210">
                  <c:v>-210</c:v>
                </c:pt>
                <c:pt idx="211">
                  <c:v>-211</c:v>
                </c:pt>
                <c:pt idx="212">
                  <c:v>-212</c:v>
                </c:pt>
                <c:pt idx="213">
                  <c:v>-213</c:v>
                </c:pt>
                <c:pt idx="214">
                  <c:v>-214</c:v>
                </c:pt>
                <c:pt idx="215">
                  <c:v>-215</c:v>
                </c:pt>
                <c:pt idx="216">
                  <c:v>-216</c:v>
                </c:pt>
                <c:pt idx="217">
                  <c:v>-217</c:v>
                </c:pt>
                <c:pt idx="218">
                  <c:v>-218</c:v>
                </c:pt>
                <c:pt idx="219">
                  <c:v>-219</c:v>
                </c:pt>
                <c:pt idx="220">
                  <c:v>-220</c:v>
                </c:pt>
                <c:pt idx="221">
                  <c:v>-221</c:v>
                </c:pt>
                <c:pt idx="222">
                  <c:v>-222</c:v>
                </c:pt>
                <c:pt idx="223">
                  <c:v>-223</c:v>
                </c:pt>
                <c:pt idx="224">
                  <c:v>-224</c:v>
                </c:pt>
                <c:pt idx="225">
                  <c:v>-225</c:v>
                </c:pt>
                <c:pt idx="226">
                  <c:v>-226</c:v>
                </c:pt>
                <c:pt idx="227">
                  <c:v>-227</c:v>
                </c:pt>
                <c:pt idx="228">
                  <c:v>-228</c:v>
                </c:pt>
                <c:pt idx="229">
                  <c:v>-229</c:v>
                </c:pt>
                <c:pt idx="230">
                  <c:v>-230</c:v>
                </c:pt>
                <c:pt idx="231">
                  <c:v>-231</c:v>
                </c:pt>
                <c:pt idx="232">
                  <c:v>-232</c:v>
                </c:pt>
                <c:pt idx="233">
                  <c:v>-233</c:v>
                </c:pt>
                <c:pt idx="234">
                  <c:v>-234</c:v>
                </c:pt>
                <c:pt idx="235">
                  <c:v>-235</c:v>
                </c:pt>
                <c:pt idx="236">
                  <c:v>-236</c:v>
                </c:pt>
                <c:pt idx="237">
                  <c:v>-237</c:v>
                </c:pt>
                <c:pt idx="238">
                  <c:v>-238</c:v>
                </c:pt>
                <c:pt idx="239">
                  <c:v>-239</c:v>
                </c:pt>
                <c:pt idx="240">
                  <c:v>-240</c:v>
                </c:pt>
                <c:pt idx="241">
                  <c:v>-241</c:v>
                </c:pt>
                <c:pt idx="242">
                  <c:v>-242</c:v>
                </c:pt>
                <c:pt idx="243">
                  <c:v>-243</c:v>
                </c:pt>
                <c:pt idx="244">
                  <c:v>-244</c:v>
                </c:pt>
                <c:pt idx="245">
                  <c:v>-245</c:v>
                </c:pt>
                <c:pt idx="246">
                  <c:v>-246</c:v>
                </c:pt>
                <c:pt idx="247">
                  <c:v>-247</c:v>
                </c:pt>
                <c:pt idx="248">
                  <c:v>-248</c:v>
                </c:pt>
                <c:pt idx="249">
                  <c:v>-249</c:v>
                </c:pt>
                <c:pt idx="250">
                  <c:v>-250</c:v>
                </c:pt>
                <c:pt idx="251">
                  <c:v>-251</c:v>
                </c:pt>
                <c:pt idx="252">
                  <c:v>-252</c:v>
                </c:pt>
                <c:pt idx="253">
                  <c:v>-253</c:v>
                </c:pt>
                <c:pt idx="254">
                  <c:v>-254</c:v>
                </c:pt>
                <c:pt idx="255">
                  <c:v>-255</c:v>
                </c:pt>
                <c:pt idx="256">
                  <c:v>-256</c:v>
                </c:pt>
                <c:pt idx="257">
                  <c:v>-257</c:v>
                </c:pt>
                <c:pt idx="258">
                  <c:v>-258</c:v>
                </c:pt>
                <c:pt idx="259">
                  <c:v>-259</c:v>
                </c:pt>
                <c:pt idx="260">
                  <c:v>-260</c:v>
                </c:pt>
                <c:pt idx="261">
                  <c:v>-261</c:v>
                </c:pt>
                <c:pt idx="262">
                  <c:v>-262</c:v>
                </c:pt>
                <c:pt idx="263">
                  <c:v>-263</c:v>
                </c:pt>
                <c:pt idx="264">
                  <c:v>-264</c:v>
                </c:pt>
                <c:pt idx="265">
                  <c:v>-265</c:v>
                </c:pt>
                <c:pt idx="266">
                  <c:v>-266</c:v>
                </c:pt>
                <c:pt idx="267">
                  <c:v>-267</c:v>
                </c:pt>
                <c:pt idx="268">
                  <c:v>-268</c:v>
                </c:pt>
                <c:pt idx="269">
                  <c:v>-269</c:v>
                </c:pt>
                <c:pt idx="270">
                  <c:v>-270</c:v>
                </c:pt>
                <c:pt idx="271">
                  <c:v>-271</c:v>
                </c:pt>
                <c:pt idx="272">
                  <c:v>-272</c:v>
                </c:pt>
                <c:pt idx="273">
                  <c:v>-273</c:v>
                </c:pt>
                <c:pt idx="274">
                  <c:v>-274</c:v>
                </c:pt>
                <c:pt idx="275">
                  <c:v>-275</c:v>
                </c:pt>
                <c:pt idx="276">
                  <c:v>-276</c:v>
                </c:pt>
                <c:pt idx="277">
                  <c:v>-277</c:v>
                </c:pt>
                <c:pt idx="278">
                  <c:v>-278</c:v>
                </c:pt>
                <c:pt idx="279">
                  <c:v>-279</c:v>
                </c:pt>
                <c:pt idx="280">
                  <c:v>-280</c:v>
                </c:pt>
                <c:pt idx="281">
                  <c:v>-281</c:v>
                </c:pt>
                <c:pt idx="282">
                  <c:v>-282</c:v>
                </c:pt>
                <c:pt idx="283">
                  <c:v>-283</c:v>
                </c:pt>
                <c:pt idx="284">
                  <c:v>-284</c:v>
                </c:pt>
                <c:pt idx="285">
                  <c:v>-285</c:v>
                </c:pt>
                <c:pt idx="286">
                  <c:v>-286</c:v>
                </c:pt>
                <c:pt idx="287">
                  <c:v>-287</c:v>
                </c:pt>
                <c:pt idx="288">
                  <c:v>-288</c:v>
                </c:pt>
                <c:pt idx="289">
                  <c:v>-289</c:v>
                </c:pt>
                <c:pt idx="290">
                  <c:v>-290</c:v>
                </c:pt>
                <c:pt idx="291">
                  <c:v>-291</c:v>
                </c:pt>
                <c:pt idx="292">
                  <c:v>-292</c:v>
                </c:pt>
                <c:pt idx="293">
                  <c:v>-293</c:v>
                </c:pt>
                <c:pt idx="294">
                  <c:v>-294</c:v>
                </c:pt>
                <c:pt idx="295">
                  <c:v>-295</c:v>
                </c:pt>
                <c:pt idx="296">
                  <c:v>-296</c:v>
                </c:pt>
                <c:pt idx="297">
                  <c:v>-297</c:v>
                </c:pt>
                <c:pt idx="298">
                  <c:v>-298</c:v>
                </c:pt>
                <c:pt idx="299">
                  <c:v>-299</c:v>
                </c:pt>
                <c:pt idx="300">
                  <c:v>-300</c:v>
                </c:pt>
                <c:pt idx="301">
                  <c:v>-301</c:v>
                </c:pt>
                <c:pt idx="302">
                  <c:v>-302</c:v>
                </c:pt>
                <c:pt idx="303">
                  <c:v>-303</c:v>
                </c:pt>
                <c:pt idx="304">
                  <c:v>-304</c:v>
                </c:pt>
                <c:pt idx="305">
                  <c:v>-305</c:v>
                </c:pt>
                <c:pt idx="306">
                  <c:v>-306</c:v>
                </c:pt>
                <c:pt idx="307">
                  <c:v>-307</c:v>
                </c:pt>
                <c:pt idx="308">
                  <c:v>-308</c:v>
                </c:pt>
                <c:pt idx="309">
                  <c:v>-309</c:v>
                </c:pt>
                <c:pt idx="310">
                  <c:v>-310</c:v>
                </c:pt>
                <c:pt idx="311">
                  <c:v>-311</c:v>
                </c:pt>
                <c:pt idx="312">
                  <c:v>-312</c:v>
                </c:pt>
                <c:pt idx="313">
                  <c:v>-313</c:v>
                </c:pt>
                <c:pt idx="314">
                  <c:v>-314</c:v>
                </c:pt>
                <c:pt idx="315">
                  <c:v>-315</c:v>
                </c:pt>
                <c:pt idx="316">
                  <c:v>-316</c:v>
                </c:pt>
                <c:pt idx="317">
                  <c:v>-317</c:v>
                </c:pt>
                <c:pt idx="318">
                  <c:v>-318</c:v>
                </c:pt>
                <c:pt idx="319">
                  <c:v>-319</c:v>
                </c:pt>
                <c:pt idx="320">
                  <c:v>-320</c:v>
                </c:pt>
                <c:pt idx="321">
                  <c:v>-321</c:v>
                </c:pt>
                <c:pt idx="322">
                  <c:v>-322</c:v>
                </c:pt>
                <c:pt idx="323">
                  <c:v>-323</c:v>
                </c:pt>
                <c:pt idx="324">
                  <c:v>-324</c:v>
                </c:pt>
                <c:pt idx="325">
                  <c:v>-325</c:v>
                </c:pt>
                <c:pt idx="326">
                  <c:v>-326</c:v>
                </c:pt>
                <c:pt idx="327">
                  <c:v>-327</c:v>
                </c:pt>
                <c:pt idx="328">
                  <c:v>-328</c:v>
                </c:pt>
                <c:pt idx="329">
                  <c:v>-329</c:v>
                </c:pt>
                <c:pt idx="330">
                  <c:v>-330</c:v>
                </c:pt>
                <c:pt idx="331">
                  <c:v>-331</c:v>
                </c:pt>
                <c:pt idx="332">
                  <c:v>-332</c:v>
                </c:pt>
                <c:pt idx="333">
                  <c:v>-333</c:v>
                </c:pt>
                <c:pt idx="334">
                  <c:v>-334</c:v>
                </c:pt>
                <c:pt idx="335">
                  <c:v>-335</c:v>
                </c:pt>
                <c:pt idx="336">
                  <c:v>-336</c:v>
                </c:pt>
                <c:pt idx="337">
                  <c:v>-337</c:v>
                </c:pt>
                <c:pt idx="338">
                  <c:v>-338</c:v>
                </c:pt>
                <c:pt idx="339">
                  <c:v>-339</c:v>
                </c:pt>
                <c:pt idx="340">
                  <c:v>-340</c:v>
                </c:pt>
                <c:pt idx="341">
                  <c:v>-341</c:v>
                </c:pt>
                <c:pt idx="342">
                  <c:v>-342</c:v>
                </c:pt>
                <c:pt idx="343">
                  <c:v>-343</c:v>
                </c:pt>
                <c:pt idx="344">
                  <c:v>-344</c:v>
                </c:pt>
                <c:pt idx="345">
                  <c:v>-345</c:v>
                </c:pt>
                <c:pt idx="346">
                  <c:v>-346</c:v>
                </c:pt>
                <c:pt idx="347">
                  <c:v>-347</c:v>
                </c:pt>
                <c:pt idx="348">
                  <c:v>-348</c:v>
                </c:pt>
                <c:pt idx="349">
                  <c:v>-349</c:v>
                </c:pt>
                <c:pt idx="350">
                  <c:v>-350</c:v>
                </c:pt>
                <c:pt idx="351">
                  <c:v>-351</c:v>
                </c:pt>
                <c:pt idx="352">
                  <c:v>-352</c:v>
                </c:pt>
                <c:pt idx="353">
                  <c:v>-353</c:v>
                </c:pt>
                <c:pt idx="354">
                  <c:v>-354</c:v>
                </c:pt>
                <c:pt idx="355">
                  <c:v>-355</c:v>
                </c:pt>
                <c:pt idx="356">
                  <c:v>-356</c:v>
                </c:pt>
                <c:pt idx="357">
                  <c:v>-357</c:v>
                </c:pt>
                <c:pt idx="358">
                  <c:v>-358</c:v>
                </c:pt>
                <c:pt idx="359">
                  <c:v>-359</c:v>
                </c:pt>
                <c:pt idx="360">
                  <c:v>-360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DC7-4EF4-91DD-810F33130FCD}"/>
            </c:ext>
          </c:extLst>
        </c:ser>
        <c:ser>
          <c:idx val="0"/>
          <c:order val="1"/>
          <c:tx>
            <c:v>goal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tx1">
                  <a:lumMod val="95000"/>
                  <a:lumOff val="5000"/>
                </a:schemeClr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Analysis'!$N$115</c:f>
              <c:numCache>
                <c:formatCode>0.00000</c:formatCode>
                <c:ptCount val="1"/>
                <c:pt idx="0">
                  <c:v>45.000002107363031</c:v>
                </c:pt>
              </c:numCache>
            </c:numRef>
          </c:xVal>
          <c:yVal>
            <c:numRef>
              <c:f>'Cross Section Analysis'!$F$53</c:f>
              <c:numCache>
                <c:formatCode>General</c:formatCode>
                <c:ptCount val="1"/>
                <c:pt idx="0">
                  <c:v>-59.930484233328173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7DE-4471-8631-FA272A06727E}"/>
            </c:ext>
          </c:extLst>
        </c:ser>
        <c:ser>
          <c:idx val="1"/>
          <c:order val="2"/>
          <c:tx>
            <c:v>equal angle line</c:v>
          </c:tx>
          <c:spPr>
            <a:ln w="1270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'Cross Section Analysis'!$F$261:$F$262</c:f>
              <c:numCache>
                <c:formatCode>General</c:formatCode>
                <c:ptCount val="2"/>
                <c:pt idx="0">
                  <c:v>0</c:v>
                </c:pt>
                <c:pt idx="1">
                  <c:v>360</c:v>
                </c:pt>
              </c:numCache>
            </c:numRef>
          </c:xVal>
          <c:yVal>
            <c:numRef>
              <c:f>'Cross Section Analysis'!$G$261:$G$262</c:f>
              <c:numCache>
                <c:formatCode>General</c:formatCode>
                <c:ptCount val="2"/>
                <c:pt idx="0">
                  <c:v>0</c:v>
                </c:pt>
                <c:pt idx="1">
                  <c:v>-360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FE-5949-8F55-96BF063DB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131712"/>
        <c:axId val="1892693248"/>
      </c:scatterChart>
      <c:valAx>
        <c:axId val="1817131712"/>
        <c:scaling>
          <c:orientation val="minMax"/>
          <c:max val="3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 Angle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693248"/>
        <c:crosses val="autoZero"/>
        <c:crossBetween val="midCat"/>
        <c:majorUnit val="36"/>
        <c:minorUnit val="4"/>
      </c:valAx>
      <c:valAx>
        <c:axId val="1892693248"/>
        <c:scaling>
          <c:orientation val="minMax"/>
          <c:max val="0"/>
          <c:min val="-3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NA</a:t>
                </a:r>
                <a:r>
                  <a:rPr lang="en-US" baseline="0"/>
                  <a:t> Angle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;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131712"/>
        <c:crosses val="autoZero"/>
        <c:crossBetween val="midCat"/>
        <c:majorUnit val="36"/>
        <c:minorUnit val="4"/>
      </c:valAx>
      <c:spPr>
        <a:noFill/>
        <a:ln>
          <a:noFill/>
        </a:ln>
        <a:effectLst/>
      </c:spPr>
    </c:plotArea>
    <c:legend>
      <c:legendPos val="b"/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38102</xdr:colOff>
      <xdr:row>1</xdr:row>
      <xdr:rowOff>19050</xdr:rowOff>
    </xdr:from>
    <xdr:to>
      <xdr:col>16</xdr:col>
      <xdr:colOff>581025</xdr:colOff>
      <xdr:row>34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19051</xdr:colOff>
      <xdr:row>46</xdr:row>
      <xdr:rowOff>26362</xdr:rowOff>
    </xdr:from>
    <xdr:to>
      <xdr:col>16</xdr:col>
      <xdr:colOff>561975</xdr:colOff>
      <xdr:row>84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25400</xdr:colOff>
      <xdr:row>116</xdr:row>
      <xdr:rowOff>152400</xdr:rowOff>
    </xdr:from>
    <xdr:to>
      <xdr:col>5</xdr:col>
      <xdr:colOff>698500</xdr:colOff>
      <xdr:row>119</xdr:row>
      <xdr:rowOff>168275</xdr:rowOff>
    </xdr:to>
    <xdr:sp macro="" textlink="">
      <xdr:nvSpPr>
        <xdr:cNvPr id="1025" name="CommandButton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771525</xdr:colOff>
          <xdr:row>121</xdr:row>
          <xdr:rowOff>66675</xdr:rowOff>
        </xdr:from>
        <xdr:to>
          <xdr:col>2</xdr:col>
          <xdr:colOff>885825</xdr:colOff>
          <xdr:row>126</xdr:row>
          <xdr:rowOff>47625</xdr:rowOff>
        </xdr:to>
        <xdr:sp macro="" textlink="">
          <xdr:nvSpPr>
            <xdr:cNvPr id="1027" name="Button 3" descr="Attempt to Find&#10;Interaction point for Goal&#10;(Form Button)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 to find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Interaction point for Goal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(Interaction Point only does not update the plots below)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15875</xdr:colOff>
      <xdr:row>127</xdr:row>
      <xdr:rowOff>69850</xdr:rowOff>
    </xdr:from>
    <xdr:to>
      <xdr:col>14</xdr:col>
      <xdr:colOff>571500</xdr:colOff>
      <xdr:row>170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121</xdr:row>
          <xdr:rowOff>47625</xdr:rowOff>
        </xdr:from>
        <xdr:to>
          <xdr:col>5</xdr:col>
          <xdr:colOff>1152525</xdr:colOff>
          <xdr:row>126</xdr:row>
          <xdr:rowOff>47625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try to build mx vs my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(recommend running this prior to P-M curve)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121</xdr:row>
          <xdr:rowOff>152400</xdr:rowOff>
        </xdr:from>
        <xdr:to>
          <xdr:col>13</xdr:col>
          <xdr:colOff>342900</xdr:colOff>
          <xdr:row>125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 a P-M curve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(Can take several seconds up to minutes)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19050</xdr:colOff>
      <xdr:row>170</xdr:row>
      <xdr:rowOff>180975</xdr:rowOff>
    </xdr:from>
    <xdr:to>
      <xdr:col>14</xdr:col>
      <xdr:colOff>552450</xdr:colOff>
      <xdr:row>214</xdr:row>
      <xdr:rowOff>142875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9525</xdr:colOff>
      <xdr:row>215</xdr:row>
      <xdr:rowOff>38100</xdr:rowOff>
    </xdr:from>
    <xdr:to>
      <xdr:col>14</xdr:col>
      <xdr:colOff>565150</xdr:colOff>
      <xdr:row>259</xdr:row>
      <xdr:rowOff>6350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180975</xdr:colOff>
          <xdr:row>20</xdr:row>
          <xdr:rowOff>95250</xdr:rowOff>
        </xdr:from>
        <xdr:to>
          <xdr:col>19</xdr:col>
          <xdr:colOff>819150</xdr:colOff>
          <xdr:row>23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Bars From Pattern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F3883-D7DC-4528-8AF2-C728ADB69584}">
  <sheetPr codeName="Sheet1"/>
  <dimension ref="A1:Z490"/>
  <sheetViews>
    <sheetView tabSelected="1" topLeftCell="A95" zoomScaleNormal="100" workbookViewId="0">
      <selection activeCell="H122" sqref="H122"/>
    </sheetView>
  </sheetViews>
  <sheetFormatPr defaultColWidth="8.85546875" defaultRowHeight="15" x14ac:dyDescent="0.25"/>
  <cols>
    <col min="1" max="1" width="16.42578125" customWidth="1"/>
    <col min="2" max="2" width="18.7109375" bestFit="1" customWidth="1"/>
    <col min="3" max="3" width="13.85546875" customWidth="1"/>
    <col min="4" max="4" width="10.7109375" customWidth="1"/>
    <col min="5" max="5" width="10.42578125" customWidth="1"/>
    <col min="6" max="6" width="19.85546875" customWidth="1"/>
    <col min="7" max="7" width="20.28515625" bestFit="1" customWidth="1"/>
    <col min="8" max="8" width="14.7109375" bestFit="1" customWidth="1"/>
    <col min="9" max="9" width="13.7109375" bestFit="1" customWidth="1"/>
    <col min="10" max="10" width="10.140625" customWidth="1"/>
    <col min="11" max="11" width="11.7109375" customWidth="1"/>
    <col min="12" max="12" width="12.28515625" bestFit="1" customWidth="1"/>
    <col min="13" max="13" width="9.42578125" bestFit="1" customWidth="1"/>
    <col min="14" max="14" width="12.42578125" customWidth="1"/>
    <col min="16" max="16" width="12.28515625" bestFit="1" customWidth="1"/>
    <col min="17" max="18" width="9" bestFit="1" customWidth="1"/>
    <col min="19" max="19" width="21.28515625" customWidth="1"/>
    <col min="20" max="20" width="20.28515625" bestFit="1" customWidth="1"/>
    <col min="21" max="21" width="11.42578125" customWidth="1"/>
    <col min="22" max="22" width="11.85546875" customWidth="1"/>
    <col min="23" max="23" width="11.140625" bestFit="1" customWidth="1"/>
    <col min="24" max="24" width="9" bestFit="1" customWidth="1"/>
    <col min="25" max="25" width="12.140625" bestFit="1" customWidth="1"/>
    <col min="26" max="26" width="9" bestFit="1" customWidth="1"/>
  </cols>
  <sheetData>
    <row r="1" spans="1:21" ht="15.75" thickBot="1" x14ac:dyDescent="0.3">
      <c r="D1" t="s">
        <v>7</v>
      </c>
      <c r="G1" t="s">
        <v>14</v>
      </c>
    </row>
    <row r="2" spans="1:21" x14ac:dyDescent="0.25">
      <c r="A2" s="2" t="s">
        <v>4</v>
      </c>
      <c r="B2" s="36">
        <v>5</v>
      </c>
      <c r="C2" t="s">
        <v>5</v>
      </c>
      <c r="D2" s="1" t="s">
        <v>0</v>
      </c>
      <c r="E2" s="1" t="s">
        <v>1</v>
      </c>
      <c r="G2" t="s">
        <v>0</v>
      </c>
      <c r="H2" t="s">
        <v>1</v>
      </c>
      <c r="S2" s="58" t="s">
        <v>100</v>
      </c>
      <c r="T2" s="61" t="s">
        <v>101</v>
      </c>
      <c r="U2" s="41"/>
    </row>
    <row r="3" spans="1:21" x14ac:dyDescent="0.25">
      <c r="A3" s="2" t="s">
        <v>13</v>
      </c>
      <c r="B3" s="3">
        <f>(POWER(145,1.5)*33*SQRT(1000*B2))/1000</f>
        <v>4074.2806880478911</v>
      </c>
      <c r="C3" t="s">
        <v>5</v>
      </c>
      <c r="D3" s="5">
        <v>0</v>
      </c>
      <c r="E3" s="5">
        <v>0</v>
      </c>
      <c r="G3" s="6">
        <f>MAX(MAX(D3:D7),MAX(E3:E7))+1</f>
        <v>25</v>
      </c>
      <c r="H3" s="6">
        <f>G3</f>
        <v>25</v>
      </c>
      <c r="S3" s="62">
        <v>8</v>
      </c>
      <c r="T3" s="47" t="s">
        <v>104</v>
      </c>
      <c r="U3" s="45"/>
    </row>
    <row r="4" spans="1:21" x14ac:dyDescent="0.25">
      <c r="A4" s="2" t="s">
        <v>35</v>
      </c>
      <c r="B4" s="1">
        <f>IF(B2&lt;=4,0.85,IF(B2&lt;=8,0.85 - ((0.05*(B2-4))/1),0.65))</f>
        <v>0.79999999999999993</v>
      </c>
      <c r="D4" s="5">
        <f>B5</f>
        <v>18</v>
      </c>
      <c r="E4" s="5">
        <v>0</v>
      </c>
      <c r="G4">
        <v>-1</v>
      </c>
      <c r="H4">
        <v>-1</v>
      </c>
      <c r="S4" s="46">
        <f ca="1">OFFSET(Reference!A$1,MATCH('Cross Section Analysis'!S3,Reference!A$1:A$12,0)-1,1)</f>
        <v>1</v>
      </c>
      <c r="T4" s="47" t="s">
        <v>107</v>
      </c>
      <c r="U4" s="45"/>
    </row>
    <row r="5" spans="1:21" x14ac:dyDescent="0.25">
      <c r="A5" s="2" t="s">
        <v>2</v>
      </c>
      <c r="B5" s="36">
        <v>18</v>
      </c>
      <c r="C5" t="s">
        <v>6</v>
      </c>
      <c r="D5" s="5">
        <f>B5</f>
        <v>18</v>
      </c>
      <c r="E5" s="5">
        <f>B6</f>
        <v>24</v>
      </c>
      <c r="G5" t="s">
        <v>33</v>
      </c>
      <c r="S5" s="62">
        <v>3</v>
      </c>
      <c r="T5" s="47" t="s">
        <v>105</v>
      </c>
      <c r="U5" s="45"/>
    </row>
    <row r="6" spans="1:21" x14ac:dyDescent="0.25">
      <c r="A6" s="2" t="s">
        <v>3</v>
      </c>
      <c r="B6" s="36">
        <v>24</v>
      </c>
      <c r="C6" t="s">
        <v>6</v>
      </c>
      <c r="D6" s="5">
        <v>0</v>
      </c>
      <c r="E6" s="5">
        <f>B6</f>
        <v>24</v>
      </c>
      <c r="G6" t="s">
        <v>0</v>
      </c>
      <c r="H6" t="s">
        <v>1</v>
      </c>
      <c r="S6" s="46">
        <f ca="1">OFFSET(Reference!A$1,MATCH('Cross Section Analysis'!S5,Reference!A$1:A$12,0)-1,1)</f>
        <v>0.375</v>
      </c>
      <c r="T6" s="47" t="s">
        <v>110</v>
      </c>
      <c r="U6" s="45"/>
    </row>
    <row r="7" spans="1:21" x14ac:dyDescent="0.25">
      <c r="D7" s="5">
        <v>0</v>
      </c>
      <c r="E7" s="5">
        <v>0</v>
      </c>
      <c r="G7">
        <f>B5/2</f>
        <v>9</v>
      </c>
      <c r="H7">
        <f>B6/2</f>
        <v>12</v>
      </c>
      <c r="S7" s="59">
        <v>2</v>
      </c>
      <c r="T7" s="47" t="s">
        <v>111</v>
      </c>
      <c r="U7" s="45"/>
    </row>
    <row r="8" spans="1:21" x14ac:dyDescent="0.25">
      <c r="S8" s="46" t="s">
        <v>120</v>
      </c>
      <c r="T8" s="47"/>
      <c r="U8" s="45"/>
    </row>
    <row r="9" spans="1:21" x14ac:dyDescent="0.25">
      <c r="A9" t="s">
        <v>8</v>
      </c>
      <c r="S9" s="59">
        <v>5</v>
      </c>
      <c r="T9" s="47" t="s">
        <v>102</v>
      </c>
      <c r="U9" s="45"/>
    </row>
    <row r="10" spans="1:21" x14ac:dyDescent="0.25">
      <c r="A10" t="s">
        <v>9</v>
      </c>
      <c r="B10" s="36">
        <v>60</v>
      </c>
      <c r="C10" t="s">
        <v>5</v>
      </c>
      <c r="F10" s="27" t="s">
        <v>88</v>
      </c>
      <c r="S10" s="59">
        <v>3</v>
      </c>
      <c r="T10" s="47" t="s">
        <v>103</v>
      </c>
      <c r="U10" s="45"/>
    </row>
    <row r="11" spans="1:21" x14ac:dyDescent="0.25">
      <c r="A11" t="s">
        <v>12</v>
      </c>
      <c r="B11" s="3">
        <v>29000</v>
      </c>
      <c r="C11" t="s">
        <v>5</v>
      </c>
      <c r="F11" s="27" t="s">
        <v>89</v>
      </c>
      <c r="S11" s="46">
        <f>(2*S9)+((2*S10)-4)</f>
        <v>12</v>
      </c>
      <c r="T11" s="47" t="s">
        <v>109</v>
      </c>
      <c r="U11" s="45"/>
    </row>
    <row r="12" spans="1:21" x14ac:dyDescent="0.25">
      <c r="B12" s="1" t="s">
        <v>10</v>
      </c>
      <c r="C12" t="s">
        <v>11</v>
      </c>
      <c r="D12" s="1" t="s">
        <v>0</v>
      </c>
      <c r="E12" s="1" t="s">
        <v>1</v>
      </c>
      <c r="F12" s="27" t="s">
        <v>90</v>
      </c>
      <c r="S12" s="46" t="s">
        <v>118</v>
      </c>
      <c r="T12" s="60" t="s">
        <v>119</v>
      </c>
      <c r="U12" s="45"/>
    </row>
    <row r="13" spans="1:21" x14ac:dyDescent="0.25">
      <c r="A13">
        <v>1</v>
      </c>
      <c r="B13" s="35">
        <v>8</v>
      </c>
      <c r="C13" s="4">
        <f ca="1">OFFSET(Reference!A$1,MATCH('Cross Section Analysis'!B13,Reference!A$1:A$12,0)-1,2)</f>
        <v>0.79</v>
      </c>
      <c r="D13" s="36">
        <v>3.125</v>
      </c>
      <c r="E13" s="36">
        <v>3.125</v>
      </c>
      <c r="F13" s="27" t="s">
        <v>91</v>
      </c>
      <c r="S13" s="46">
        <f ca="1">2*S6</f>
        <v>0.75</v>
      </c>
      <c r="T13" s="60" t="s">
        <v>108</v>
      </c>
      <c r="U13" s="45"/>
    </row>
    <row r="14" spans="1:21" x14ac:dyDescent="0.25">
      <c r="A14">
        <v>2</v>
      </c>
      <c r="B14" s="35">
        <v>8</v>
      </c>
      <c r="C14" s="4">
        <f ca="1">OFFSET(Reference!A$1,MATCH('Cross Section Analysis'!B14,Reference!A$1:A$12,0)-1,2)</f>
        <v>0.79</v>
      </c>
      <c r="D14" s="36">
        <v>9</v>
      </c>
      <c r="E14" s="36">
        <v>3.125</v>
      </c>
      <c r="F14" s="27" t="s">
        <v>92</v>
      </c>
      <c r="S14" s="46">
        <f ca="1">0.5*S4</f>
        <v>0.5</v>
      </c>
      <c r="T14" s="60" t="s">
        <v>106</v>
      </c>
      <c r="U14" s="45"/>
    </row>
    <row r="15" spans="1:21" x14ac:dyDescent="0.25">
      <c r="A15">
        <v>3</v>
      </c>
      <c r="B15" s="35">
        <v>8</v>
      </c>
      <c r="C15" s="4">
        <f ca="1">OFFSET(Reference!A$1,MATCH('Cross Section Analysis'!B15,Reference!A$1:A$12,0)-1,2)</f>
        <v>0.79</v>
      </c>
      <c r="D15" s="36">
        <v>14.875</v>
      </c>
      <c r="E15" s="36">
        <v>3.125</v>
      </c>
      <c r="S15" s="46">
        <f ca="1">MAX(S13:S14)</f>
        <v>0.75</v>
      </c>
      <c r="T15" s="60" t="s">
        <v>112</v>
      </c>
      <c r="U15" s="45"/>
    </row>
    <row r="16" spans="1:21" x14ac:dyDescent="0.25">
      <c r="A16">
        <v>4</v>
      </c>
      <c r="B16" s="35">
        <v>8</v>
      </c>
      <c r="C16" s="4">
        <f ca="1">OFFSET(Reference!A$1,MATCH('Cross Section Analysis'!B16,Reference!A$1:A$12,0)-1,2)</f>
        <v>0.79</v>
      </c>
      <c r="D16" s="36">
        <v>3.125</v>
      </c>
      <c r="E16" s="36">
        <v>7.5625</v>
      </c>
      <c r="S16" s="46">
        <f ca="1">S7+S6+S15</f>
        <v>3.125</v>
      </c>
      <c r="T16" s="60" t="s">
        <v>114</v>
      </c>
      <c r="U16" s="45"/>
    </row>
    <row r="17" spans="1:21" x14ac:dyDescent="0.25">
      <c r="A17">
        <v>5</v>
      </c>
      <c r="B17" s="35">
        <v>8</v>
      </c>
      <c r="C17" s="4">
        <f ca="1">OFFSET(Reference!A$1,MATCH('Cross Section Analysis'!B17,Reference!A$1:A$12,0)-1,2)</f>
        <v>0.79</v>
      </c>
      <c r="D17" s="36">
        <v>14.875</v>
      </c>
      <c r="E17" s="36">
        <v>7.5625</v>
      </c>
      <c r="S17" s="63">
        <f ca="1">B5-S16</f>
        <v>14.875</v>
      </c>
      <c r="T17" s="60" t="s">
        <v>113</v>
      </c>
      <c r="U17" s="45"/>
    </row>
    <row r="18" spans="1:21" x14ac:dyDescent="0.25">
      <c r="A18">
        <v>6</v>
      </c>
      <c r="B18" s="35">
        <v>8</v>
      </c>
      <c r="C18" s="4">
        <f ca="1">OFFSET(Reference!A$1,MATCH('Cross Section Analysis'!B18,Reference!A$1:A$12,0)-1,2)</f>
        <v>0.79</v>
      </c>
      <c r="D18" s="36">
        <v>3.125</v>
      </c>
      <c r="E18" s="36">
        <v>12</v>
      </c>
      <c r="S18" s="63">
        <f ca="1">B6-S16</f>
        <v>20.875</v>
      </c>
      <c r="T18" s="60" t="s">
        <v>115</v>
      </c>
      <c r="U18" s="45"/>
    </row>
    <row r="19" spans="1:21" x14ac:dyDescent="0.25">
      <c r="A19">
        <v>7</v>
      </c>
      <c r="B19" s="35">
        <v>8</v>
      </c>
      <c r="C19" s="4">
        <f ca="1">OFFSET(Reference!A$1,MATCH('Cross Section Analysis'!B19,Reference!A$1:A$12,0)-1,2)</f>
        <v>0.79</v>
      </c>
      <c r="D19" s="36">
        <v>14.875</v>
      </c>
      <c r="E19" s="36">
        <v>12</v>
      </c>
      <c r="S19" s="46">
        <f ca="1">(B5-(2*S16))/(S10-1)</f>
        <v>5.875</v>
      </c>
      <c r="T19" s="60" t="s">
        <v>116</v>
      </c>
      <c r="U19" s="45"/>
    </row>
    <row r="20" spans="1:21" x14ac:dyDescent="0.25">
      <c r="A20">
        <v>8</v>
      </c>
      <c r="B20" s="35">
        <v>8</v>
      </c>
      <c r="C20" s="4">
        <f ca="1">OFFSET(Reference!A$1,MATCH('Cross Section Analysis'!B20,Reference!A$1:A$12,0)-1,2)</f>
        <v>0.79</v>
      </c>
      <c r="D20" s="36">
        <v>3.125</v>
      </c>
      <c r="E20" s="36">
        <v>16.4375</v>
      </c>
      <c r="S20" s="46">
        <f ca="1">(B6 - (2*S16))/(S9-1)</f>
        <v>4.4375</v>
      </c>
      <c r="T20" s="60" t="s">
        <v>117</v>
      </c>
      <c r="U20" s="45"/>
    </row>
    <row r="21" spans="1:21" x14ac:dyDescent="0.25">
      <c r="A21">
        <v>9</v>
      </c>
      <c r="B21" s="35">
        <v>8</v>
      </c>
      <c r="C21" s="4">
        <f ca="1">OFFSET(Reference!A$1,MATCH('Cross Section Analysis'!B21,Reference!A$1:A$12,0)-1,2)</f>
        <v>0.79</v>
      </c>
      <c r="D21" s="36">
        <v>14.875</v>
      </c>
      <c r="E21" s="36">
        <v>16.4375</v>
      </c>
      <c r="S21" s="46"/>
      <c r="T21" s="47"/>
      <c r="U21" s="45"/>
    </row>
    <row r="22" spans="1:21" x14ac:dyDescent="0.25">
      <c r="A22">
        <v>10</v>
      </c>
      <c r="B22" s="35">
        <v>8</v>
      </c>
      <c r="C22" s="4">
        <f ca="1">OFFSET(Reference!A$1,MATCH('Cross Section Analysis'!B22,Reference!A$1:A$12,0)-1,2)</f>
        <v>0.79</v>
      </c>
      <c r="D22" s="36">
        <v>3.125</v>
      </c>
      <c r="E22" s="36">
        <v>20.875</v>
      </c>
      <c r="S22" s="46"/>
      <c r="T22" s="47"/>
      <c r="U22" s="45"/>
    </row>
    <row r="23" spans="1:21" x14ac:dyDescent="0.25">
      <c r="A23">
        <v>11</v>
      </c>
      <c r="B23" s="35">
        <v>8</v>
      </c>
      <c r="C23" s="4">
        <f ca="1">OFFSET(Reference!A$1,MATCH('Cross Section Analysis'!B23,Reference!A$1:A$12,0)-1,2)</f>
        <v>0.79</v>
      </c>
      <c r="D23" s="36">
        <v>9</v>
      </c>
      <c r="E23" s="36">
        <v>20.875</v>
      </c>
      <c r="S23" s="46"/>
      <c r="T23" s="47"/>
      <c r="U23" s="45"/>
    </row>
    <row r="24" spans="1:21" x14ac:dyDescent="0.25">
      <c r="A24">
        <v>12</v>
      </c>
      <c r="B24" s="35">
        <v>8</v>
      </c>
      <c r="C24" s="4">
        <f ca="1">OFFSET(Reference!A$1,MATCH('Cross Section Analysis'!B24,Reference!A$1:A$12,0)-1,2)</f>
        <v>0.79</v>
      </c>
      <c r="D24" s="36">
        <v>14.875</v>
      </c>
      <c r="E24" s="36">
        <v>20.875</v>
      </c>
      <c r="S24" s="46"/>
      <c r="T24" s="47"/>
      <c r="U24" s="45"/>
    </row>
    <row r="25" spans="1:21" ht="15.75" thickBot="1" x14ac:dyDescent="0.3">
      <c r="C25" s="4">
        <f ca="1">SUM(C13:C24)</f>
        <v>9.48</v>
      </c>
      <c r="D25" s="4">
        <f ca="1">(C25/(B5*B6))*100</f>
        <v>2.1944444444444446</v>
      </c>
      <c r="E25" t="str">
        <f>"=%As"</f>
        <v>=%As</v>
      </c>
      <c r="S25" s="42"/>
      <c r="T25" s="64"/>
      <c r="U25" s="43"/>
    </row>
    <row r="26" spans="1:21" x14ac:dyDescent="0.25">
      <c r="A26" s="26" t="s">
        <v>15</v>
      </c>
    </row>
    <row r="27" spans="1:21" x14ac:dyDescent="0.25">
      <c r="A27" s="2" t="s">
        <v>16</v>
      </c>
    </row>
    <row r="28" spans="1:21" x14ac:dyDescent="0.25">
      <c r="A28" s="2" t="s">
        <v>17</v>
      </c>
      <c r="B28">
        <f>B5*B6</f>
        <v>432</v>
      </c>
      <c r="C28" t="s">
        <v>18</v>
      </c>
      <c r="D28">
        <v>1</v>
      </c>
    </row>
    <row r="29" spans="1:21" x14ac:dyDescent="0.25">
      <c r="A29" s="2" t="s">
        <v>19</v>
      </c>
      <c r="B29">
        <f>B28*B2*D28</f>
        <v>2160</v>
      </c>
      <c r="C29" t="s">
        <v>20</v>
      </c>
    </row>
    <row r="30" spans="1:21" x14ac:dyDescent="0.25">
      <c r="A30" s="2" t="s">
        <v>21</v>
      </c>
      <c r="B30">
        <f>B29*(B6/2)</f>
        <v>25920</v>
      </c>
      <c r="C30" t="s">
        <v>23</v>
      </c>
    </row>
    <row r="31" spans="1:21" x14ac:dyDescent="0.25">
      <c r="A31" s="2" t="s">
        <v>22</v>
      </c>
      <c r="B31">
        <f>B29*(B5/2)</f>
        <v>19440</v>
      </c>
      <c r="C31" t="s">
        <v>23</v>
      </c>
    </row>
    <row r="33" spans="1:6" x14ac:dyDescent="0.25">
      <c r="A33" s="2" t="s">
        <v>24</v>
      </c>
      <c r="C33" s="1" t="s">
        <v>71</v>
      </c>
      <c r="D33" s="1" t="s">
        <v>25</v>
      </c>
      <c r="E33" s="1" t="s">
        <v>26</v>
      </c>
      <c r="F33" s="1" t="s">
        <v>27</v>
      </c>
    </row>
    <row r="34" spans="1:6" x14ac:dyDescent="0.25">
      <c r="A34">
        <f>A13</f>
        <v>1</v>
      </c>
      <c r="B34" s="7">
        <f ca="1">C13</f>
        <v>0.79</v>
      </c>
      <c r="C34" s="6">
        <f>($B$10-($B$2*$D$28))</f>
        <v>55</v>
      </c>
      <c r="D34" s="6">
        <f ca="1">B34*C34</f>
        <v>43.45</v>
      </c>
      <c r="E34" s="6">
        <f ca="1">D34*E13</f>
        <v>135.78125</v>
      </c>
      <c r="F34" s="6">
        <f ca="1">D34*D13</f>
        <v>135.78125</v>
      </c>
    </row>
    <row r="35" spans="1:6" x14ac:dyDescent="0.25">
      <c r="A35">
        <f t="shared" ref="A35:A45" si="0">A14</f>
        <v>2</v>
      </c>
      <c r="B35" s="7">
        <f t="shared" ref="B35:B45" ca="1" si="1">C14</f>
        <v>0.79</v>
      </c>
      <c r="C35" s="6">
        <f t="shared" ref="C35:C45" si="2">($B$10-($B$2*$D$28))</f>
        <v>55</v>
      </c>
      <c r="D35" s="6">
        <f t="shared" ref="D35:D45" ca="1" si="3">B35*C35</f>
        <v>43.45</v>
      </c>
      <c r="E35" s="6">
        <f t="shared" ref="E35:E45" ca="1" si="4">D35*E14</f>
        <v>135.78125</v>
      </c>
      <c r="F35" s="6">
        <f t="shared" ref="F35:F45" ca="1" si="5">D35*D14</f>
        <v>391.05</v>
      </c>
    </row>
    <row r="36" spans="1:6" x14ac:dyDescent="0.25">
      <c r="A36">
        <f t="shared" si="0"/>
        <v>3</v>
      </c>
      <c r="B36" s="7">
        <f t="shared" ca="1" si="1"/>
        <v>0.79</v>
      </c>
      <c r="C36" s="6">
        <f t="shared" si="2"/>
        <v>55</v>
      </c>
      <c r="D36" s="6">
        <f t="shared" ca="1" si="3"/>
        <v>43.45</v>
      </c>
      <c r="E36" s="6">
        <f t="shared" ca="1" si="4"/>
        <v>135.78125</v>
      </c>
      <c r="F36" s="6">
        <f t="shared" ca="1" si="5"/>
        <v>646.31875000000002</v>
      </c>
    </row>
    <row r="37" spans="1:6" x14ac:dyDescent="0.25">
      <c r="A37">
        <f t="shared" si="0"/>
        <v>4</v>
      </c>
      <c r="B37" s="7">
        <f t="shared" ca="1" si="1"/>
        <v>0.79</v>
      </c>
      <c r="C37" s="6">
        <f t="shared" si="2"/>
        <v>55</v>
      </c>
      <c r="D37" s="6">
        <f t="shared" ca="1" si="3"/>
        <v>43.45</v>
      </c>
      <c r="E37" s="6">
        <f t="shared" ca="1" si="4"/>
        <v>328.59062500000005</v>
      </c>
      <c r="F37" s="6">
        <f t="shared" ca="1" si="5"/>
        <v>135.78125</v>
      </c>
    </row>
    <row r="38" spans="1:6" x14ac:dyDescent="0.25">
      <c r="A38">
        <f t="shared" si="0"/>
        <v>5</v>
      </c>
      <c r="B38" s="7">
        <f t="shared" ca="1" si="1"/>
        <v>0.79</v>
      </c>
      <c r="C38" s="6">
        <f t="shared" si="2"/>
        <v>55</v>
      </c>
      <c r="D38" s="6">
        <f t="shared" ca="1" si="3"/>
        <v>43.45</v>
      </c>
      <c r="E38" s="6">
        <f t="shared" ca="1" si="4"/>
        <v>328.59062500000005</v>
      </c>
      <c r="F38" s="6">
        <f t="shared" ca="1" si="5"/>
        <v>646.31875000000002</v>
      </c>
    </row>
    <row r="39" spans="1:6" x14ac:dyDescent="0.25">
      <c r="A39">
        <f t="shared" si="0"/>
        <v>6</v>
      </c>
      <c r="B39" s="7">
        <f t="shared" ca="1" si="1"/>
        <v>0.79</v>
      </c>
      <c r="C39" s="6">
        <f t="shared" si="2"/>
        <v>55</v>
      </c>
      <c r="D39" s="6">
        <f t="shared" ca="1" si="3"/>
        <v>43.45</v>
      </c>
      <c r="E39" s="6">
        <f t="shared" ca="1" si="4"/>
        <v>521.40000000000009</v>
      </c>
      <c r="F39" s="6">
        <f t="shared" ca="1" si="5"/>
        <v>135.78125</v>
      </c>
    </row>
    <row r="40" spans="1:6" x14ac:dyDescent="0.25">
      <c r="A40">
        <f t="shared" si="0"/>
        <v>7</v>
      </c>
      <c r="B40" s="7">
        <f t="shared" ca="1" si="1"/>
        <v>0.79</v>
      </c>
      <c r="C40" s="6">
        <f t="shared" si="2"/>
        <v>55</v>
      </c>
      <c r="D40" s="6">
        <f t="shared" ca="1" si="3"/>
        <v>43.45</v>
      </c>
      <c r="E40" s="6">
        <f ca="1">D40*E19</f>
        <v>521.40000000000009</v>
      </c>
      <c r="F40" s="6">
        <f t="shared" ca="1" si="5"/>
        <v>646.31875000000002</v>
      </c>
    </row>
    <row r="41" spans="1:6" x14ac:dyDescent="0.25">
      <c r="A41">
        <f t="shared" si="0"/>
        <v>8</v>
      </c>
      <c r="B41" s="7">
        <f t="shared" ca="1" si="1"/>
        <v>0.79</v>
      </c>
      <c r="C41" s="6">
        <f t="shared" si="2"/>
        <v>55</v>
      </c>
      <c r="D41" s="6">
        <f t="shared" ca="1" si="3"/>
        <v>43.45</v>
      </c>
      <c r="E41" s="6">
        <f t="shared" ca="1" si="4"/>
        <v>714.20937500000002</v>
      </c>
      <c r="F41" s="6">
        <f t="shared" ca="1" si="5"/>
        <v>135.78125</v>
      </c>
    </row>
    <row r="42" spans="1:6" x14ac:dyDescent="0.25">
      <c r="A42">
        <f t="shared" si="0"/>
        <v>9</v>
      </c>
      <c r="B42" s="7">
        <f t="shared" ca="1" si="1"/>
        <v>0.79</v>
      </c>
      <c r="C42" s="6">
        <f t="shared" si="2"/>
        <v>55</v>
      </c>
      <c r="D42" s="6">
        <f t="shared" ca="1" si="3"/>
        <v>43.45</v>
      </c>
      <c r="E42" s="6">
        <f t="shared" ca="1" si="4"/>
        <v>714.20937500000002</v>
      </c>
      <c r="F42" s="6">
        <f t="shared" ca="1" si="5"/>
        <v>646.31875000000002</v>
      </c>
    </row>
    <row r="43" spans="1:6" x14ac:dyDescent="0.25">
      <c r="A43">
        <f t="shared" si="0"/>
        <v>10</v>
      </c>
      <c r="B43" s="7">
        <f t="shared" ca="1" si="1"/>
        <v>0.79</v>
      </c>
      <c r="C43" s="6">
        <f t="shared" si="2"/>
        <v>55</v>
      </c>
      <c r="D43" s="6">
        <f t="shared" ca="1" si="3"/>
        <v>43.45</v>
      </c>
      <c r="E43" s="6">
        <f t="shared" ca="1" si="4"/>
        <v>907.01875000000007</v>
      </c>
      <c r="F43" s="6">
        <f t="shared" ca="1" si="5"/>
        <v>135.78125</v>
      </c>
    </row>
    <row r="44" spans="1:6" x14ac:dyDescent="0.25">
      <c r="A44">
        <f t="shared" si="0"/>
        <v>11</v>
      </c>
      <c r="B44" s="7">
        <f t="shared" ca="1" si="1"/>
        <v>0.79</v>
      </c>
      <c r="C44" s="6">
        <f t="shared" si="2"/>
        <v>55</v>
      </c>
      <c r="D44" s="6">
        <f t="shared" ca="1" si="3"/>
        <v>43.45</v>
      </c>
      <c r="E44" s="6">
        <f t="shared" ca="1" si="4"/>
        <v>907.01875000000007</v>
      </c>
      <c r="F44" s="6">
        <f t="shared" ca="1" si="5"/>
        <v>391.05</v>
      </c>
    </row>
    <row r="45" spans="1:6" ht="15.75" thickBot="1" x14ac:dyDescent="0.3">
      <c r="A45">
        <f t="shared" si="0"/>
        <v>12</v>
      </c>
      <c r="B45" s="7">
        <f t="shared" ca="1" si="1"/>
        <v>0.79</v>
      </c>
      <c r="C45" s="6">
        <f t="shared" si="2"/>
        <v>55</v>
      </c>
      <c r="D45" s="25">
        <f t="shared" ca="1" si="3"/>
        <v>43.45</v>
      </c>
      <c r="E45" s="25">
        <f t="shared" ca="1" si="4"/>
        <v>907.01875000000007</v>
      </c>
      <c r="F45" s="25">
        <f t="shared" ca="1" si="5"/>
        <v>646.31875000000002</v>
      </c>
    </row>
    <row r="46" spans="1:6" ht="15.75" thickTop="1" x14ac:dyDescent="0.25">
      <c r="C46" s="6"/>
      <c r="D46" s="6">
        <f ca="1">SUM(D34:D45)</f>
        <v>521.4</v>
      </c>
      <c r="E46" s="6">
        <f t="shared" ref="E46:F46" ca="1" si="6">SUM(E34:E45)</f>
        <v>6256.8</v>
      </c>
      <c r="F46" s="6">
        <f t="shared" ca="1" si="6"/>
        <v>4692.6000000000004</v>
      </c>
    </row>
    <row r="48" spans="1:6" x14ac:dyDescent="0.25">
      <c r="A48" s="2" t="s">
        <v>28</v>
      </c>
      <c r="B48" s="6">
        <f ca="1">B29+D46</f>
        <v>2681.4</v>
      </c>
      <c r="D48" t="s">
        <v>31</v>
      </c>
      <c r="E48" t="s">
        <v>32</v>
      </c>
    </row>
    <row r="49" spans="1:21" x14ac:dyDescent="0.25">
      <c r="A49" s="2" t="s">
        <v>29</v>
      </c>
      <c r="B49" s="6">
        <f ca="1">E46+B30</f>
        <v>32176.799999999999</v>
      </c>
      <c r="D49" s="1">
        <f ca="1">B50/B48</f>
        <v>9</v>
      </c>
      <c r="E49" s="4">
        <f ca="1">B49/B48</f>
        <v>12</v>
      </c>
    </row>
    <row r="50" spans="1:21" x14ac:dyDescent="0.25">
      <c r="A50" s="2" t="s">
        <v>30</v>
      </c>
      <c r="B50" s="6">
        <f ca="1">F46+B31</f>
        <v>24132.6</v>
      </c>
    </row>
    <row r="52" spans="1:21" x14ac:dyDescent="0.25">
      <c r="A52" s="27" t="s">
        <v>34</v>
      </c>
    </row>
    <row r="53" spans="1:21" x14ac:dyDescent="0.25">
      <c r="A53" s="2" t="s">
        <v>36</v>
      </c>
      <c r="B53" s="34">
        <v>300.06951576667183</v>
      </c>
      <c r="C53" t="s">
        <v>39</v>
      </c>
      <c r="F53">
        <f>B53-360</f>
        <v>-59.930484233328173</v>
      </c>
    </row>
    <row r="55" spans="1:21" x14ac:dyDescent="0.25">
      <c r="A55" s="2" t="s">
        <v>16</v>
      </c>
    </row>
    <row r="56" spans="1:21" x14ac:dyDescent="0.25">
      <c r="A56" s="1" t="s">
        <v>0</v>
      </c>
      <c r="B56" s="1" t="s">
        <v>1</v>
      </c>
      <c r="C56" s="1" t="s">
        <v>37</v>
      </c>
      <c r="D56" s="1" t="s">
        <v>38</v>
      </c>
    </row>
    <row r="57" spans="1:21" x14ac:dyDescent="0.25">
      <c r="A57" s="6">
        <f ca="1">D3-$D$49</f>
        <v>-9</v>
      </c>
      <c r="B57" s="7">
        <f ca="1">E3-$E$49</f>
        <v>-12</v>
      </c>
      <c r="C57" s="4">
        <f ca="1">A57*COS(RADIANS(-1*$B$53))+B57*SIN(RADIANS(-1*$B$53))</f>
        <v>-14.894470783743646</v>
      </c>
      <c r="D57" s="4">
        <f ca="1">-1*A57*SIN(RADIANS(-1*$B$53))+B57*COS(RADIANS(-1*$B$53))</f>
        <v>1.7761587970130703</v>
      </c>
      <c r="F57" t="s">
        <v>40</v>
      </c>
      <c r="G57">
        <f ca="1">MAX(D57:D61)-MIN(D57:D61)</f>
        <v>27.602734978460482</v>
      </c>
      <c r="H57" t="s">
        <v>6</v>
      </c>
      <c r="T57" t="s">
        <v>82</v>
      </c>
    </row>
    <row r="58" spans="1:21" x14ac:dyDescent="0.25">
      <c r="A58" s="6">
        <f ca="1">D4-$D$49</f>
        <v>9</v>
      </c>
      <c r="B58" s="7">
        <f t="shared" ref="B58:B61" ca="1" si="7">E4-$E$49</f>
        <v>-12</v>
      </c>
      <c r="C58" s="4">
        <f t="shared" ref="C58:C61" ca="1" si="8">A58*COS(RADIANS(-1*$B$53))+B58*SIN(RADIANS(-1*$B$53))</f>
        <v>-5.8755642645807695</v>
      </c>
      <c r="D58" s="4">
        <f t="shared" ref="D58:D61" ca="1" si="9">-1*A58*SIN(RADIANS(-1*$B$53))+B58*COS(RADIANS(-1*$B$53))</f>
        <v>-13.801367489230241</v>
      </c>
      <c r="F58" t="s">
        <v>62</v>
      </c>
      <c r="G58" s="7">
        <f ca="1">MAX(D57:D61)</f>
        <v>13.801367489230241</v>
      </c>
      <c r="T58" t="s">
        <v>0</v>
      </c>
      <c r="U58" t="s">
        <v>1</v>
      </c>
    </row>
    <row r="59" spans="1:21" x14ac:dyDescent="0.25">
      <c r="A59" s="6">
        <f ca="1">D5-$D$49</f>
        <v>9</v>
      </c>
      <c r="B59" s="7">
        <f t="shared" ca="1" si="7"/>
        <v>12</v>
      </c>
      <c r="C59" s="4">
        <f t="shared" ca="1" si="8"/>
        <v>14.894470783743646</v>
      </c>
      <c r="D59" s="4">
        <f t="shared" ca="1" si="9"/>
        <v>-1.7761587970130703</v>
      </c>
      <c r="T59">
        <f ca="1">MAX(MAX(C57:C61),MAX(D57:D61))</f>
        <v>14.894470783743646</v>
      </c>
      <c r="U59">
        <f ca="1">T59</f>
        <v>14.894470783743646</v>
      </c>
    </row>
    <row r="60" spans="1:21" x14ac:dyDescent="0.25">
      <c r="A60" s="6">
        <f ca="1">D6-$D$49</f>
        <v>-9</v>
      </c>
      <c r="B60" s="7">
        <f t="shared" ca="1" si="7"/>
        <v>12</v>
      </c>
      <c r="C60" s="4">
        <f t="shared" ca="1" si="8"/>
        <v>5.8755642645807695</v>
      </c>
      <c r="D60" s="4">
        <f t="shared" ca="1" si="9"/>
        <v>13.801367489230241</v>
      </c>
      <c r="T60">
        <f ca="1">-1*T59</f>
        <v>-14.894470783743646</v>
      </c>
      <c r="U60">
        <f ca="1">-1*U59</f>
        <v>-14.894470783743646</v>
      </c>
    </row>
    <row r="61" spans="1:21" x14ac:dyDescent="0.25">
      <c r="A61" s="6">
        <f ca="1">D7-$D$49</f>
        <v>-9</v>
      </c>
      <c r="B61" s="7">
        <f t="shared" ca="1" si="7"/>
        <v>-12</v>
      </c>
      <c r="C61" s="4">
        <f t="shared" ca="1" si="8"/>
        <v>-14.894470783743646</v>
      </c>
      <c r="D61" s="4">
        <f t="shared" ca="1" si="9"/>
        <v>1.7761587970130703</v>
      </c>
    </row>
    <row r="62" spans="1:21" x14ac:dyDescent="0.25">
      <c r="A62" s="6"/>
    </row>
    <row r="63" spans="1:21" x14ac:dyDescent="0.25">
      <c r="A63" s="28" t="s">
        <v>24</v>
      </c>
      <c r="F63" s="1" t="s">
        <v>37</v>
      </c>
      <c r="G63" s="1" t="s">
        <v>38</v>
      </c>
    </row>
    <row r="64" spans="1:21" x14ac:dyDescent="0.25">
      <c r="A64" s="8">
        <f t="shared" ref="A64:C75" si="10">A13</f>
        <v>1</v>
      </c>
      <c r="B64" s="6">
        <f t="shared" si="10"/>
        <v>8</v>
      </c>
      <c r="C64" s="6">
        <f t="shared" ca="1" si="10"/>
        <v>0.79</v>
      </c>
      <c r="D64" s="6">
        <f ca="1">D13-$D$49</f>
        <v>-5.875</v>
      </c>
      <c r="E64" s="6">
        <f ca="1">E13-$E$49</f>
        <v>-8.875</v>
      </c>
      <c r="F64" s="4">
        <f ca="1">IF(C64&gt;0,D64*COS(RADIANS(-1*$B$53))+E64*SIN(RADIANS(-1*$B$53)),0)</f>
        <v>-10.624256755027295</v>
      </c>
      <c r="G64" s="4">
        <f ca="1">IF(C64&gt;0,-1*D64*SIN(RADIANS(-1*$B$53))+E64*COS(RADIANS(-1*$B$53)),0)</f>
        <v>0.6375095318949402</v>
      </c>
    </row>
    <row r="65" spans="1:7" x14ac:dyDescent="0.25">
      <c r="A65" s="8">
        <f t="shared" si="10"/>
        <v>2</v>
      </c>
      <c r="B65" s="6">
        <f t="shared" si="10"/>
        <v>8</v>
      </c>
      <c r="C65" s="6">
        <f t="shared" ca="1" si="10"/>
        <v>0.79</v>
      </c>
      <c r="D65" s="6">
        <f t="shared" ref="D65:D75" ca="1" si="11">D14-$D$49</f>
        <v>0</v>
      </c>
      <c r="E65" s="6">
        <f t="shared" ref="E65:E75" ca="1" si="12">E14-$E$49</f>
        <v>-8.875</v>
      </c>
      <c r="F65" s="4">
        <f t="shared" ref="F65:F75" ca="1" si="13">IF(C65&gt;0,D65*COS(RADIANS(-1*$B$53))+E65*SIN(RADIANS(-1*$B$53)),0)</f>
        <v>-7.6805858772449662</v>
      </c>
      <c r="G65" s="4">
        <f t="shared" ref="G65:G75" ca="1" si="14">IF(C65&gt;0,-1*D65*SIN(RADIANS(-1*$B$53))+E65*COS(RADIANS(-1*$B$53)),0)</f>
        <v>-4.446821964309474</v>
      </c>
    </row>
    <row r="66" spans="1:7" x14ac:dyDescent="0.25">
      <c r="A66" s="8">
        <f t="shared" si="10"/>
        <v>3</v>
      </c>
      <c r="B66" s="6">
        <f t="shared" si="10"/>
        <v>8</v>
      </c>
      <c r="C66" s="6">
        <f t="shared" ca="1" si="10"/>
        <v>0.79</v>
      </c>
      <c r="D66" s="6">
        <f t="shared" ca="1" si="11"/>
        <v>5.875</v>
      </c>
      <c r="E66" s="6">
        <f t="shared" ca="1" si="12"/>
        <v>-8.875</v>
      </c>
      <c r="F66" s="4">
        <f t="shared" ca="1" si="13"/>
        <v>-4.7369149994626376</v>
      </c>
      <c r="G66" s="4">
        <f t="shared" ca="1" si="14"/>
        <v>-9.5311534605138881</v>
      </c>
    </row>
    <row r="67" spans="1:7" x14ac:dyDescent="0.25">
      <c r="A67" s="8">
        <f t="shared" si="10"/>
        <v>4</v>
      </c>
      <c r="B67" s="6">
        <f t="shared" si="10"/>
        <v>8</v>
      </c>
      <c r="C67" s="6">
        <f t="shared" ca="1" si="10"/>
        <v>0.79</v>
      </c>
      <c r="D67" s="6">
        <f t="shared" ca="1" si="11"/>
        <v>-5.875</v>
      </c>
      <c r="E67" s="6">
        <f t="shared" ca="1" si="12"/>
        <v>-4.4375</v>
      </c>
      <c r="F67" s="4">
        <f t="shared" ca="1" si="13"/>
        <v>-6.7839638164048113</v>
      </c>
      <c r="G67" s="4">
        <f t="shared" ca="1" si="14"/>
        <v>2.8609205140496772</v>
      </c>
    </row>
    <row r="68" spans="1:7" x14ac:dyDescent="0.25">
      <c r="A68" s="8">
        <f t="shared" si="10"/>
        <v>5</v>
      </c>
      <c r="B68" s="6">
        <f t="shared" si="10"/>
        <v>8</v>
      </c>
      <c r="C68" s="6">
        <f t="shared" ca="1" si="10"/>
        <v>0.79</v>
      </c>
      <c r="D68" s="6">
        <f t="shared" ca="1" si="11"/>
        <v>5.875</v>
      </c>
      <c r="E68" s="6">
        <f t="shared" ca="1" si="12"/>
        <v>-4.4375</v>
      </c>
      <c r="F68" s="4">
        <f t="shared" ca="1" si="13"/>
        <v>-0.89662206084015494</v>
      </c>
      <c r="G68" s="4">
        <f t="shared" ca="1" si="14"/>
        <v>-7.3077424783591507</v>
      </c>
    </row>
    <row r="69" spans="1:7" x14ac:dyDescent="0.25">
      <c r="A69" s="8">
        <f t="shared" si="10"/>
        <v>6</v>
      </c>
      <c r="B69" s="6">
        <f t="shared" si="10"/>
        <v>8</v>
      </c>
      <c r="C69" s="6">
        <f t="shared" ca="1" si="10"/>
        <v>0.79</v>
      </c>
      <c r="D69" s="6">
        <f t="shared" ca="1" si="11"/>
        <v>-5.875</v>
      </c>
      <c r="E69" s="6">
        <f t="shared" ca="1" si="12"/>
        <v>0</v>
      </c>
      <c r="F69" s="4">
        <f t="shared" ca="1" si="13"/>
        <v>-2.9436708777823282</v>
      </c>
      <c r="G69" s="4">
        <f t="shared" ca="1" si="14"/>
        <v>5.0843314962044142</v>
      </c>
    </row>
    <row r="70" spans="1:7" x14ac:dyDescent="0.25">
      <c r="A70" s="8">
        <f t="shared" si="10"/>
        <v>7</v>
      </c>
      <c r="B70" s="6">
        <f t="shared" si="10"/>
        <v>8</v>
      </c>
      <c r="C70" s="6">
        <f t="shared" ca="1" si="10"/>
        <v>0.79</v>
      </c>
      <c r="D70" s="6">
        <f t="shared" ca="1" si="11"/>
        <v>5.875</v>
      </c>
      <c r="E70" s="6">
        <f t="shared" ca="1" si="12"/>
        <v>0</v>
      </c>
      <c r="F70" s="4">
        <f t="shared" ca="1" si="13"/>
        <v>2.9436708777823282</v>
      </c>
      <c r="G70" s="4">
        <f t="shared" ca="1" si="14"/>
        <v>-5.0843314962044142</v>
      </c>
    </row>
    <row r="71" spans="1:7" x14ac:dyDescent="0.25">
      <c r="A71" s="8">
        <f t="shared" si="10"/>
        <v>8</v>
      </c>
      <c r="B71" s="6">
        <f t="shared" si="10"/>
        <v>8</v>
      </c>
      <c r="C71" s="6">
        <f t="shared" ca="1" si="10"/>
        <v>0.79</v>
      </c>
      <c r="D71" s="6">
        <f t="shared" ca="1" si="11"/>
        <v>-5.875</v>
      </c>
      <c r="E71" s="6">
        <f t="shared" ca="1" si="12"/>
        <v>4.4375</v>
      </c>
      <c r="F71" s="4">
        <f t="shared" ca="1" si="13"/>
        <v>0.89662206084015494</v>
      </c>
      <c r="G71" s="4">
        <f t="shared" ca="1" si="14"/>
        <v>7.3077424783591507</v>
      </c>
    </row>
    <row r="72" spans="1:7" x14ac:dyDescent="0.25">
      <c r="A72" s="8">
        <f t="shared" si="10"/>
        <v>9</v>
      </c>
      <c r="B72" s="6">
        <f t="shared" si="10"/>
        <v>8</v>
      </c>
      <c r="C72" s="6">
        <f t="shared" ca="1" si="10"/>
        <v>0.79</v>
      </c>
      <c r="D72" s="6">
        <f t="shared" ca="1" si="11"/>
        <v>5.875</v>
      </c>
      <c r="E72" s="6">
        <f t="shared" ca="1" si="12"/>
        <v>4.4375</v>
      </c>
      <c r="F72" s="4">
        <f t="shared" ca="1" si="13"/>
        <v>6.7839638164048113</v>
      </c>
      <c r="G72" s="4">
        <f t="shared" ca="1" si="14"/>
        <v>-2.8609205140496772</v>
      </c>
    </row>
    <row r="73" spans="1:7" x14ac:dyDescent="0.25">
      <c r="A73" s="8">
        <f t="shared" si="10"/>
        <v>10</v>
      </c>
      <c r="B73" s="6">
        <f t="shared" si="10"/>
        <v>8</v>
      </c>
      <c r="C73" s="6">
        <f t="shared" ca="1" si="10"/>
        <v>0.79</v>
      </c>
      <c r="D73" s="6">
        <f t="shared" ca="1" si="11"/>
        <v>-5.875</v>
      </c>
      <c r="E73" s="6">
        <f t="shared" ca="1" si="12"/>
        <v>8.875</v>
      </c>
      <c r="F73" s="4">
        <f t="shared" ca="1" si="13"/>
        <v>4.7369149994626376</v>
      </c>
      <c r="G73" s="4">
        <f t="shared" ca="1" si="14"/>
        <v>9.5311534605138881</v>
      </c>
    </row>
    <row r="74" spans="1:7" x14ac:dyDescent="0.25">
      <c r="A74" s="8">
        <f t="shared" si="10"/>
        <v>11</v>
      </c>
      <c r="B74" s="6">
        <f t="shared" si="10"/>
        <v>8</v>
      </c>
      <c r="C74" s="6">
        <f t="shared" ca="1" si="10"/>
        <v>0.79</v>
      </c>
      <c r="D74" s="6">
        <f t="shared" ca="1" si="11"/>
        <v>0</v>
      </c>
      <c r="E74" s="6">
        <f t="shared" ca="1" si="12"/>
        <v>8.875</v>
      </c>
      <c r="F74" s="4">
        <f t="shared" ca="1" si="13"/>
        <v>7.6805858772449662</v>
      </c>
      <c r="G74" s="4">
        <f t="shared" ca="1" si="14"/>
        <v>4.446821964309474</v>
      </c>
    </row>
    <row r="75" spans="1:7" x14ac:dyDescent="0.25">
      <c r="A75" s="8">
        <f t="shared" si="10"/>
        <v>12</v>
      </c>
      <c r="B75" s="6">
        <f t="shared" si="10"/>
        <v>8</v>
      </c>
      <c r="C75" s="6">
        <f t="shared" ca="1" si="10"/>
        <v>0.79</v>
      </c>
      <c r="D75" s="6">
        <f t="shared" ca="1" si="11"/>
        <v>5.875</v>
      </c>
      <c r="E75" s="6">
        <f t="shared" ca="1" si="12"/>
        <v>8.875</v>
      </c>
      <c r="F75" s="4">
        <f t="shared" ca="1" si="13"/>
        <v>10.624256755027295</v>
      </c>
      <c r="G75" s="4">
        <f t="shared" ca="1" si="14"/>
        <v>-0.6375095318949402</v>
      </c>
    </row>
    <row r="76" spans="1:7" x14ac:dyDescent="0.25">
      <c r="G76" s="7">
        <f ca="1">MIN(G64:G75)</f>
        <v>-9.5311534605138881</v>
      </c>
    </row>
    <row r="77" spans="1:7" x14ac:dyDescent="0.25">
      <c r="D77" t="s">
        <v>0</v>
      </c>
      <c r="E77" t="s">
        <v>1</v>
      </c>
    </row>
    <row r="78" spans="1:7" x14ac:dyDescent="0.25">
      <c r="A78" s="2" t="s">
        <v>41</v>
      </c>
      <c r="B78" s="34">
        <v>10.296173223162363</v>
      </c>
      <c r="C78" t="s">
        <v>6</v>
      </c>
      <c r="D78" s="4">
        <f ca="1">MIN(C57:C61)</f>
        <v>-14.894470783743646</v>
      </c>
      <c r="E78" s="4">
        <f ca="1">MAX(D57:D61)-B78</f>
        <v>3.5051942660678783</v>
      </c>
    </row>
    <row r="79" spans="1:7" x14ac:dyDescent="0.25">
      <c r="A79" s="2"/>
      <c r="D79" s="4">
        <f ca="1">MAX(C57:C61)</f>
        <v>14.894470783743646</v>
      </c>
      <c r="E79" s="4">
        <f ca="1">E78</f>
        <v>3.5051942660678783</v>
      </c>
    </row>
    <row r="80" spans="1:7" x14ac:dyDescent="0.25">
      <c r="A80" s="2"/>
    </row>
    <row r="81" spans="1:12" x14ac:dyDescent="0.25">
      <c r="A81" s="2" t="s">
        <v>42</v>
      </c>
      <c r="B81" s="1">
        <f>B78*B4</f>
        <v>8.2369385785298892</v>
      </c>
      <c r="C81" t="s">
        <v>6</v>
      </c>
      <c r="D81" t="s">
        <v>0</v>
      </c>
      <c r="E81" t="s">
        <v>1</v>
      </c>
    </row>
    <row r="82" spans="1:12" x14ac:dyDescent="0.25">
      <c r="D82" s="4">
        <f ca="1">MIN(C57:C61)</f>
        <v>-14.894470783743646</v>
      </c>
      <c r="E82" s="4">
        <f ca="1">MAX(D57:D61)-B81</f>
        <v>5.5644289107003519</v>
      </c>
    </row>
    <row r="83" spans="1:12" x14ac:dyDescent="0.25">
      <c r="D83" s="4">
        <f ca="1">MAX(C57:C61)</f>
        <v>14.894470783743646</v>
      </c>
      <c r="E83" s="4">
        <f ca="1">E82</f>
        <v>5.5644289107003519</v>
      </c>
    </row>
    <row r="84" spans="1:12" x14ac:dyDescent="0.25">
      <c r="A84" t="s">
        <v>47</v>
      </c>
    </row>
    <row r="85" spans="1:12" x14ac:dyDescent="0.25">
      <c r="A85" s="2" t="s">
        <v>55</v>
      </c>
      <c r="B85" s="1">
        <f>0.85*B2</f>
        <v>4.25</v>
      </c>
      <c r="C85" t="s">
        <v>5</v>
      </c>
    </row>
    <row r="87" spans="1:12" x14ac:dyDescent="0.25">
      <c r="A87" t="s">
        <v>48</v>
      </c>
      <c r="B87" t="s">
        <v>43</v>
      </c>
      <c r="C87" t="s">
        <v>44</v>
      </c>
      <c r="D87" t="s">
        <v>45</v>
      </c>
      <c r="E87" t="s">
        <v>46</v>
      </c>
      <c r="G87" s="1" t="s">
        <v>49</v>
      </c>
      <c r="H87" s="1" t="s">
        <v>50</v>
      </c>
      <c r="I87" s="1" t="s">
        <v>51</v>
      </c>
      <c r="J87" s="1" t="s">
        <v>52</v>
      </c>
      <c r="K87" s="1" t="s">
        <v>53</v>
      </c>
      <c r="L87" s="1" t="s">
        <v>54</v>
      </c>
    </row>
    <row r="88" spans="1:12" x14ac:dyDescent="0.25">
      <c r="A88">
        <v>1</v>
      </c>
      <c r="B88" s="4">
        <f t="shared" ref="B88:C91" ca="1" si="15">C57</f>
        <v>-14.894470783743646</v>
      </c>
      <c r="C88" s="4">
        <f t="shared" ca="1" si="15"/>
        <v>1.7761587970130703</v>
      </c>
      <c r="D88" s="4">
        <f t="shared" ref="D88:E91" ca="1" si="16">C58</f>
        <v>-5.8755642645807695</v>
      </c>
      <c r="E88" s="4">
        <f t="shared" ca="1" si="16"/>
        <v>-13.801367489230241</v>
      </c>
      <c r="F88" s="1">
        <f ca="1">IF(AND(E88&gt;=E$82,C88&lt;=E$82),1,IF(AND(C88&gt;=E$82,E88&gt;=E$82),3,IF(AND(E88&lt;=E$82,C88&gt;=E$82),2,0)))</f>
        <v>0</v>
      </c>
      <c r="G88" s="1">
        <f ca="1">IF(E88=C88,"H",IF(B88=D88,"V",(E88-C88)/(D88-B88)))</f>
        <v>-1.7272078664021013</v>
      </c>
      <c r="H88" s="4" t="e">
        <f ca="1">IF(OR(F88=1,F88=2),IF(G88="V",B88,(E$82-C88+(G88*B88))/G88),NA())</f>
        <v>#N/A</v>
      </c>
      <c r="I88" s="4" t="e">
        <f ca="1">IF(OR(F88=1,F88=2),E$82,NA())</f>
        <v>#N/A</v>
      </c>
      <c r="J88" s="5">
        <f ca="1">IF(F88=0,0,IF(F88=1,-0.5*B$85*(H88+D88)*(I88-E88),IF(F88=2,-0.5*B$85*(B88+H88)*(C88-I88),IF(F88=3,-0.5*B$85*(B88+D88)*(C88-E88),0))))</f>
        <v>0</v>
      </c>
      <c r="K88" s="5">
        <f ca="1">IF(F88=1,(1/6)*B$85*(E88-I88)*((H88*(2*I88+E88))+(D88*(I88+2*E88))),IF(F88=2,(1/6)*B$85*(I88-C88)*((B88*(2*C88+I88))+(H88*(C88+2*I88))),IF(F88=3,(1/6)*B$85*(E88-C88)*((B88*(2*C88+E88))+(D88*(C88+2*E88))),0)))</f>
        <v>0</v>
      </c>
      <c r="L88" s="5">
        <f ca="1">IF(F88=1,(1/6)*B$85*(POWER(H88,2)+H88*D88+POWER(D88,2))*(E88-I88),IF(F88=2,(1/6)*B$85*(POWER(B88,2)+B88*H88+POWER(H88,2))*(I88-C88),IF(F88=3,(1/6)*B$85*(POWER(B88,2)+B88*D88+POWER(D88,2))*(E88-C88),0)))</f>
        <v>0</v>
      </c>
    </row>
    <row r="89" spans="1:12" x14ac:dyDescent="0.25">
      <c r="A89">
        <v>2</v>
      </c>
      <c r="B89" s="4">
        <f t="shared" ca="1" si="15"/>
        <v>-5.8755642645807695</v>
      </c>
      <c r="C89" s="4">
        <f t="shared" ca="1" si="15"/>
        <v>-13.801367489230241</v>
      </c>
      <c r="D89" s="4">
        <f t="shared" ca="1" si="16"/>
        <v>14.894470783743646</v>
      </c>
      <c r="E89" s="4">
        <f t="shared" ca="1" si="16"/>
        <v>-1.7761587970130703</v>
      </c>
      <c r="F89" s="1">
        <f t="shared" ref="F89:F91" ca="1" si="17">IF(AND(E89&gt;=E$82,C89&lt;=E$82),1,IF(AND(C89&gt;=E$82,E89&gt;=E$82),3,IF(AND(E89&lt;=E$82,C89&gt;=E$82),2,0)))</f>
        <v>0</v>
      </c>
      <c r="G89" s="1">
        <f t="shared" ref="G89:G91" ca="1" si="18">IF(E89=C89,"H",IF(B89=D89,"V",(E89-C89)/(D89-B89)))</f>
        <v>0.57896910930765522</v>
      </c>
      <c r="H89" s="4" t="e">
        <f t="shared" ref="H89:H91" ca="1" si="19">IF(OR(F89=1,F89=2),IF(G89="V",B89,(E$82-C89+(G89*B89))/G89),NA())</f>
        <v>#N/A</v>
      </c>
      <c r="I89" s="4" t="e">
        <f t="shared" ref="I89:I91" ca="1" si="20">IF(OR(F89=1,F89=2),E$82,NA())</f>
        <v>#N/A</v>
      </c>
      <c r="J89" s="5">
        <f ca="1">IF(F89=0,0,IF(F89=1,-0.5*B$85*(H89+D89)*(I89-E89),IF(F89=2,-0.5*B$85*(B89+H89)*(C89-I89),IF(F89=3,-0.5*B$85*(B89+D89)*(C89-E89),0))))</f>
        <v>0</v>
      </c>
      <c r="K89" s="5">
        <f t="shared" ref="K89:K91" ca="1" si="21">IF(F89=1,(1/6)*B$85*(E89-I89)*((H89*(2*I89+E89))+(D89*(I89+2*E89))),IF(F89=2,(1/6)*B$85*(I89-C89)*((B89*(2*C89+I89))+(H89*(C89+2*I89))),IF(F89=3,(1/6)*B$85*(E89-C89)*((B89*(2*C89+E89))+(D89*(C89+2*E89))),0)))</f>
        <v>0</v>
      </c>
      <c r="L89" s="5">
        <f t="shared" ref="L89:L91" ca="1" si="22">IF(F89=1,(1/6)*B$85*(POWER(H89,2)+H89*D89+POWER(D89,2))*(E89-I89),IF(F89=2,(1/6)*B$85*(POWER(B89,2)+B89*H89+POWER(H89,2))*(I89-C89),IF(F89=3,(1/6)*B$85*(POWER(B89,2)+B89*D89+POWER(D89,2))*(E89-C89),0)))</f>
        <v>0</v>
      </c>
    </row>
    <row r="90" spans="1:12" x14ac:dyDescent="0.25">
      <c r="A90">
        <v>3</v>
      </c>
      <c r="B90" s="4">
        <f t="shared" ca="1" si="15"/>
        <v>14.894470783743646</v>
      </c>
      <c r="C90" s="4">
        <f t="shared" ca="1" si="15"/>
        <v>-1.7761587970130703</v>
      </c>
      <c r="D90" s="4">
        <f t="shared" ca="1" si="16"/>
        <v>5.8755642645807695</v>
      </c>
      <c r="E90" s="4">
        <f t="shared" ca="1" si="16"/>
        <v>13.801367489230241</v>
      </c>
      <c r="F90" s="1">
        <f t="shared" ca="1" si="17"/>
        <v>1</v>
      </c>
      <c r="G90" s="1">
        <f t="shared" ca="1" si="18"/>
        <v>-1.7272078664021013</v>
      </c>
      <c r="H90" s="4">
        <f t="shared" ca="1" si="19"/>
        <v>10.644497256814084</v>
      </c>
      <c r="I90" s="4">
        <f t="shared" ca="1" si="20"/>
        <v>5.5644289107003519</v>
      </c>
      <c r="J90" s="5">
        <f t="shared" ref="J90:J91" ca="1" si="23">IF(F90=0,0,IF(F90=1,-0.5*B$85*(H90+D90)*(I90-E90),IF(F90=2,-0.5*B$85*(B90+H90)*(C90-I90),IF(F90=3,-0.5*B$85*(B90+D90)*(C90-E90),0))))</f>
        <v>289.15880563868694</v>
      </c>
      <c r="K90" s="5">
        <f t="shared" ca="1" si="21"/>
        <v>2685.3016268632487</v>
      </c>
      <c r="L90" s="5">
        <f t="shared" ca="1" si="22"/>
        <v>1227.403406896856</v>
      </c>
    </row>
    <row r="91" spans="1:12" ht="15.75" thickBot="1" x14ac:dyDescent="0.3">
      <c r="A91">
        <v>4</v>
      </c>
      <c r="B91" s="4">
        <f t="shared" ca="1" si="15"/>
        <v>5.8755642645807695</v>
      </c>
      <c r="C91" s="4">
        <f t="shared" ca="1" si="15"/>
        <v>13.801367489230241</v>
      </c>
      <c r="D91" s="4">
        <f t="shared" ca="1" si="16"/>
        <v>-14.894470783743646</v>
      </c>
      <c r="E91" s="4">
        <f t="shared" ca="1" si="16"/>
        <v>1.7761587970130703</v>
      </c>
      <c r="F91" s="1">
        <f t="shared" ca="1" si="17"/>
        <v>2</v>
      </c>
      <c r="G91" s="1">
        <f t="shared" ca="1" si="18"/>
        <v>0.57896910930765522</v>
      </c>
      <c r="H91" s="4">
        <f t="shared" ca="1" si="19"/>
        <v>-8.3513408433269944</v>
      </c>
      <c r="I91" s="4">
        <f t="shared" ca="1" si="20"/>
        <v>5.5644289107003519</v>
      </c>
      <c r="J91" s="24">
        <f t="shared" ca="1" si="23"/>
        <v>43.334741678252989</v>
      </c>
      <c r="K91" s="24">
        <f t="shared" ca="1" si="21"/>
        <v>77.744722784165901</v>
      </c>
      <c r="L91" s="24">
        <f t="shared" ca="1" si="22"/>
        <v>-322.05443513284905</v>
      </c>
    </row>
    <row r="92" spans="1:12" ht="15.75" thickTop="1" x14ac:dyDescent="0.25">
      <c r="B92" s="1"/>
      <c r="C92" s="1"/>
      <c r="D92" s="1"/>
      <c r="E92" s="1"/>
      <c r="F92" s="1"/>
      <c r="G92" s="1"/>
      <c r="H92" s="1"/>
      <c r="I92" s="1"/>
      <c r="J92" s="5">
        <f ca="1">SUM(J88:J91)</f>
        <v>332.49354731693995</v>
      </c>
      <c r="K92" s="5">
        <f ca="1">SUM(K88:K91)</f>
        <v>2763.0463496474144</v>
      </c>
      <c r="L92" s="5">
        <f ca="1">SUM(L88:L91)*-1</f>
        <v>-905.34897176400705</v>
      </c>
    </row>
    <row r="95" spans="1:12" x14ac:dyDescent="0.25">
      <c r="A95" t="s">
        <v>56</v>
      </c>
    </row>
    <row r="96" spans="1:12" x14ac:dyDescent="0.25">
      <c r="A96" s="2" t="s">
        <v>58</v>
      </c>
      <c r="B96" s="1">
        <v>3.0000000000000001E-3</v>
      </c>
    </row>
    <row r="97" spans="1:26" x14ac:dyDescent="0.25">
      <c r="A97" t="s">
        <v>57</v>
      </c>
      <c r="B97" t="s">
        <v>60</v>
      </c>
      <c r="C97" t="str">
        <f t="shared" ref="C97:C109" si="24">F63</f>
        <v>x'</v>
      </c>
      <c r="D97" t="str">
        <f t="shared" ref="D97:D109" si="25">G63</f>
        <v>y'</v>
      </c>
      <c r="E97" t="s">
        <v>61</v>
      </c>
      <c r="F97" t="s">
        <v>59</v>
      </c>
      <c r="G97" t="s">
        <v>63</v>
      </c>
      <c r="H97" s="1" t="s">
        <v>64</v>
      </c>
      <c r="I97" s="1" t="s">
        <v>65</v>
      </c>
      <c r="J97" s="1" t="s">
        <v>66</v>
      </c>
    </row>
    <row r="98" spans="1:26" x14ac:dyDescent="0.25">
      <c r="A98" s="8">
        <f>A64</f>
        <v>1</v>
      </c>
      <c r="B98" s="7">
        <f ca="1">C13</f>
        <v>0.79</v>
      </c>
      <c r="C98">
        <f t="shared" ca="1" si="24"/>
        <v>-10.624256755027295</v>
      </c>
      <c r="D98">
        <f t="shared" ca="1" si="25"/>
        <v>0.6375095318949402</v>
      </c>
      <c r="E98" s="7">
        <f ca="1">G$58-D98</f>
        <v>13.163857957335301</v>
      </c>
      <c r="F98" s="11">
        <f ca="1">IF(B98=0,0,((B$78-E98)/B$78)*B$96)</f>
        <v>-8.3555841729287411E-4</v>
      </c>
      <c r="G98" s="4">
        <f ca="1">IF(AND(F98&gt;0,E98&lt;=B$81),MIN((F98*B$11),B$10)-B$85,MAX(F98*B$11,-1*B$10))</f>
        <v>-24.231194101493347</v>
      </c>
      <c r="H98" s="4">
        <f ca="1">G98*B98</f>
        <v>-19.142643340179745</v>
      </c>
      <c r="I98" s="4">
        <f ca="1">H98*D98</f>
        <v>-12.203617595029783</v>
      </c>
      <c r="J98" s="4">
        <f ca="1">H98*C98</f>
        <v>203.37635781598291</v>
      </c>
    </row>
    <row r="99" spans="1:26" x14ac:dyDescent="0.25">
      <c r="A99" s="8">
        <f t="shared" ref="A99:A108" si="26">A65</f>
        <v>2</v>
      </c>
      <c r="B99" s="7">
        <f t="shared" ref="B99:B109" ca="1" si="27">C14</f>
        <v>0.79</v>
      </c>
      <c r="C99">
        <f t="shared" ca="1" si="24"/>
        <v>-7.6805858772449662</v>
      </c>
      <c r="D99">
        <f t="shared" ca="1" si="25"/>
        <v>-4.446821964309474</v>
      </c>
      <c r="E99" s="7">
        <f t="shared" ref="E99:E109" ca="1" si="28">G$58-D99</f>
        <v>18.248189453539716</v>
      </c>
      <c r="F99" s="11">
        <f t="shared" ref="F99:F109" ca="1" si="29">IF(B99=0,0,((B$78-E99)/B$78)*B$96)</f>
        <v>-2.3169820645077416E-3</v>
      </c>
      <c r="G99" s="4">
        <f t="shared" ref="G99:G109" ca="1" si="30">IF(AND(F99&gt;0,E99&lt;=B$81),MIN((F99*B$11),B$10)-B$85,MAX(F99*B$11,-1*B$10))</f>
        <v>-60</v>
      </c>
      <c r="H99" s="4">
        <f t="shared" ref="H99:H109" ca="1" si="31">G99*B99</f>
        <v>-47.400000000000006</v>
      </c>
      <c r="I99" s="4">
        <f t="shared" ref="I99:I109" ca="1" si="32">H99*D99</f>
        <v>210.77936110826909</v>
      </c>
      <c r="J99" s="4">
        <f t="shared" ref="J99:J109" ca="1" si="33">H99*C99</f>
        <v>364.05977058141144</v>
      </c>
    </row>
    <row r="100" spans="1:26" x14ac:dyDescent="0.25">
      <c r="A100" s="8">
        <f t="shared" si="26"/>
        <v>3</v>
      </c>
      <c r="B100" s="7">
        <f t="shared" ca="1" si="27"/>
        <v>0.79</v>
      </c>
      <c r="C100">
        <f t="shared" ca="1" si="24"/>
        <v>-4.7369149994626376</v>
      </c>
      <c r="D100">
        <f t="shared" ca="1" si="25"/>
        <v>-9.5311534605138881</v>
      </c>
      <c r="E100" s="7">
        <f t="shared" ca="1" si="28"/>
        <v>23.332520949744129</v>
      </c>
      <c r="F100" s="11">
        <f t="shared" ca="1" si="29"/>
        <v>-3.7984057117226092E-3</v>
      </c>
      <c r="G100" s="4">
        <f t="shared" ca="1" si="30"/>
        <v>-60</v>
      </c>
      <c r="H100" s="4">
        <f t="shared" ca="1" si="31"/>
        <v>-47.400000000000006</v>
      </c>
      <c r="I100" s="4">
        <f t="shared" ca="1" si="32"/>
        <v>451.77667402835834</v>
      </c>
      <c r="J100" s="4">
        <f t="shared" ca="1" si="33"/>
        <v>224.52977097452904</v>
      </c>
    </row>
    <row r="101" spans="1:26" x14ac:dyDescent="0.25">
      <c r="A101" s="8">
        <f t="shared" si="26"/>
        <v>4</v>
      </c>
      <c r="B101" s="7">
        <f t="shared" ca="1" si="27"/>
        <v>0.79</v>
      </c>
      <c r="C101">
        <f t="shared" ca="1" si="24"/>
        <v>-6.7839638164048113</v>
      </c>
      <c r="D101">
        <f t="shared" ca="1" si="25"/>
        <v>2.8609205140496772</v>
      </c>
      <c r="E101" s="7">
        <f t="shared" ca="1" si="28"/>
        <v>10.940446975180564</v>
      </c>
      <c r="F101" s="11">
        <f t="shared" ca="1" si="29"/>
        <v>-1.8772229392047428E-4</v>
      </c>
      <c r="G101" s="4">
        <f t="shared" ca="1" si="30"/>
        <v>-5.4439465236937545</v>
      </c>
      <c r="H101" s="4">
        <f t="shared" ca="1" si="31"/>
        <v>-4.3007177537180663</v>
      </c>
      <c r="I101" s="4">
        <f t="shared" ca="1" si="32"/>
        <v>-12.304011646749663</v>
      </c>
      <c r="J101" s="4">
        <f t="shared" ca="1" si="33"/>
        <v>29.17591362579314</v>
      </c>
    </row>
    <row r="102" spans="1:26" x14ac:dyDescent="0.25">
      <c r="A102" s="8">
        <f t="shared" si="26"/>
        <v>5</v>
      </c>
      <c r="B102" s="7">
        <f t="shared" ca="1" si="27"/>
        <v>0.79</v>
      </c>
      <c r="C102">
        <f t="shared" ca="1" si="24"/>
        <v>-0.89662206084015494</v>
      </c>
      <c r="D102">
        <f t="shared" ca="1" si="25"/>
        <v>-7.3077424783591507</v>
      </c>
      <c r="E102" s="7">
        <f t="shared" ca="1" si="28"/>
        <v>21.10910996758939</v>
      </c>
      <c r="F102" s="11">
        <f t="shared" ca="1" si="29"/>
        <v>-3.1505695883502082E-3</v>
      </c>
      <c r="G102" s="4">
        <f t="shared" ca="1" si="30"/>
        <v>-60</v>
      </c>
      <c r="H102" s="4">
        <f t="shared" ca="1" si="31"/>
        <v>-47.400000000000006</v>
      </c>
      <c r="I102" s="4">
        <f t="shared" ca="1" si="32"/>
        <v>346.3869934742238</v>
      </c>
      <c r="J102" s="4">
        <f t="shared" ca="1" si="33"/>
        <v>42.499885683823351</v>
      </c>
    </row>
    <row r="103" spans="1:26" x14ac:dyDescent="0.25">
      <c r="A103" s="8">
        <f t="shared" si="26"/>
        <v>6</v>
      </c>
      <c r="B103" s="7">
        <f t="shared" ca="1" si="27"/>
        <v>0.79</v>
      </c>
      <c r="C103">
        <f t="shared" ca="1" si="24"/>
        <v>-2.9436708777823282</v>
      </c>
      <c r="D103">
        <f t="shared" ca="1" si="25"/>
        <v>5.0843314962044142</v>
      </c>
      <c r="E103" s="7">
        <f t="shared" ca="1" si="28"/>
        <v>8.7170359930258279</v>
      </c>
      <c r="F103" s="11">
        <f t="shared" ca="1" si="29"/>
        <v>4.6011382945192512E-4</v>
      </c>
      <c r="G103" s="4">
        <f t="shared" ca="1" si="30"/>
        <v>13.343301054105828</v>
      </c>
      <c r="H103" s="4">
        <f t="shared" ca="1" si="31"/>
        <v>10.541207832743604</v>
      </c>
      <c r="I103" s="4">
        <f t="shared" ca="1" si="32"/>
        <v>53.594994992054978</v>
      </c>
      <c r="J103" s="4">
        <f t="shared" ca="1" si="33"/>
        <v>-31.029846513898317</v>
      </c>
    </row>
    <row r="104" spans="1:26" x14ac:dyDescent="0.25">
      <c r="A104" s="8">
        <f t="shared" si="26"/>
        <v>7</v>
      </c>
      <c r="B104" s="7">
        <f t="shared" ca="1" si="27"/>
        <v>0.79</v>
      </c>
      <c r="C104">
        <f t="shared" ca="1" si="24"/>
        <v>2.9436708777823282</v>
      </c>
      <c r="D104">
        <f t="shared" ca="1" si="25"/>
        <v>-5.0843314962044142</v>
      </c>
      <c r="E104" s="7">
        <f t="shared" ca="1" si="28"/>
        <v>18.885698985434654</v>
      </c>
      <c r="F104" s="11">
        <f t="shared" ca="1" si="29"/>
        <v>-2.5027334649778089E-3</v>
      </c>
      <c r="G104" s="4">
        <f t="shared" ca="1" si="30"/>
        <v>-60</v>
      </c>
      <c r="H104" s="4">
        <f t="shared" ca="1" si="31"/>
        <v>-47.400000000000006</v>
      </c>
      <c r="I104" s="4">
        <f t="shared" ca="1" si="32"/>
        <v>240.99731292008926</v>
      </c>
      <c r="J104" s="4">
        <f t="shared" ca="1" si="33"/>
        <v>-139.52999960688237</v>
      </c>
    </row>
    <row r="105" spans="1:26" x14ac:dyDescent="0.25">
      <c r="A105" s="8">
        <f t="shared" si="26"/>
        <v>8</v>
      </c>
      <c r="B105" s="7">
        <f t="shared" ca="1" si="27"/>
        <v>0.79</v>
      </c>
      <c r="C105">
        <f t="shared" ca="1" si="24"/>
        <v>0.89662206084015494</v>
      </c>
      <c r="D105">
        <f t="shared" ca="1" si="25"/>
        <v>7.3077424783591507</v>
      </c>
      <c r="E105" s="7">
        <f t="shared" ca="1" si="28"/>
        <v>6.4936250108710905</v>
      </c>
      <c r="F105" s="11">
        <f t="shared" ca="1" si="29"/>
        <v>1.1079499528243249E-3</v>
      </c>
      <c r="G105" s="4">
        <f t="shared" ca="1" si="30"/>
        <v>27.88054863190542</v>
      </c>
      <c r="H105" s="4">
        <f t="shared" ca="1" si="31"/>
        <v>22.025633419205281</v>
      </c>
      <c r="I105" s="4">
        <f t="shared" ca="1" si="32"/>
        <v>160.95765695029334</v>
      </c>
      <c r="J105" s="4">
        <f t="shared" ca="1" si="33"/>
        <v>19.748668827637626</v>
      </c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</row>
    <row r="106" spans="1:26" x14ac:dyDescent="0.25">
      <c r="A106" s="8">
        <f t="shared" si="26"/>
        <v>9</v>
      </c>
      <c r="B106" s="7">
        <f t="shared" ca="1" si="27"/>
        <v>0.79</v>
      </c>
      <c r="C106">
        <f t="shared" ca="1" si="24"/>
        <v>6.7839638164048113</v>
      </c>
      <c r="D106">
        <f t="shared" ca="1" si="25"/>
        <v>-2.8609205140496772</v>
      </c>
      <c r="E106" s="7">
        <f t="shared" ca="1" si="28"/>
        <v>16.662288003279919</v>
      </c>
      <c r="F106" s="11">
        <f t="shared" ca="1" si="29"/>
        <v>-1.8548973416054094E-3</v>
      </c>
      <c r="G106" s="4">
        <f t="shared" ca="1" si="30"/>
        <v>-53.792022906556873</v>
      </c>
      <c r="H106" s="4">
        <f t="shared" ca="1" si="31"/>
        <v>-42.495698096179929</v>
      </c>
      <c r="I106" s="4">
        <f t="shared" ca="1" si="32"/>
        <v>121.57681444222297</v>
      </c>
      <c r="J106" s="4">
        <f t="shared" ca="1" si="33"/>
        <v>-288.28927823734745</v>
      </c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7"/>
    </row>
    <row r="107" spans="1:26" x14ac:dyDescent="0.25">
      <c r="A107" s="8">
        <f t="shared" si="26"/>
        <v>10</v>
      </c>
      <c r="B107" s="7">
        <f t="shared" ca="1" si="27"/>
        <v>0.79</v>
      </c>
      <c r="C107">
        <f t="shared" ca="1" si="24"/>
        <v>4.7369149994626376</v>
      </c>
      <c r="D107">
        <f t="shared" ca="1" si="25"/>
        <v>9.5311534605138881</v>
      </c>
      <c r="E107" s="7">
        <f t="shared" ca="1" si="28"/>
        <v>4.270214028716353</v>
      </c>
      <c r="F107" s="11">
        <f t="shared" ca="1" si="29"/>
        <v>1.7557860761967248E-3</v>
      </c>
      <c r="G107" s="4">
        <f t="shared" ca="1" si="30"/>
        <v>46.667796209705017</v>
      </c>
      <c r="H107" s="4">
        <f t="shared" ca="1" si="31"/>
        <v>36.867559005666962</v>
      </c>
      <c r="I107" s="4">
        <f t="shared" ca="1" si="32"/>
        <v>351.39036259756261</v>
      </c>
      <c r="J107" s="4">
        <f t="shared" ca="1" si="33"/>
        <v>174.63849324751769</v>
      </c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  <c r="Y107" s="47"/>
      <c r="Z107" s="47"/>
    </row>
    <row r="108" spans="1:26" x14ac:dyDescent="0.25">
      <c r="A108" s="8">
        <f t="shared" si="26"/>
        <v>11</v>
      </c>
      <c r="B108" s="7">
        <f t="shared" ca="1" si="27"/>
        <v>0.79</v>
      </c>
      <c r="C108">
        <f t="shared" ca="1" si="24"/>
        <v>7.6805858772449662</v>
      </c>
      <c r="D108">
        <f t="shared" ca="1" si="25"/>
        <v>4.446821964309474</v>
      </c>
      <c r="E108" s="7">
        <f t="shared" ca="1" si="28"/>
        <v>9.3545455249207663</v>
      </c>
      <c r="F108" s="11">
        <f t="shared" ca="1" si="29"/>
        <v>2.7436242898185779E-4</v>
      </c>
      <c r="G108" s="4">
        <f t="shared" ca="1" si="30"/>
        <v>7.9565104404738758</v>
      </c>
      <c r="H108" s="4">
        <f t="shared" ca="1" si="31"/>
        <v>6.2856432479743622</v>
      </c>
      <c r="I108" s="4">
        <f t="shared" ca="1" si="32"/>
        <v>27.951136454905935</v>
      </c>
      <c r="J108" s="4">
        <f t="shared" ca="1" si="33"/>
        <v>48.277422759792067</v>
      </c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7"/>
      <c r="Z108" s="47"/>
    </row>
    <row r="109" spans="1:26" ht="15.75" thickBot="1" x14ac:dyDescent="0.3">
      <c r="A109" s="8">
        <f>A75</f>
        <v>12</v>
      </c>
      <c r="B109" s="7">
        <f t="shared" ca="1" si="27"/>
        <v>0.79</v>
      </c>
      <c r="C109">
        <f t="shared" ca="1" si="24"/>
        <v>10.624256755027295</v>
      </c>
      <c r="D109">
        <f t="shared" ca="1" si="25"/>
        <v>-0.6375095318949402</v>
      </c>
      <c r="E109" s="7">
        <f t="shared" ca="1" si="28"/>
        <v>14.438877021125181</v>
      </c>
      <c r="F109" s="23">
        <f t="shared" ca="1" si="29"/>
        <v>-1.2070612182330097E-3</v>
      </c>
      <c r="G109" s="4">
        <f t="shared" ca="1" si="30"/>
        <v>-35.004775328757283</v>
      </c>
      <c r="H109" s="22">
        <f t="shared" ca="1" si="31"/>
        <v>-27.653772509718255</v>
      </c>
      <c r="I109" s="22">
        <f t="shared" ca="1" si="32"/>
        <v>17.629543567799651</v>
      </c>
      <c r="J109" s="22">
        <f t="shared" ca="1" si="33"/>
        <v>-293.80077938836229</v>
      </c>
    </row>
    <row r="110" spans="1:26" ht="15.75" thickTop="1" x14ac:dyDescent="0.25">
      <c r="F110" s="11">
        <f ca="1">MIN(F98:F109)</f>
        <v>-3.7984057117226092E-3</v>
      </c>
      <c r="H110" s="4">
        <f ca="1">SUM(H98:H109)</f>
        <v>-207.47278819420583</v>
      </c>
      <c r="I110" s="4">
        <f ca="1">SUM(I98:I109)</f>
        <v>1958.5332212940004</v>
      </c>
      <c r="J110" s="4">
        <f ca="1">SUM(J98:J109)*-1</f>
        <v>-353.65637976999682</v>
      </c>
    </row>
    <row r="112" spans="1:26" x14ac:dyDescent="0.25">
      <c r="M112" t="s">
        <v>95</v>
      </c>
    </row>
    <row r="113" spans="1:24" x14ac:dyDescent="0.25">
      <c r="A113" s="2" t="s">
        <v>67</v>
      </c>
      <c r="B113" s="31">
        <f ca="1">J92+H110</f>
        <v>125.02075912273412</v>
      </c>
      <c r="C113" t="s">
        <v>20</v>
      </c>
      <c r="D113" t="s">
        <v>68</v>
      </c>
      <c r="I113" s="2" t="s">
        <v>73</v>
      </c>
      <c r="J113" s="1">
        <f ca="1">IF(ABS(F110)&lt;0.002,0.65,IF(ABS(F110)&gt;0.005,0.9,0.65+((ABS(F110)-0.002)*(250/3))))</f>
        <v>0.79986714264355074</v>
      </c>
      <c r="M113">
        <f ca="1">SQRT((J114*J114)+(J115*J115)+(J116*J116))</f>
        <v>340.7213107167089</v>
      </c>
      <c r="N113" s="48">
        <f ca="1">J114/M113</f>
        <v>0.67596620631369164</v>
      </c>
      <c r="O113" s="48">
        <f ca="1">J115/M113</f>
        <v>0.67596625603833993</v>
      </c>
      <c r="P113" s="48">
        <f ca="1">J116/M113</f>
        <v>0.29349498908735266</v>
      </c>
      <c r="Q113">
        <f ca="1">SQRT((N113*N113)+(O113*O113)+(P113*P113))</f>
        <v>1</v>
      </c>
    </row>
    <row r="114" spans="1:24" x14ac:dyDescent="0.25">
      <c r="A114" s="2" t="s">
        <v>69</v>
      </c>
      <c r="B114" s="4">
        <f ca="1">(((K92+I110)*COS(RADIANS(B53)))+((L92+J110)*SIN(RADIANS(B53))))</f>
        <v>3455.3152072862076</v>
      </c>
      <c r="C114" t="s">
        <v>23</v>
      </c>
      <c r="D114" s="4">
        <f ca="1">(B113*(E49-H7))</f>
        <v>0</v>
      </c>
      <c r="E114" t="s">
        <v>23</v>
      </c>
      <c r="F114" s="4">
        <f ca="1">B114+D114</f>
        <v>3455.3152072862076</v>
      </c>
      <c r="G114" s="10" t="str">
        <f>"= Mnx,gc"</f>
        <v>= Mnx,gc</v>
      </c>
      <c r="H114" s="4">
        <f ca="1">F114/12</f>
        <v>287.94293394051732</v>
      </c>
      <c r="I114" t="s">
        <v>72</v>
      </c>
      <c r="J114" s="29">
        <f ca="1">H114*J113</f>
        <v>230.31609181540227</v>
      </c>
      <c r="K114" t="s">
        <v>72</v>
      </c>
      <c r="P114" t="s">
        <v>87</v>
      </c>
      <c r="V114">
        <v>-2.8227593660119395E-10</v>
      </c>
      <c r="W114" s="6"/>
    </row>
    <row r="115" spans="1:24" ht="15.75" thickBot="1" x14ac:dyDescent="0.3">
      <c r="A115" s="2" t="s">
        <v>70</v>
      </c>
      <c r="B115" s="4">
        <f ca="1">(-1*(K92+I110)*SIN(RADIANS(B53)))+((L92+J110)*COS(RADIANS(B53)))</f>
        <v>3455.3154614621294</v>
      </c>
      <c r="C115" t="s">
        <v>23</v>
      </c>
      <c r="D115" s="1">
        <f ca="1">-1*B113*(D49-G7)</f>
        <v>0</v>
      </c>
      <c r="E115" t="s">
        <v>23</v>
      </c>
      <c r="F115" s="4">
        <f ca="1">B115+D115</f>
        <v>3455.3154614621294</v>
      </c>
      <c r="G115" s="10" t="str">
        <f>"= Mny,gc"</f>
        <v>= Mny,gc</v>
      </c>
      <c r="H115" s="4">
        <f ca="1">F115/12</f>
        <v>287.94295512184414</v>
      </c>
      <c r="I115" t="s">
        <v>72</v>
      </c>
      <c r="J115" s="29">
        <f ca="1">H115*J113</f>
        <v>230.31610875764963</v>
      </c>
      <c r="K115" t="s">
        <v>72</v>
      </c>
      <c r="M115" t="s">
        <v>79</v>
      </c>
      <c r="N115" s="9">
        <f ca="1">IF(DEGREES(ATAN2(J114,J115))&lt;0,DEGREES(ATAN2(J114,J115))+360,DEGREES(ATAN2(J114,J115)))</f>
        <v>45.000002107363031</v>
      </c>
      <c r="P115">
        <f ca="1">(-1*0.003*MAX(E98:E109))/(0.002-0.003)</f>
        <v>69.997562849232395</v>
      </c>
      <c r="V115">
        <v>-2.1170697386668706E-10</v>
      </c>
      <c r="W115" s="6"/>
      <c r="X115" s="6"/>
    </row>
    <row r="116" spans="1:24" ht="15.75" thickBot="1" x14ac:dyDescent="0.3">
      <c r="J116" s="30">
        <f ca="1">B113*J113</f>
        <v>99.999997370628975</v>
      </c>
      <c r="K116" t="s">
        <v>20</v>
      </c>
      <c r="T116" s="2" t="s">
        <v>123</v>
      </c>
      <c r="U116" s="53">
        <v>1.0000000000000001E-5</v>
      </c>
    </row>
    <row r="117" spans="1:24" ht="15.75" thickBot="1" x14ac:dyDescent="0.3">
      <c r="A117" s="21" t="s">
        <v>74</v>
      </c>
      <c r="B117" t="s">
        <v>93</v>
      </c>
      <c r="I117" t="s">
        <v>83</v>
      </c>
      <c r="J117" s="1">
        <f ca="1">0.65*((0.85*B2*B5*B6)+((B10-0.85*B2)*SUM(C13:C24)))*0.8</f>
        <v>1229.5452000000002</v>
      </c>
      <c r="K117" t="s">
        <v>20</v>
      </c>
      <c r="M117">
        <f ca="1">SQRT((J114*J114)+(J115*J115))</f>
        <v>325.71615265808708</v>
      </c>
      <c r="N117" t="s">
        <v>94</v>
      </c>
      <c r="O117">
        <f ca="1">J114/M117</f>
        <v>0.70710675517886035</v>
      </c>
      <c r="P117">
        <f ca="1">J115/M117</f>
        <v>0.70710680719423391</v>
      </c>
      <c r="T117" s="2" t="s">
        <v>97</v>
      </c>
      <c r="U117" s="53">
        <f ca="1">B118-J116</f>
        <v>2.6293710249092328E-6</v>
      </c>
    </row>
    <row r="118" spans="1:24" ht="15.75" thickBot="1" x14ac:dyDescent="0.3">
      <c r="A118" s="2" t="s">
        <v>75</v>
      </c>
      <c r="B118" s="34">
        <v>100</v>
      </c>
      <c r="C118" t="s">
        <v>20</v>
      </c>
      <c r="I118" t="s">
        <v>84</v>
      </c>
      <c r="J118" s="1">
        <f ca="1">-1*0.9*B10*SUM(C13:C24)</f>
        <v>-511.92</v>
      </c>
      <c r="K118" t="s">
        <v>20</v>
      </c>
      <c r="O118">
        <f ca="1">ABS(O117)/O117</f>
        <v>1</v>
      </c>
      <c r="P118">
        <f ca="1">ABS(P117)/P117</f>
        <v>1</v>
      </c>
      <c r="Q118">
        <f ca="1">P118*O118</f>
        <v>1</v>
      </c>
      <c r="T118" s="2" t="s">
        <v>99</v>
      </c>
      <c r="U118" s="56">
        <f ca="1">B121-N115</f>
        <v>-2.107363030745546E-6</v>
      </c>
    </row>
    <row r="119" spans="1:24" x14ac:dyDescent="0.25">
      <c r="A119" s="2" t="s">
        <v>76</v>
      </c>
      <c r="B119" s="34">
        <v>200</v>
      </c>
      <c r="C119" t="s">
        <v>72</v>
      </c>
      <c r="G119" s="2" t="s">
        <v>80</v>
      </c>
      <c r="H119" s="33">
        <v>30</v>
      </c>
      <c r="L119">
        <f ca="1">B118-J116</f>
        <v>2.6293710249092328E-6</v>
      </c>
      <c r="M119" s="44">
        <f ca="1">N115-B121</f>
        <v>2.107363030745546E-6</v>
      </c>
      <c r="O119">
        <f>B119/E120</f>
        <v>0.70710678118654746</v>
      </c>
      <c r="P119">
        <f>B120/E120</f>
        <v>0.70710678118654746</v>
      </c>
    </row>
    <row r="120" spans="1:24" x14ac:dyDescent="0.25">
      <c r="A120" s="2" t="s">
        <v>77</v>
      </c>
      <c r="B120" s="34">
        <v>200</v>
      </c>
      <c r="C120" t="s">
        <v>72</v>
      </c>
      <c r="D120">
        <f>B118</f>
        <v>100</v>
      </c>
      <c r="E120">
        <f>SQRT((B119*B119)+(B120*B120))</f>
        <v>282.84271247461902</v>
      </c>
      <c r="G120" s="2" t="s">
        <v>81</v>
      </c>
      <c r="H120" s="52">
        <v>25</v>
      </c>
      <c r="I120" s="52">
        <v>21</v>
      </c>
      <c r="O120">
        <f>ABS(O119)/O119</f>
        <v>1</v>
      </c>
      <c r="P120">
        <f>ABS(P119)/P119</f>
        <v>1</v>
      </c>
      <c r="Q120">
        <f>P120*O120</f>
        <v>1</v>
      </c>
    </row>
    <row r="121" spans="1:24" x14ac:dyDescent="0.25">
      <c r="A121" s="2" t="s">
        <v>78</v>
      </c>
      <c r="B121" s="12">
        <f>IF(DEGREES(ATAN2(B119,B120))&lt;0,DEGREES(ATAN2(B119,B120))+360,DEGREES(ATAN2(B119,B120)))</f>
        <v>45</v>
      </c>
      <c r="G121" s="2" t="s">
        <v>122</v>
      </c>
      <c r="H121" s="1">
        <v>1</v>
      </c>
      <c r="O121">
        <f ca="1">O117-O119</f>
        <v>-2.6007687115026101E-8</v>
      </c>
      <c r="P121">
        <f ca="1">P117-P119</f>
        <v>2.6007686448892287E-8</v>
      </c>
    </row>
    <row r="122" spans="1:24" x14ac:dyDescent="0.25">
      <c r="G122" s="2" t="s">
        <v>121</v>
      </c>
      <c r="H122" s="1">
        <v>2407</v>
      </c>
    </row>
    <row r="123" spans="1:24" x14ac:dyDescent="0.25">
      <c r="A123" s="14"/>
      <c r="B123" s="15"/>
      <c r="C123" s="15"/>
      <c r="D123" s="15"/>
      <c r="E123" s="15"/>
      <c r="F123" s="15"/>
      <c r="G123" s="15"/>
      <c r="H123" s="15"/>
      <c r="I123" s="15"/>
    </row>
    <row r="124" spans="1:24" x14ac:dyDescent="0.25">
      <c r="A124" s="16"/>
      <c r="B124" s="15"/>
      <c r="C124" s="15"/>
      <c r="D124" s="15"/>
      <c r="E124" s="15"/>
      <c r="F124" s="15"/>
      <c r="G124" s="15"/>
      <c r="H124" s="17">
        <v>0</v>
      </c>
      <c r="I124" s="32">
        <v>0</v>
      </c>
      <c r="J124" s="15"/>
      <c r="K124" s="15"/>
      <c r="L124" s="13"/>
      <c r="M124" s="15"/>
      <c r="N124" s="15"/>
    </row>
    <row r="125" spans="1:24" x14ac:dyDescent="0.25">
      <c r="A125" s="16"/>
      <c r="B125" s="20"/>
      <c r="C125" s="15"/>
      <c r="D125" s="16"/>
      <c r="E125" s="17"/>
      <c r="F125" s="17"/>
      <c r="G125" s="16"/>
      <c r="H125" s="20">
        <f ca="1">J114</f>
        <v>230.31609181540227</v>
      </c>
      <c r="I125" s="3">
        <f ca="1">J115</f>
        <v>230.31610875764963</v>
      </c>
      <c r="J125" s="16"/>
      <c r="K125" s="17"/>
      <c r="L125" s="13"/>
      <c r="M125" s="16"/>
      <c r="N125" s="17"/>
    </row>
    <row r="126" spans="1:24" x14ac:dyDescent="0.25">
      <c r="A126" s="16"/>
      <c r="B126" s="18"/>
      <c r="C126" s="17"/>
      <c r="D126" s="16"/>
      <c r="E126" s="20"/>
      <c r="F126" s="15"/>
      <c r="G126" s="16"/>
      <c r="H126" s="17"/>
      <c r="I126" s="13"/>
      <c r="J126" s="16"/>
      <c r="K126" s="17"/>
      <c r="L126" s="13"/>
      <c r="M126" s="16"/>
      <c r="N126" s="17"/>
    </row>
    <row r="127" spans="1:24" ht="15.75" thickBot="1" x14ac:dyDescent="0.3">
      <c r="A127" s="16"/>
      <c r="B127" s="17"/>
      <c r="C127" s="18"/>
      <c r="D127" s="16"/>
      <c r="E127" s="17"/>
      <c r="F127" s="15"/>
      <c r="G127" s="16"/>
      <c r="H127" s="17"/>
      <c r="I127" s="13"/>
      <c r="J127" s="16"/>
      <c r="K127" s="17"/>
      <c r="L127" s="13"/>
      <c r="M127" s="16"/>
      <c r="N127" s="17"/>
      <c r="Q127" s="2" t="s">
        <v>86</v>
      </c>
      <c r="R127" s="57">
        <v>25</v>
      </c>
    </row>
    <row r="128" spans="1:24" ht="17.25" x14ac:dyDescent="0.25">
      <c r="A128" s="16" t="s">
        <v>85</v>
      </c>
      <c r="B128" s="17" t="s">
        <v>76</v>
      </c>
      <c r="C128" s="18" t="s">
        <v>77</v>
      </c>
      <c r="D128" s="16" t="s">
        <v>96</v>
      </c>
      <c r="E128" s="17"/>
      <c r="F128" s="15"/>
      <c r="G128" s="16"/>
      <c r="H128" s="17"/>
      <c r="I128" s="13"/>
      <c r="J128" s="16"/>
      <c r="K128" s="17"/>
      <c r="L128" s="13"/>
      <c r="M128" s="16"/>
      <c r="N128" s="17"/>
      <c r="Q128" t="s">
        <v>75</v>
      </c>
      <c r="R128" t="s">
        <v>49</v>
      </c>
      <c r="V128" s="40" t="s">
        <v>98</v>
      </c>
      <c r="W128" s="41"/>
    </row>
    <row r="129" spans="1:23" x14ac:dyDescent="0.25">
      <c r="A129" s="37">
        <v>0</v>
      </c>
      <c r="B129" s="49">
        <v>449.17699700282668</v>
      </c>
      <c r="C129" s="49">
        <v>0</v>
      </c>
      <c r="D129" s="50">
        <f>IF(DEGREES(ATAN2(B129,C129))&lt;0,DEGREES(ATAN2(B129,C129))+360,DEGREES(ATAN2(B129,C129)))</f>
        <v>0</v>
      </c>
      <c r="E129" s="17"/>
      <c r="F129" s="15"/>
      <c r="G129" s="16"/>
      <c r="H129" s="17"/>
      <c r="I129" s="13"/>
      <c r="J129" s="16"/>
      <c r="K129" s="17"/>
      <c r="L129" s="13"/>
      <c r="M129" s="16"/>
      <c r="N129" s="17"/>
      <c r="P129" s="39"/>
      <c r="Q129" s="39">
        <f ca="1">J118</f>
        <v>-511.92</v>
      </c>
      <c r="R129" s="39" t="e">
        <v>#N/A</v>
      </c>
      <c r="S129" s="39">
        <v>359.99999999681944</v>
      </c>
      <c r="V129" s="54" t="s">
        <v>75</v>
      </c>
      <c r="W129" s="55" t="s">
        <v>49</v>
      </c>
    </row>
    <row r="130" spans="1:23" x14ac:dyDescent="0.25">
      <c r="A130" s="38">
        <v>-1</v>
      </c>
      <c r="B130" s="49">
        <v>448.54912822812827</v>
      </c>
      <c r="C130" s="49">
        <v>4.6414562489679172</v>
      </c>
      <c r="D130" s="50">
        <f t="shared" ref="D130:D193" si="34">IF(DEGREES(ATAN2(B130,C130))&lt;0,DEGREES(ATAN2(B130,C130))+360,DEGREES(ATAN2(B130,C130)))</f>
        <v>0.59285894461102939</v>
      </c>
      <c r="E130" s="17"/>
      <c r="F130" s="15"/>
      <c r="G130" s="16"/>
      <c r="H130" s="17"/>
      <c r="I130" s="13"/>
      <c r="J130" s="16"/>
      <c r="K130" s="17"/>
      <c r="L130" s="13"/>
      <c r="M130" s="16"/>
      <c r="N130" s="17"/>
      <c r="P130" s="39">
        <v>1</v>
      </c>
      <c r="Q130">
        <v>-511.91900000000004</v>
      </c>
      <c r="R130">
        <v>1.0515187186171155E-3</v>
      </c>
      <c r="S130" s="39">
        <v>45.000007381404046</v>
      </c>
      <c r="V130" s="46">
        <f>D120</f>
        <v>100</v>
      </c>
      <c r="W130" s="45">
        <f>E120</f>
        <v>282.84271247461902</v>
      </c>
    </row>
    <row r="131" spans="1:23" ht="15.75" thickBot="1" x14ac:dyDescent="0.3">
      <c r="A131" s="38">
        <v>-2</v>
      </c>
      <c r="B131" s="49">
        <v>447.90988586880485</v>
      </c>
      <c r="C131" s="49">
        <v>9.1698488256299573</v>
      </c>
      <c r="D131" s="50">
        <f t="shared" si="34"/>
        <v>1.1728257618890612</v>
      </c>
      <c r="E131" s="15"/>
      <c r="F131" s="15"/>
      <c r="G131" s="15"/>
      <c r="H131" s="15"/>
      <c r="I131" s="15"/>
      <c r="P131" s="39">
        <v>2</v>
      </c>
      <c r="Q131">
        <v>-442.26043200000004</v>
      </c>
      <c r="R131">
        <v>63.536801819313396</v>
      </c>
      <c r="S131" s="39">
        <v>44.999999859879551</v>
      </c>
      <c r="V131" s="42">
        <f>B118</f>
        <v>100</v>
      </c>
      <c r="W131" s="43">
        <f ca="1">SQRT((J114*J114)+(J115*J115))</f>
        <v>325.71615265808708</v>
      </c>
    </row>
    <row r="132" spans="1:23" x14ac:dyDescent="0.25">
      <c r="A132" s="37">
        <v>-3</v>
      </c>
      <c r="B132" s="49">
        <v>447.25567249647747</v>
      </c>
      <c r="C132" s="49">
        <v>13.597773778352533</v>
      </c>
      <c r="D132" s="50">
        <f t="shared" si="34"/>
        <v>1.7414091848762481</v>
      </c>
      <c r="E132" s="15"/>
      <c r="F132" s="15"/>
      <c r="G132" s="15"/>
      <c r="H132" s="15"/>
      <c r="I132" s="15"/>
      <c r="P132" s="39">
        <v>3</v>
      </c>
      <c r="Q132">
        <v>-372.60186400000003</v>
      </c>
      <c r="R132">
        <v>115.43519130168032</v>
      </c>
      <c r="S132" s="39">
        <v>44.999999997491216</v>
      </c>
    </row>
    <row r="133" spans="1:23" x14ac:dyDescent="0.25">
      <c r="A133" s="37">
        <v>-4</v>
      </c>
      <c r="B133" s="49">
        <v>446.58319968677836</v>
      </c>
      <c r="C133" s="49">
        <v>17.936497800120268</v>
      </c>
      <c r="D133" s="50">
        <f t="shared" si="34"/>
        <v>2.2999825336581607</v>
      </c>
      <c r="E133" s="15"/>
      <c r="F133" s="15"/>
      <c r="G133" s="15"/>
      <c r="H133" s="15"/>
      <c r="I133" s="15"/>
      <c r="P133" s="39">
        <v>4</v>
      </c>
      <c r="Q133">
        <v>-302.94329600000003</v>
      </c>
      <c r="R133">
        <v>164.99177348799532</v>
      </c>
      <c r="S133" s="39">
        <v>44.999999922230614</v>
      </c>
    </row>
    <row r="134" spans="1:23" x14ac:dyDescent="0.25">
      <c r="A134" s="38">
        <v>-5</v>
      </c>
      <c r="B134" s="49">
        <v>445.88938503385037</v>
      </c>
      <c r="C134" s="49">
        <v>22.196162073417934</v>
      </c>
      <c r="D134" s="50">
        <f t="shared" si="34"/>
        <v>2.8498043391154506</v>
      </c>
      <c r="E134" s="15"/>
      <c r="F134" s="15"/>
      <c r="G134" s="15"/>
      <c r="H134" s="15"/>
      <c r="I134" s="15"/>
      <c r="P134" s="39">
        <v>5</v>
      </c>
      <c r="Q134">
        <v>-233.28472800000003</v>
      </c>
      <c r="R134">
        <v>207.28468610994662</v>
      </c>
      <c r="S134" s="39">
        <v>44.999999999622538</v>
      </c>
    </row>
    <row r="135" spans="1:23" x14ac:dyDescent="0.25">
      <c r="A135" s="38">
        <v>-6</v>
      </c>
      <c r="B135" s="49">
        <v>444.44002809897319</v>
      </c>
      <c r="C135" s="49">
        <v>27.042413366685395</v>
      </c>
      <c r="D135" s="50">
        <f t="shared" si="34"/>
        <v>3.4819282438698331</v>
      </c>
      <c r="E135" s="15"/>
      <c r="F135" s="15"/>
      <c r="G135" s="15"/>
      <c r="H135" s="15"/>
      <c r="I135" s="15"/>
      <c r="P135" s="39">
        <v>6</v>
      </c>
      <c r="Q135">
        <v>-163.62616000000003</v>
      </c>
      <c r="R135">
        <v>246.11470279684474</v>
      </c>
      <c r="S135" s="39">
        <v>44.999997977697042</v>
      </c>
    </row>
    <row r="136" spans="1:23" x14ac:dyDescent="0.25">
      <c r="A136" s="37">
        <v>-7</v>
      </c>
      <c r="B136" s="49">
        <v>442.58397948835272</v>
      </c>
      <c r="C136" s="49">
        <v>32.169931776066583</v>
      </c>
      <c r="D136" s="50">
        <f t="shared" si="34"/>
        <v>4.1573250857430724</v>
      </c>
      <c r="E136" s="15"/>
      <c r="F136" s="15"/>
      <c r="G136" s="15"/>
      <c r="H136" s="15"/>
      <c r="I136" s="15"/>
      <c r="P136" s="39">
        <v>7</v>
      </c>
      <c r="Q136">
        <v>-93.96759200000001</v>
      </c>
      <c r="R136">
        <v>282.03852685762905</v>
      </c>
      <c r="S136" s="39">
        <v>44.999999993153487</v>
      </c>
    </row>
    <row r="137" spans="1:23" x14ac:dyDescent="0.25">
      <c r="A137" s="37">
        <v>-8</v>
      </c>
      <c r="B137" s="49">
        <v>440.7354845508338</v>
      </c>
      <c r="C137" s="49">
        <v>37.211977676290772</v>
      </c>
      <c r="D137" s="50">
        <f t="shared" si="34"/>
        <v>4.8261249011116956</v>
      </c>
      <c r="E137" s="15"/>
      <c r="F137" s="15"/>
      <c r="G137" s="15"/>
      <c r="H137" s="15"/>
      <c r="I137" s="15"/>
      <c r="P137" s="39">
        <v>8</v>
      </c>
      <c r="Q137">
        <v>-24.309023999999994</v>
      </c>
      <c r="R137">
        <v>308.39850370409744</v>
      </c>
      <c r="S137" s="39">
        <v>44.999999996625419</v>
      </c>
    </row>
    <row r="138" spans="1:23" x14ac:dyDescent="0.25">
      <c r="A138" s="38">
        <v>-9</v>
      </c>
      <c r="B138" s="49">
        <v>438.88969024791282</v>
      </c>
      <c r="C138" s="49">
        <v>42.177073985818417</v>
      </c>
      <c r="D138" s="50">
        <f t="shared" si="34"/>
        <v>5.489238510532167</v>
      </c>
      <c r="E138" s="15"/>
      <c r="F138" s="15"/>
      <c r="G138" s="15"/>
      <c r="H138" s="15"/>
      <c r="I138" s="15"/>
      <c r="P138" s="39">
        <v>9</v>
      </c>
      <c r="Q138">
        <v>45.349544000000023</v>
      </c>
      <c r="R138">
        <v>319.08192223166662</v>
      </c>
      <c r="S138" s="39">
        <v>44.999999996505643</v>
      </c>
    </row>
    <row r="139" spans="1:23" x14ac:dyDescent="0.25">
      <c r="A139" s="38">
        <v>-10</v>
      </c>
      <c r="B139" s="49">
        <v>437.04192136695167</v>
      </c>
      <c r="C139" s="49">
        <v>47.073188906328724</v>
      </c>
      <c r="D139" s="50">
        <f t="shared" si="34"/>
        <v>6.1475504341319045</v>
      </c>
      <c r="E139" s="15"/>
      <c r="F139" s="15"/>
      <c r="G139" s="15"/>
      <c r="H139" s="15"/>
      <c r="I139" s="15"/>
      <c r="P139" s="39">
        <v>10</v>
      </c>
      <c r="Q139">
        <v>115.00811200000004</v>
      </c>
      <c r="R139">
        <v>327.34960726338522</v>
      </c>
      <c r="S139" s="39">
        <v>44.999997738496049</v>
      </c>
    </row>
    <row r="140" spans="1:23" x14ac:dyDescent="0.25">
      <c r="A140" s="37">
        <v>-11</v>
      </c>
      <c r="B140" s="49">
        <v>435.18767895317507</v>
      </c>
      <c r="C140" s="49">
        <v>51.907806659842443</v>
      </c>
      <c r="D140" s="50">
        <f t="shared" si="34"/>
        <v>6.801923505933936</v>
      </c>
      <c r="E140" s="15"/>
      <c r="F140" s="15"/>
      <c r="G140" s="15"/>
      <c r="H140" s="15"/>
      <c r="I140" s="15"/>
      <c r="P140" s="39">
        <v>11</v>
      </c>
      <c r="Q140">
        <v>184.66668000000004</v>
      </c>
      <c r="R140">
        <v>330.94708899662902</v>
      </c>
      <c r="S140" s="39">
        <v>44.999999094031807</v>
      </c>
    </row>
    <row r="141" spans="1:23" x14ac:dyDescent="0.25">
      <c r="A141" s="37">
        <v>-12</v>
      </c>
      <c r="B141" s="49">
        <v>433.32257974289399</v>
      </c>
      <c r="C141" s="49">
        <v>56.687984978803748</v>
      </c>
      <c r="D141" s="50">
        <f t="shared" si="34"/>
        <v>7.4532032679205287</v>
      </c>
      <c r="E141" s="15"/>
      <c r="F141" s="15"/>
      <c r="G141" s="15"/>
      <c r="H141" s="15"/>
      <c r="I141" s="15"/>
      <c r="P141" s="39">
        <v>12</v>
      </c>
      <c r="Q141">
        <v>254.32524800000004</v>
      </c>
      <c r="R141">
        <v>330.18632928866185</v>
      </c>
      <c r="S141" s="39">
        <v>44.999998492009951</v>
      </c>
    </row>
    <row r="142" spans="1:23" x14ac:dyDescent="0.25">
      <c r="A142" s="38">
        <v>-13</v>
      </c>
      <c r="B142" s="49">
        <v>431.44233743041929</v>
      </c>
      <c r="C142" s="49">
        <v>61.420409499321323</v>
      </c>
      <c r="D142" s="50">
        <f t="shared" si="34"/>
        <v>8.1022221394185046</v>
      </c>
      <c r="E142" s="15"/>
      <c r="F142" s="15"/>
      <c r="G142" s="15"/>
      <c r="H142" s="15"/>
      <c r="I142" s="15"/>
      <c r="P142" s="39">
        <v>13</v>
      </c>
      <c r="Q142">
        <v>323.98381600000005</v>
      </c>
      <c r="R142">
        <v>327.62024500252693</v>
      </c>
      <c r="S142" s="39">
        <v>44.999998348772564</v>
      </c>
    </row>
    <row r="143" spans="1:23" x14ac:dyDescent="0.25">
      <c r="A143" s="38">
        <v>-14</v>
      </c>
      <c r="B143" s="49">
        <v>429.54271454415539</v>
      </c>
      <c r="C143" s="49">
        <v>66.111440416299928</v>
      </c>
      <c r="D143" s="50">
        <f t="shared" si="34"/>
        <v>8.7498036784218804</v>
      </c>
      <c r="E143" s="15"/>
      <c r="F143" s="15"/>
      <c r="G143" s="15"/>
      <c r="H143" s="15"/>
      <c r="I143" s="15"/>
      <c r="P143" s="39">
        <v>14</v>
      </c>
      <c r="Q143">
        <v>393.64238400000005</v>
      </c>
      <c r="R143">
        <v>321.27971903414431</v>
      </c>
      <c r="S143" s="39">
        <v>44.999999999979508</v>
      </c>
    </row>
    <row r="144" spans="1:23" x14ac:dyDescent="0.25">
      <c r="A144" s="37">
        <v>-15</v>
      </c>
      <c r="B144" s="49">
        <v>427.6195025331059</v>
      </c>
      <c r="C144" s="49">
        <v>70.767156384887528</v>
      </c>
      <c r="D144" s="50">
        <f t="shared" si="34"/>
        <v>9.3967665998807544</v>
      </c>
      <c r="E144" s="15"/>
      <c r="F144" s="15"/>
      <c r="G144" s="15"/>
      <c r="H144" s="16"/>
      <c r="I144" s="19"/>
      <c r="P144" s="39">
        <v>15</v>
      </c>
      <c r="Q144">
        <v>463.30095200000005</v>
      </c>
      <c r="R144">
        <v>323.34588110783233</v>
      </c>
      <c r="S144" s="39">
        <v>44.999999985680518</v>
      </c>
    </row>
    <row r="145" spans="1:19" x14ac:dyDescent="0.25">
      <c r="A145" s="37">
        <v>-16</v>
      </c>
      <c r="B145" s="49">
        <v>426.32950579236245</v>
      </c>
      <c r="C145" s="49">
        <v>73.841660376797208</v>
      </c>
      <c r="D145" s="50">
        <f t="shared" si="34"/>
        <v>9.826328550796763</v>
      </c>
      <c r="E145" s="15"/>
      <c r="F145" s="15"/>
      <c r="G145" s="15"/>
      <c r="H145" s="16"/>
      <c r="I145" s="19"/>
      <c r="P145" s="39">
        <v>16</v>
      </c>
      <c r="Q145">
        <v>532.95952000000011</v>
      </c>
      <c r="R145">
        <v>324.33767470399266</v>
      </c>
      <c r="S145" s="39">
        <v>44.999999610387079</v>
      </c>
    </row>
    <row r="146" spans="1:19" x14ac:dyDescent="0.25">
      <c r="A146" s="38">
        <v>-17</v>
      </c>
      <c r="B146" s="49">
        <v>424.33749850360493</v>
      </c>
      <c r="C146" s="49">
        <v>78.45075600486598</v>
      </c>
      <c r="D146" s="50">
        <f t="shared" si="34"/>
        <v>10.474470714073105</v>
      </c>
      <c r="E146" s="15"/>
      <c r="F146" s="15"/>
      <c r="G146" s="15"/>
      <c r="H146" s="15"/>
      <c r="I146" s="15"/>
      <c r="P146" s="39">
        <v>17</v>
      </c>
      <c r="Q146">
        <v>602.61808800000017</v>
      </c>
      <c r="R146">
        <v>323.66139747578467</v>
      </c>
      <c r="S146" s="39">
        <v>44.999999997554795</v>
      </c>
    </row>
    <row r="147" spans="1:19" x14ac:dyDescent="0.25">
      <c r="A147" s="38">
        <v>-18</v>
      </c>
      <c r="B147" s="51">
        <v>422.30931966064708</v>
      </c>
      <c r="C147" s="51">
        <v>83.041141463742235</v>
      </c>
      <c r="D147" s="50">
        <f t="shared" si="34"/>
        <v>11.124473684805107</v>
      </c>
      <c r="P147" s="39">
        <v>18</v>
      </c>
      <c r="Q147">
        <v>672.27665600000023</v>
      </c>
      <c r="R147">
        <v>320.83949267582136</v>
      </c>
      <c r="S147" s="39">
        <v>45.00000000000005</v>
      </c>
    </row>
    <row r="148" spans="1:19" x14ac:dyDescent="0.25">
      <c r="A148" s="37">
        <v>-19</v>
      </c>
      <c r="B148" s="51">
        <v>418.88507354191597</v>
      </c>
      <c r="C148" s="51">
        <v>87.301253173019035</v>
      </c>
      <c r="D148" s="50">
        <f t="shared" si="34"/>
        <v>11.772684309039166</v>
      </c>
      <c r="P148" s="39">
        <v>19</v>
      </c>
      <c r="Q148">
        <v>741.93522400000029</v>
      </c>
      <c r="R148">
        <v>315.48745365734879</v>
      </c>
      <c r="S148" s="39">
        <v>45</v>
      </c>
    </row>
    <row r="149" spans="1:19" x14ac:dyDescent="0.25">
      <c r="A149" s="37">
        <v>-20</v>
      </c>
      <c r="B149" s="51">
        <v>414.04229171610677</v>
      </c>
      <c r="C149" s="51">
        <v>91.172584512450825</v>
      </c>
      <c r="D149" s="50">
        <f t="shared" si="34"/>
        <v>12.418410484983752</v>
      </c>
      <c r="P149" s="39">
        <v>20</v>
      </c>
      <c r="Q149">
        <v>811.59379200000035</v>
      </c>
      <c r="R149">
        <v>307.65461701424874</v>
      </c>
      <c r="S149" s="39">
        <v>44.999999948290927</v>
      </c>
    </row>
    <row r="150" spans="1:19" x14ac:dyDescent="0.25">
      <c r="A150" s="38">
        <v>-21</v>
      </c>
      <c r="B150" s="51">
        <v>409.25618056603253</v>
      </c>
      <c r="C150" s="51">
        <v>94.988052087886174</v>
      </c>
      <c r="D150" s="50">
        <f t="shared" si="34"/>
        <v>13.066947064767065</v>
      </c>
      <c r="P150" s="39">
        <v>21</v>
      </c>
      <c r="Q150">
        <v>881.25236000000041</v>
      </c>
      <c r="R150">
        <v>296.92072572866516</v>
      </c>
      <c r="S150" s="39">
        <v>44.999999791751144</v>
      </c>
    </row>
    <row r="151" spans="1:19" x14ac:dyDescent="0.25">
      <c r="A151" s="38">
        <v>-22</v>
      </c>
      <c r="B151" s="51">
        <v>404.51762092166621</v>
      </c>
      <c r="C151" s="51">
        <v>98.754495257351991</v>
      </c>
      <c r="D151" s="50">
        <f t="shared" si="34"/>
        <v>13.719214228098256</v>
      </c>
      <c r="P151" s="39">
        <v>22</v>
      </c>
      <c r="Q151">
        <v>950.91092800000047</v>
      </c>
      <c r="R151">
        <v>282.97583116205874</v>
      </c>
      <c r="S151" s="39">
        <v>44.999999999990614</v>
      </c>
    </row>
    <row r="152" spans="1:19" x14ac:dyDescent="0.25">
      <c r="A152" s="37">
        <v>-23</v>
      </c>
      <c r="B152" s="51">
        <v>399.04957346536042</v>
      </c>
      <c r="C152" s="51">
        <v>103.21017373787957</v>
      </c>
      <c r="D152" s="50">
        <f t="shared" si="34"/>
        <v>14.501202731958895</v>
      </c>
      <c r="P152" s="39">
        <v>23</v>
      </c>
      <c r="Q152">
        <v>1020.5694960000005</v>
      </c>
      <c r="R152">
        <v>265.08150892478062</v>
      </c>
      <c r="S152" s="39">
        <v>44.999997262171661</v>
      </c>
    </row>
    <row r="153" spans="1:19" x14ac:dyDescent="0.25">
      <c r="A153" s="37">
        <v>-24</v>
      </c>
      <c r="B153" s="51">
        <v>393.44489071424761</v>
      </c>
      <c r="C153" s="51">
        <v>107.77448336452693</v>
      </c>
      <c r="D153" s="50">
        <f t="shared" si="34"/>
        <v>15.318985456702391</v>
      </c>
      <c r="P153" s="39">
        <v>24</v>
      </c>
      <c r="Q153">
        <v>1090.2280640000006</v>
      </c>
      <c r="R153">
        <v>243.03586253228806</v>
      </c>
      <c r="S153" s="39">
        <v>44.999998685307567</v>
      </c>
    </row>
    <row r="154" spans="1:19" x14ac:dyDescent="0.25">
      <c r="A154" s="38">
        <v>-25</v>
      </c>
      <c r="B154" s="51">
        <v>387.86041539545897</v>
      </c>
      <c r="C154" s="51">
        <v>112.29488546198776</v>
      </c>
      <c r="D154" s="50">
        <f t="shared" si="34"/>
        <v>16.146996900615431</v>
      </c>
      <c r="P154" s="39">
        <v>25</v>
      </c>
      <c r="Q154">
        <v>1159.8866320000006</v>
      </c>
      <c r="R154">
        <v>216.76989504606442</v>
      </c>
      <c r="S154" s="39">
        <v>44.999999315953616</v>
      </c>
    </row>
    <row r="155" spans="1:19" x14ac:dyDescent="0.25">
      <c r="A155" s="38">
        <v>-26</v>
      </c>
      <c r="B155" s="51">
        <v>382.28804618772364</v>
      </c>
      <c r="C155" s="51">
        <v>116.77717771948952</v>
      </c>
      <c r="D155" s="50">
        <f t="shared" si="34"/>
        <v>16.986291580802948</v>
      </c>
      <c r="P155" s="39">
        <v>26</v>
      </c>
      <c r="Q155">
        <v>1229.5452000000007</v>
      </c>
      <c r="R155">
        <v>185.51946922764228</v>
      </c>
      <c r="S155" s="39">
        <v>44.999999439453759</v>
      </c>
    </row>
    <row r="156" spans="1:19" x14ac:dyDescent="0.25">
      <c r="A156" s="37">
        <v>-27</v>
      </c>
      <c r="B156" s="51">
        <v>376.25989816166793</v>
      </c>
      <c r="C156" s="51">
        <v>119.70910011997721</v>
      </c>
      <c r="D156" s="50">
        <f t="shared" si="34"/>
        <v>17.648747184454429</v>
      </c>
      <c r="P156" s="39">
        <v>27</v>
      </c>
      <c r="Q156">
        <v>1229.5452000000007</v>
      </c>
      <c r="R156">
        <v>0</v>
      </c>
      <c r="S156" s="39">
        <v>44.999999996766405</v>
      </c>
    </row>
    <row r="157" spans="1:19" x14ac:dyDescent="0.25">
      <c r="A157" s="37">
        <v>-28</v>
      </c>
      <c r="B157" s="51">
        <v>370.797520520006</v>
      </c>
      <c r="C157" s="51">
        <v>124.05760580981931</v>
      </c>
      <c r="D157" s="50">
        <f t="shared" si="34"/>
        <v>18.498678585812542</v>
      </c>
      <c r="P157" s="39">
        <v>28</v>
      </c>
      <c r="S157" s="39">
        <v>44.999999996600764</v>
      </c>
    </row>
    <row r="158" spans="1:19" x14ac:dyDescent="0.25">
      <c r="A158" s="38">
        <v>-29</v>
      </c>
      <c r="B158" s="51">
        <v>365.56899306628765</v>
      </c>
      <c r="C158" s="51">
        <v>128.17284960344384</v>
      </c>
      <c r="D158" s="50">
        <f t="shared" si="34"/>
        <v>19.32127492285445</v>
      </c>
      <c r="P158" s="39">
        <v>29</v>
      </c>
      <c r="S158" s="39">
        <v>45.000000008817594</v>
      </c>
    </row>
    <row r="159" spans="1:19" x14ac:dyDescent="0.25">
      <c r="A159" s="38">
        <v>-30</v>
      </c>
      <c r="B159" s="51">
        <v>360.5399064576651</v>
      </c>
      <c r="C159" s="51">
        <v>132.03684266693523</v>
      </c>
      <c r="D159" s="50">
        <f t="shared" si="34"/>
        <v>20.113729538371224</v>
      </c>
      <c r="P159" s="39">
        <v>30</v>
      </c>
      <c r="S159" s="39">
        <v>44.99999999902542</v>
      </c>
    </row>
    <row r="160" spans="1:19" x14ac:dyDescent="0.25">
      <c r="A160" s="37">
        <v>-31</v>
      </c>
      <c r="B160" s="51">
        <v>355.70078839708111</v>
      </c>
      <c r="C160" s="51">
        <v>135.69931546950593</v>
      </c>
      <c r="D160" s="50">
        <f t="shared" si="34"/>
        <v>20.881777638670236</v>
      </c>
      <c r="P160" s="39">
        <v>31</v>
      </c>
      <c r="S160" s="39">
        <v>45.000000005926921</v>
      </c>
    </row>
    <row r="161" spans="1:19" x14ac:dyDescent="0.25">
      <c r="A161" s="37">
        <v>-32</v>
      </c>
      <c r="B161" s="51">
        <v>351.04516578393304</v>
      </c>
      <c r="C161" s="51">
        <v>139.21011105764177</v>
      </c>
      <c r="D161" s="50">
        <f t="shared" si="34"/>
        <v>21.631245817798685</v>
      </c>
      <c r="P161" s="39">
        <v>32</v>
      </c>
      <c r="S161" s="39">
        <v>44.999999993474333</v>
      </c>
    </row>
    <row r="162" spans="1:19" x14ac:dyDescent="0.25">
      <c r="A162" s="38">
        <v>-33</v>
      </c>
      <c r="B162" s="51">
        <v>346.55573795032223</v>
      </c>
      <c r="C162" s="51">
        <v>142.5884250702361</v>
      </c>
      <c r="D162" s="50">
        <f t="shared" si="34"/>
        <v>22.364442676521051</v>
      </c>
      <c r="P162" s="39">
        <v>33</v>
      </c>
      <c r="S162" s="39">
        <v>45.000000002934492</v>
      </c>
    </row>
    <row r="163" spans="1:19" x14ac:dyDescent="0.25">
      <c r="A163" s="38">
        <v>-34</v>
      </c>
      <c r="B163" s="51">
        <v>342.21687876583638</v>
      </c>
      <c r="C163" s="51">
        <v>145.85118624454847</v>
      </c>
      <c r="D163" s="50">
        <f t="shared" si="34"/>
        <v>23.083469462285006</v>
      </c>
      <c r="P163" s="39">
        <v>34</v>
      </c>
      <c r="S163" s="39">
        <v>44.999999993949622</v>
      </c>
    </row>
    <row r="164" spans="1:19" x14ac:dyDescent="0.25">
      <c r="A164" s="37">
        <v>-35</v>
      </c>
      <c r="B164" s="51">
        <v>338.01440334740352</v>
      </c>
      <c r="C164" s="51">
        <v>149.01342609318837</v>
      </c>
      <c r="D164" s="50">
        <f t="shared" si="34"/>
        <v>23.790252089497027</v>
      </c>
      <c r="P164" s="39">
        <v>35</v>
      </c>
      <c r="S164" s="39">
        <v>44.999999996032344</v>
      </c>
    </row>
    <row r="165" spans="1:19" x14ac:dyDescent="0.25">
      <c r="A165" s="37">
        <v>-36</v>
      </c>
      <c r="B165" s="51">
        <v>333.93534775109475</v>
      </c>
      <c r="C165" s="51">
        <v>152.08859110815843</v>
      </c>
      <c r="D165" s="50">
        <f t="shared" si="34"/>
        <v>24.486570775500148</v>
      </c>
      <c r="P165" s="39">
        <v>36</v>
      </c>
      <c r="S165" s="39">
        <v>45.000000003616989</v>
      </c>
    </row>
    <row r="166" spans="1:19" x14ac:dyDescent="0.25">
      <c r="A166" s="38">
        <v>-37</v>
      </c>
      <c r="B166" s="51">
        <v>329.63907668001048</v>
      </c>
      <c r="C166" s="51">
        <v>155.2819698472928</v>
      </c>
      <c r="D166" s="50">
        <f t="shared" si="34"/>
        <v>25.223560113764801</v>
      </c>
      <c r="P166" s="39">
        <v>37</v>
      </c>
      <c r="S166" s="39">
        <v>44.999999993988027</v>
      </c>
    </row>
    <row r="167" spans="1:19" x14ac:dyDescent="0.25">
      <c r="A167" s="38">
        <v>-38</v>
      </c>
      <c r="B167" s="51">
        <v>324.70742434946789</v>
      </c>
      <c r="C167" s="51">
        <v>158.84112264578121</v>
      </c>
      <c r="D167" s="50">
        <f t="shared" si="34"/>
        <v>26.067061692486305</v>
      </c>
      <c r="P167" s="39">
        <v>38</v>
      </c>
      <c r="S167" s="39">
        <v>44.999999992582161</v>
      </c>
    </row>
    <row r="168" spans="1:19" x14ac:dyDescent="0.25">
      <c r="A168" s="37">
        <v>-39</v>
      </c>
      <c r="B168" s="51">
        <v>319.89454927358969</v>
      </c>
      <c r="C168" s="51">
        <v>162.32611183215346</v>
      </c>
      <c r="D168" s="50">
        <f t="shared" si="34"/>
        <v>26.904891966345023</v>
      </c>
      <c r="P168" s="39">
        <v>39</v>
      </c>
      <c r="S168" s="39">
        <v>44.999999996440806</v>
      </c>
    </row>
    <row r="169" spans="1:19" x14ac:dyDescent="0.25">
      <c r="A169" s="37">
        <v>-40</v>
      </c>
      <c r="B169" s="51">
        <v>315.1869324958094</v>
      </c>
      <c r="C169" s="51">
        <v>165.73884354654959</v>
      </c>
      <c r="D169" s="50">
        <f t="shared" si="34"/>
        <v>27.737323930401168</v>
      </c>
      <c r="P169" s="39">
        <v>40</v>
      </c>
      <c r="S169" s="39">
        <v>44.999999992560419</v>
      </c>
    </row>
    <row r="170" spans="1:19" x14ac:dyDescent="0.25">
      <c r="A170" s="38">
        <v>-41</v>
      </c>
      <c r="B170" s="51">
        <v>310.5577333614259</v>
      </c>
      <c r="C170" s="51">
        <v>169.00912134580011</v>
      </c>
      <c r="D170" s="50">
        <f t="shared" si="34"/>
        <v>28.55554519013041</v>
      </c>
      <c r="P170" s="39">
        <v>41</v>
      </c>
      <c r="S170" s="39">
        <v>44.999999993963534</v>
      </c>
    </row>
    <row r="171" spans="1:19" x14ac:dyDescent="0.25">
      <c r="A171" s="38">
        <v>-42</v>
      </c>
      <c r="B171" s="51">
        <v>306.01279387706154</v>
      </c>
      <c r="C171" s="51">
        <v>172.2281060019543</v>
      </c>
      <c r="D171" s="50">
        <f t="shared" si="34"/>
        <v>29.371392976191</v>
      </c>
      <c r="P171" s="39">
        <v>42</v>
      </c>
      <c r="S171" s="39">
        <v>44.999999997993569</v>
      </c>
    </row>
    <row r="172" spans="1:19" x14ac:dyDescent="0.25">
      <c r="A172" s="37">
        <v>-43</v>
      </c>
      <c r="B172" s="51">
        <v>301.54235920545466</v>
      </c>
      <c r="C172" s="51">
        <v>175.40495765106064</v>
      </c>
      <c r="D172" s="50">
        <f t="shared" si="34"/>
        <v>30.186246884351824</v>
      </c>
      <c r="P172" s="39">
        <v>43</v>
      </c>
      <c r="S172" s="39">
        <v>45.00000000309096</v>
      </c>
    </row>
    <row r="173" spans="1:19" x14ac:dyDescent="0.25">
      <c r="A173" s="37">
        <v>-44</v>
      </c>
      <c r="B173" s="51">
        <v>297.13710602320492</v>
      </c>
      <c r="C173" s="51">
        <v>178.5483351235375</v>
      </c>
      <c r="D173" s="50">
        <f t="shared" si="34"/>
        <v>31.001466278403328</v>
      </c>
      <c r="P173" s="39">
        <v>44</v>
      </c>
      <c r="S173" s="39">
        <v>45.000000002439378</v>
      </c>
    </row>
    <row r="174" spans="1:19" x14ac:dyDescent="0.25">
      <c r="A174" s="38">
        <v>-45</v>
      </c>
      <c r="B174" s="51">
        <v>292.78805405495189</v>
      </c>
      <c r="C174" s="51">
        <v>181.6664948777306</v>
      </c>
      <c r="D174" s="50">
        <f t="shared" si="34"/>
        <v>31.81840160348478</v>
      </c>
      <c r="P174" s="39">
        <v>45</v>
      </c>
      <c r="S174" s="39">
        <v>44.999999991538317</v>
      </c>
    </row>
    <row r="175" spans="1:19" x14ac:dyDescent="0.25">
      <c r="A175" s="38">
        <v>-46</v>
      </c>
      <c r="B175" s="51">
        <v>288.48647920075166</v>
      </c>
      <c r="C175" s="51">
        <v>184.76737918658057</v>
      </c>
      <c r="D175" s="50">
        <f t="shared" si="34"/>
        <v>32.638405518163779</v>
      </c>
      <c r="P175" s="39">
        <v>46</v>
      </c>
      <c r="S175" s="39">
        <v>45.000000001361656</v>
      </c>
    </row>
    <row r="176" spans="1:19" x14ac:dyDescent="0.25">
      <c r="A176" s="37">
        <v>-47</v>
      </c>
      <c r="B176" s="51">
        <v>284.22383411938176</v>
      </c>
      <c r="C176" s="51">
        <v>187.85869978596429</v>
      </c>
      <c r="D176" s="50">
        <f t="shared" si="34"/>
        <v>33.462843987288551</v>
      </c>
      <c r="P176" s="39">
        <v>47</v>
      </c>
      <c r="S176" s="39">
        <v>44.999999994567524</v>
      </c>
    </row>
    <row r="177" spans="1:19" x14ac:dyDescent="0.25">
      <c r="A177" s="37">
        <v>-48</v>
      </c>
      <c r="B177" s="51">
        <v>279.99168187816372</v>
      </c>
      <c r="C177" s="51">
        <v>190.94802328902949</v>
      </c>
      <c r="D177" s="50">
        <f t="shared" si="34"/>
        <v>34.293107386056519</v>
      </c>
      <c r="P177" s="39">
        <v>48</v>
      </c>
      <c r="S177" s="39">
        <v>45.000000006495242</v>
      </c>
    </row>
    <row r="178" spans="1:19" x14ac:dyDescent="0.25">
      <c r="A178" s="38">
        <v>-49</v>
      </c>
      <c r="B178" s="51">
        <v>277.4824169103984</v>
      </c>
      <c r="C178" s="51">
        <v>193.87676102274517</v>
      </c>
      <c r="D178" s="50">
        <f t="shared" si="34"/>
        <v>34.941971796297395</v>
      </c>
      <c r="P178" s="39">
        <v>49</v>
      </c>
      <c r="S178" s="39">
        <v>44.999999995872663</v>
      </c>
    </row>
    <row r="179" spans="1:19" x14ac:dyDescent="0.25">
      <c r="A179" s="38">
        <v>-50</v>
      </c>
      <c r="B179" s="51">
        <v>273.28547276827192</v>
      </c>
      <c r="C179" s="51">
        <v>196.98327939958094</v>
      </c>
      <c r="D179" s="50">
        <f t="shared" si="34"/>
        <v>35.783940545753083</v>
      </c>
      <c r="P179" s="39">
        <v>50</v>
      </c>
      <c r="S179" s="39">
        <v>44.999999999802611</v>
      </c>
    </row>
    <row r="180" spans="1:19" x14ac:dyDescent="0.25">
      <c r="A180" s="37">
        <v>-51</v>
      </c>
      <c r="B180" s="51">
        <v>269.09394431526795</v>
      </c>
      <c r="C180" s="51">
        <v>200.11056005480535</v>
      </c>
      <c r="D180" s="50">
        <f t="shared" si="34"/>
        <v>36.636179103281123</v>
      </c>
      <c r="P180" s="39">
        <v>51</v>
      </c>
      <c r="S180" s="39">
        <v>45.000000003474021</v>
      </c>
    </row>
    <row r="181" spans="1:19" x14ac:dyDescent="0.25">
      <c r="A181" s="37">
        <v>-52</v>
      </c>
      <c r="B181" s="51">
        <v>264.89900430052461</v>
      </c>
      <c r="C181" s="51">
        <v>203.26629914206964</v>
      </c>
      <c r="D181" s="50">
        <f t="shared" si="34"/>
        <v>37.500291883496864</v>
      </c>
      <c r="P181" s="39">
        <v>52</v>
      </c>
      <c r="S181" s="39">
        <v>44.999999992803495</v>
      </c>
    </row>
    <row r="182" spans="1:19" x14ac:dyDescent="0.25">
      <c r="A182" s="38">
        <v>-53</v>
      </c>
      <c r="B182" s="51">
        <v>260.69150141901702</v>
      </c>
      <c r="C182" s="51">
        <v>206.4584212607881</v>
      </c>
      <c r="D182" s="50">
        <f t="shared" si="34"/>
        <v>38.377974848105048</v>
      </c>
      <c r="P182" s="39">
        <v>53</v>
      </c>
      <c r="S182" s="39">
        <v>45.000000007446815</v>
      </c>
    </row>
    <row r="183" spans="1:19" x14ac:dyDescent="0.25">
      <c r="A183" s="38">
        <v>-54</v>
      </c>
      <c r="B183" s="51">
        <v>256.46184454523137</v>
      </c>
      <c r="C183" s="51">
        <v>209.6951576445552</v>
      </c>
      <c r="D183" s="50">
        <f t="shared" si="34"/>
        <v>39.27103328418076</v>
      </c>
      <c r="P183" s="39">
        <v>54</v>
      </c>
      <c r="S183" s="39">
        <v>45.00000000114899</v>
      </c>
    </row>
    <row r="184" spans="1:19" x14ac:dyDescent="0.25">
      <c r="A184" s="37">
        <v>-55</v>
      </c>
      <c r="B184" s="51">
        <v>252.19989585539449</v>
      </c>
      <c r="C184" s="51">
        <v>212.98514479683857</v>
      </c>
      <c r="D184" s="50">
        <f t="shared" si="34"/>
        <v>40.181401321623767</v>
      </c>
      <c r="P184" s="39">
        <v>55</v>
      </c>
      <c r="S184" s="39">
        <v>44.999999995019607</v>
      </c>
    </row>
    <row r="185" spans="1:19" x14ac:dyDescent="0.25">
      <c r="A185" s="37">
        <v>-56</v>
      </c>
      <c r="B185" s="51">
        <v>247.89481821571778</v>
      </c>
      <c r="C185" s="51">
        <v>216.33751465064307</v>
      </c>
      <c r="D185" s="50">
        <f t="shared" si="34"/>
        <v>41.111164942587003</v>
      </c>
      <c r="P185" s="39">
        <v>56</v>
      </c>
      <c r="S185" s="39">
        <v>45.000000002461263</v>
      </c>
    </row>
    <row r="186" spans="1:19" x14ac:dyDescent="0.25">
      <c r="A186" s="38">
        <v>-57</v>
      </c>
      <c r="B186" s="51">
        <v>243.53491997130058</v>
      </c>
      <c r="C186" s="51">
        <v>219.76200795834859</v>
      </c>
      <c r="D186" s="50">
        <f t="shared" si="34"/>
        <v>42.062587980192987</v>
      </c>
      <c r="P186" s="39">
        <v>57</v>
      </c>
      <c r="S186" s="39">
        <v>45.000000000284487</v>
      </c>
    </row>
    <row r="187" spans="1:19" x14ac:dyDescent="0.25">
      <c r="A187" s="38">
        <v>-58</v>
      </c>
      <c r="B187" s="51">
        <v>239.10747121836903</v>
      </c>
      <c r="C187" s="51">
        <v>223.26910178477345</v>
      </c>
      <c r="D187" s="50">
        <f t="shared" si="34"/>
        <v>43.038142291748407</v>
      </c>
      <c r="P187" s="39">
        <v>58</v>
      </c>
      <c r="S187" s="39">
        <v>44.999999994645904</v>
      </c>
    </row>
    <row r="188" spans="1:19" x14ac:dyDescent="0.25">
      <c r="A188" s="37">
        <v>-59</v>
      </c>
      <c r="B188" s="51">
        <v>234.59847677221461</v>
      </c>
      <c r="C188" s="51">
        <v>226.87014984247304</v>
      </c>
      <c r="D188" s="50">
        <f t="shared" si="34"/>
        <v>44.040543387433068</v>
      </c>
      <c r="P188" s="39">
        <v>59</v>
      </c>
      <c r="S188" s="39">
        <v>45.000000007512085</v>
      </c>
    </row>
    <row r="189" spans="1:19" x14ac:dyDescent="0.25">
      <c r="A189" s="37">
        <v>-60</v>
      </c>
      <c r="B189" s="51">
        <v>229.99240766129319</v>
      </c>
      <c r="C189" s="51">
        <v>230.57754698421346</v>
      </c>
      <c r="D189" s="50">
        <f t="shared" si="34"/>
        <v>45.072792407004293</v>
      </c>
      <c r="P189" s="39">
        <v>60</v>
      </c>
      <c r="S189" s="39">
        <v>45.000000002640647</v>
      </c>
    </row>
    <row r="190" spans="1:19" x14ac:dyDescent="0.25">
      <c r="A190" s="38">
        <v>-61</v>
      </c>
      <c r="B190" s="51">
        <v>225.27188950961019</v>
      </c>
      <c r="C190" s="51">
        <v>234.40493031508504</v>
      </c>
      <c r="D190" s="50">
        <f t="shared" si="34"/>
        <v>46.138225444317932</v>
      </c>
      <c r="P190" s="39">
        <v>61</v>
      </c>
      <c r="S190" s="39">
        <v>44.99999999247688</v>
      </c>
    </row>
    <row r="191" spans="1:19" x14ac:dyDescent="0.25">
      <c r="A191" s="38">
        <v>-62</v>
      </c>
      <c r="B191" s="51">
        <v>220.41729958075385</v>
      </c>
      <c r="C191" s="51">
        <v>238.36740250268269</v>
      </c>
      <c r="D191" s="50">
        <f t="shared" si="34"/>
        <v>47.240573470547226</v>
      </c>
      <c r="P191" s="39">
        <v>62</v>
      </c>
      <c r="S191" s="39">
        <v>45.000000009693743</v>
      </c>
    </row>
    <row r="192" spans="1:19" x14ac:dyDescent="0.25">
      <c r="A192" s="37">
        <v>-63</v>
      </c>
      <c r="B192" s="51">
        <v>215.40629110332171</v>
      </c>
      <c r="C192" s="51">
        <v>242.48181149502821</v>
      </c>
      <c r="D192" s="50">
        <f t="shared" si="34"/>
        <v>48.384033698173248</v>
      </c>
      <c r="P192" s="39">
        <v>63</v>
      </c>
      <c r="S192" s="39">
        <v>45.000000000656911</v>
      </c>
    </row>
    <row r="193" spans="1:19" x14ac:dyDescent="0.25">
      <c r="A193" s="37">
        <v>-64</v>
      </c>
      <c r="B193" s="51">
        <v>210.21999859417377</v>
      </c>
      <c r="C193" s="51">
        <v>246.75382733989019</v>
      </c>
      <c r="D193" s="50">
        <f t="shared" si="34"/>
        <v>49.570921608378846</v>
      </c>
      <c r="P193" s="39">
        <v>64</v>
      </c>
      <c r="S193" s="39">
        <v>44.999999995447396</v>
      </c>
    </row>
    <row r="194" spans="1:19" x14ac:dyDescent="0.25">
      <c r="A194" s="38">
        <v>-65</v>
      </c>
      <c r="B194" s="51">
        <v>205.16521387304851</v>
      </c>
      <c r="C194" s="51">
        <v>250.55770897656194</v>
      </c>
      <c r="D194" s="50">
        <f t="shared" ref="D194:D257" si="35">IF(DEGREES(ATAN2(B194,C194))&lt;0,DEGREES(ATAN2(B194,C194))+360,DEGREES(ATAN2(B194,C194)))</f>
        <v>50.688211069713219</v>
      </c>
      <c r="P194" s="39">
        <v>65</v>
      </c>
      <c r="S194" s="39">
        <v>45.000000006248513</v>
      </c>
    </row>
    <row r="195" spans="1:19" x14ac:dyDescent="0.25">
      <c r="A195" s="38">
        <v>-66</v>
      </c>
      <c r="B195" s="51">
        <v>199.89330583407278</v>
      </c>
      <c r="C195" s="51">
        <v>254.53905226857796</v>
      </c>
      <c r="D195" s="50">
        <f t="shared" si="35"/>
        <v>51.856925341842192</v>
      </c>
      <c r="P195" s="39">
        <v>66</v>
      </c>
      <c r="S195" s="39">
        <v>44.999999997244558</v>
      </c>
    </row>
    <row r="196" spans="1:19" x14ac:dyDescent="0.25">
      <c r="A196" s="37">
        <v>-67</v>
      </c>
      <c r="B196" s="51">
        <v>194.4824130802476</v>
      </c>
      <c r="C196" s="51">
        <v>257.7308508983902</v>
      </c>
      <c r="D196" s="50">
        <f t="shared" si="35"/>
        <v>52.961977990701868</v>
      </c>
      <c r="P196" s="39">
        <v>67</v>
      </c>
      <c r="S196" s="39">
        <v>44.999999996882806</v>
      </c>
    </row>
    <row r="197" spans="1:19" x14ac:dyDescent="0.25">
      <c r="A197" s="37">
        <v>-68</v>
      </c>
      <c r="B197" s="51">
        <v>188.64802489782684</v>
      </c>
      <c r="C197" s="51">
        <v>262.13887424160754</v>
      </c>
      <c r="D197" s="50">
        <f t="shared" si="35"/>
        <v>54.259353042701051</v>
      </c>
      <c r="P197" s="39">
        <v>68</v>
      </c>
      <c r="S197" s="39">
        <v>45.000000001369429</v>
      </c>
    </row>
    <row r="198" spans="1:19" x14ac:dyDescent="0.25">
      <c r="A198" s="38">
        <v>-69</v>
      </c>
      <c r="B198" s="51">
        <v>182.4645059625829</v>
      </c>
      <c r="C198" s="51">
        <v>266.80627320776182</v>
      </c>
      <c r="D198" s="50">
        <f t="shared" si="35"/>
        <v>55.632405406375639</v>
      </c>
      <c r="P198" s="39">
        <v>69</v>
      </c>
      <c r="S198" s="39">
        <v>45.000000003327244</v>
      </c>
    </row>
    <row r="199" spans="1:19" x14ac:dyDescent="0.25">
      <c r="A199" s="38">
        <v>-70</v>
      </c>
      <c r="B199" s="51">
        <v>175.86937557613433</v>
      </c>
      <c r="C199" s="51">
        <v>271.77010608190392</v>
      </c>
      <c r="D199" s="50">
        <f t="shared" si="35"/>
        <v>57.092062871959108</v>
      </c>
      <c r="P199" s="39">
        <v>70</v>
      </c>
      <c r="S199" s="39">
        <v>45.000000008671414</v>
      </c>
    </row>
    <row r="200" spans="1:19" x14ac:dyDescent="0.25">
      <c r="A200" s="37">
        <v>-71</v>
      </c>
      <c r="B200" s="51">
        <v>169.52367350294946</v>
      </c>
      <c r="C200" s="51">
        <v>276.44434618007841</v>
      </c>
      <c r="D200" s="50">
        <f t="shared" si="35"/>
        <v>58.482169248066668</v>
      </c>
      <c r="P200" s="39">
        <v>71</v>
      </c>
      <c r="S200" s="39">
        <v>45.000000008746142</v>
      </c>
    </row>
    <row r="201" spans="1:19" x14ac:dyDescent="0.25">
      <c r="A201" s="37">
        <v>-72</v>
      </c>
      <c r="B201" s="51">
        <v>163.69388255975392</v>
      </c>
      <c r="C201" s="51">
        <v>280.59372927870157</v>
      </c>
      <c r="D201" s="50">
        <f t="shared" si="35"/>
        <v>59.74139838843724</v>
      </c>
      <c r="P201" s="39">
        <v>72</v>
      </c>
      <c r="S201" s="39">
        <v>44.999999995355992</v>
      </c>
    </row>
    <row r="202" spans="1:19" x14ac:dyDescent="0.25">
      <c r="A202" s="38">
        <v>-73</v>
      </c>
      <c r="B202" s="51">
        <v>157.37348786329665</v>
      </c>
      <c r="C202" s="51">
        <v>285.05609631315428</v>
      </c>
      <c r="D202" s="50">
        <f t="shared" si="35"/>
        <v>61.09783274483388</v>
      </c>
      <c r="P202" s="39">
        <v>73</v>
      </c>
      <c r="S202" s="39">
        <v>44.999999997986428</v>
      </c>
    </row>
    <row r="203" spans="1:19" x14ac:dyDescent="0.25">
      <c r="A203" s="38">
        <v>-74</v>
      </c>
      <c r="B203" s="51">
        <v>150.45484596226248</v>
      </c>
      <c r="C203" s="51">
        <v>289.88469060838992</v>
      </c>
      <c r="D203" s="50">
        <f t="shared" si="35"/>
        <v>62.569956907554491</v>
      </c>
      <c r="P203" s="39">
        <v>74</v>
      </c>
      <c r="S203" s="39">
        <v>45.000000004981047</v>
      </c>
    </row>
    <row r="204" spans="1:19" x14ac:dyDescent="0.25">
      <c r="A204" s="37">
        <v>-75</v>
      </c>
      <c r="B204" s="51">
        <v>142.97361929134618</v>
      </c>
      <c r="C204" s="51">
        <v>295.04189841949545</v>
      </c>
      <c r="D204" s="50">
        <f t="shared" si="35"/>
        <v>64.145751115453223</v>
      </c>
      <c r="P204" s="39">
        <v>75</v>
      </c>
      <c r="S204" s="39">
        <v>45.00000000107886</v>
      </c>
    </row>
    <row r="205" spans="1:19" x14ac:dyDescent="0.25">
      <c r="A205" s="37">
        <v>-76</v>
      </c>
      <c r="B205" s="51">
        <v>135.27849231666076</v>
      </c>
      <c r="C205" s="51">
        <v>300.31408554940748</v>
      </c>
      <c r="D205" s="50">
        <f t="shared" si="35"/>
        <v>65.75049785732925</v>
      </c>
      <c r="P205" s="39">
        <v>76</v>
      </c>
      <c r="S205" s="39">
        <v>44.999999991552365</v>
      </c>
    </row>
    <row r="206" spans="1:19" x14ac:dyDescent="0.25">
      <c r="A206" s="38">
        <v>-77</v>
      </c>
      <c r="B206" s="51">
        <v>127.3588271721366</v>
      </c>
      <c r="C206" s="51">
        <v>305.71284476935301</v>
      </c>
      <c r="D206" s="50">
        <f t="shared" si="35"/>
        <v>67.383572491107259</v>
      </c>
      <c r="P206" s="39">
        <v>77</v>
      </c>
      <c r="S206" s="39">
        <v>45.000000008498866</v>
      </c>
    </row>
    <row r="207" spans="1:19" x14ac:dyDescent="0.25">
      <c r="A207" s="38">
        <v>-78</v>
      </c>
      <c r="B207" s="51">
        <v>119.17966727576709</v>
      </c>
      <c r="C207" s="51">
        <v>311.26446983114681</v>
      </c>
      <c r="D207" s="50">
        <f t="shared" si="35"/>
        <v>69.048718542020779</v>
      </c>
      <c r="P207">
        <v>78</v>
      </c>
      <c r="S207">
        <v>45.000000007252908</v>
      </c>
    </row>
    <row r="208" spans="1:19" x14ac:dyDescent="0.25">
      <c r="A208" s="37">
        <v>-79</v>
      </c>
      <c r="B208" s="51">
        <v>110.70112026849463</v>
      </c>
      <c r="C208" s="51">
        <v>316.99817563323131</v>
      </c>
      <c r="D208" s="50">
        <f t="shared" si="35"/>
        <v>70.749935307457648</v>
      </c>
      <c r="P208">
        <v>79</v>
      </c>
      <c r="S208">
        <v>45.000000009808083</v>
      </c>
    </row>
    <row r="209" spans="1:19" x14ac:dyDescent="0.25">
      <c r="A209" s="37">
        <v>-80</v>
      </c>
      <c r="B209" s="51">
        <v>101.3949934996227</v>
      </c>
      <c r="C209" s="51">
        <v>321.55698344170901</v>
      </c>
      <c r="D209" s="50">
        <f t="shared" si="35"/>
        <v>72.498627911885251</v>
      </c>
      <c r="P209">
        <v>80</v>
      </c>
      <c r="S209">
        <v>45.000000002539785</v>
      </c>
    </row>
    <row r="210" spans="1:19" x14ac:dyDescent="0.25">
      <c r="A210" s="38">
        <v>-81</v>
      </c>
      <c r="B210" s="51">
        <v>91.064310967192597</v>
      </c>
      <c r="C210" s="51">
        <v>323.93288496645539</v>
      </c>
      <c r="D210" s="50">
        <f t="shared" si="35"/>
        <v>74.298215956011873</v>
      </c>
      <c r="P210">
        <v>81</v>
      </c>
      <c r="S210">
        <v>44.999999995704101</v>
      </c>
    </row>
    <row r="211" spans="1:19" x14ac:dyDescent="0.25">
      <c r="A211" s="38">
        <v>-82</v>
      </c>
      <c r="B211" s="51">
        <v>80.508583669741483</v>
      </c>
      <c r="C211" s="51">
        <v>326.26939288115778</v>
      </c>
      <c r="D211" s="50">
        <f t="shared" si="35"/>
        <v>76.1388811206361</v>
      </c>
      <c r="P211">
        <v>82</v>
      </c>
      <c r="S211">
        <v>44.999999997659856</v>
      </c>
    </row>
    <row r="212" spans="1:19" x14ac:dyDescent="0.25">
      <c r="A212" s="37">
        <v>-83</v>
      </c>
      <c r="B212" s="51">
        <v>69.694034071328801</v>
      </c>
      <c r="C212" s="51">
        <v>328.57826433456307</v>
      </c>
      <c r="D212" s="50">
        <f t="shared" si="35"/>
        <v>78.024599373951133</v>
      </c>
      <c r="P212">
        <v>83</v>
      </c>
      <c r="S212">
        <v>44.999999992893265</v>
      </c>
    </row>
    <row r="213" spans="1:19" x14ac:dyDescent="0.25">
      <c r="A213" s="37">
        <v>-84</v>
      </c>
      <c r="B213" s="51">
        <v>58.582478873581721</v>
      </c>
      <c r="C213" s="51">
        <v>330.87230429441598</v>
      </c>
      <c r="D213" s="50">
        <f t="shared" si="35"/>
        <v>79.959570031993167</v>
      </c>
      <c r="P213">
        <v>84</v>
      </c>
      <c r="S213">
        <v>45.000000004866621</v>
      </c>
    </row>
    <row r="214" spans="1:19" x14ac:dyDescent="0.25">
      <c r="A214" s="38">
        <v>-85</v>
      </c>
      <c r="B214" s="51">
        <v>47.130457814552145</v>
      </c>
      <c r="C214" s="51">
        <v>333.16571293362421</v>
      </c>
      <c r="D214" s="50">
        <f t="shared" si="35"/>
        <v>81.948221365657048</v>
      </c>
      <c r="P214">
        <v>85</v>
      </c>
      <c r="S214">
        <v>44.999999991264495</v>
      </c>
    </row>
    <row r="215" spans="1:19" x14ac:dyDescent="0.25">
      <c r="A215" s="38">
        <v>-86</v>
      </c>
      <c r="B215" s="51">
        <v>36.67130645173954</v>
      </c>
      <c r="C215" s="51">
        <v>335.20658501631652</v>
      </c>
      <c r="D215" s="50">
        <f t="shared" si="35"/>
        <v>83.756719844475512</v>
      </c>
      <c r="P215">
        <v>86</v>
      </c>
      <c r="S215">
        <v>44.999999995703966</v>
      </c>
    </row>
    <row r="216" spans="1:19" x14ac:dyDescent="0.25">
      <c r="A216" s="37">
        <v>-87</v>
      </c>
      <c r="B216" s="51">
        <v>27.230202965489557</v>
      </c>
      <c r="C216" s="51">
        <v>335.79265612706405</v>
      </c>
      <c r="D216" s="50">
        <f t="shared" si="35"/>
        <v>85.363897270531737</v>
      </c>
      <c r="P216">
        <v>87</v>
      </c>
      <c r="S216">
        <v>45.00000000612944</v>
      </c>
    </row>
    <row r="217" spans="1:19" x14ac:dyDescent="0.25">
      <c r="A217" s="37">
        <v>-88</v>
      </c>
      <c r="B217" s="51">
        <v>19.973662381806882</v>
      </c>
      <c r="C217" s="51">
        <v>336.03581680564434</v>
      </c>
      <c r="D217" s="50">
        <f t="shared" si="35"/>
        <v>86.59839333473073</v>
      </c>
      <c r="P217">
        <v>88</v>
      </c>
      <c r="S217">
        <v>44.999999994496306</v>
      </c>
    </row>
    <row r="218" spans="1:19" x14ac:dyDescent="0.25">
      <c r="A218" s="38">
        <v>-89</v>
      </c>
      <c r="B218" s="51">
        <v>10.193065277364205</v>
      </c>
      <c r="C218" s="51">
        <v>336.23486765661283</v>
      </c>
      <c r="D218" s="50">
        <f t="shared" si="35"/>
        <v>88.263592306386357</v>
      </c>
      <c r="P218">
        <v>89</v>
      </c>
      <c r="S218">
        <v>44.999999995024808</v>
      </c>
    </row>
    <row r="219" spans="1:19" x14ac:dyDescent="0.25">
      <c r="A219" s="38">
        <v>-90</v>
      </c>
      <c r="B219" s="51">
        <v>2.060230288015025E-14</v>
      </c>
      <c r="C219" s="51">
        <v>336.32337040635474</v>
      </c>
      <c r="D219" s="50">
        <f t="shared" si="35"/>
        <v>90</v>
      </c>
      <c r="P219">
        <v>90</v>
      </c>
      <c r="S219">
        <v>44.999999997511033</v>
      </c>
    </row>
    <row r="220" spans="1:19" x14ac:dyDescent="0.25">
      <c r="A220" s="37">
        <v>-91</v>
      </c>
      <c r="B220" s="51">
        <v>-10.193065277364134</v>
      </c>
      <c r="C220" s="51">
        <v>336.23486765661306</v>
      </c>
      <c r="D220" s="50">
        <f t="shared" si="35"/>
        <v>91.736407693613629</v>
      </c>
      <c r="P220">
        <v>91</v>
      </c>
      <c r="S220">
        <v>45.000000005994309</v>
      </c>
    </row>
    <row r="221" spans="1:19" x14ac:dyDescent="0.25">
      <c r="A221" s="37">
        <v>-92</v>
      </c>
      <c r="B221" s="51">
        <v>-19.97366238180684</v>
      </c>
      <c r="C221" s="51">
        <v>336.0358168056444</v>
      </c>
      <c r="D221" s="50">
        <f t="shared" si="35"/>
        <v>93.40160666526927</v>
      </c>
      <c r="P221">
        <v>92</v>
      </c>
      <c r="S221">
        <v>44.999999992742765</v>
      </c>
    </row>
    <row r="222" spans="1:19" x14ac:dyDescent="0.25">
      <c r="A222" s="38">
        <v>-93</v>
      </c>
      <c r="B222" s="51">
        <v>-27.230202965489472</v>
      </c>
      <c r="C222" s="51">
        <v>335.79265612706405</v>
      </c>
      <c r="D222" s="50">
        <f t="shared" si="35"/>
        <v>94.636102729468249</v>
      </c>
      <c r="P222">
        <v>93</v>
      </c>
      <c r="S222">
        <v>45.000000006247902</v>
      </c>
    </row>
    <row r="223" spans="1:19" x14ac:dyDescent="0.25">
      <c r="A223" s="38">
        <v>-94</v>
      </c>
      <c r="B223" s="51">
        <v>-36.671306451739603</v>
      </c>
      <c r="C223" s="51">
        <v>335.20658501631652</v>
      </c>
      <c r="D223" s="50">
        <f t="shared" si="35"/>
        <v>96.243280155524488</v>
      </c>
      <c r="P223">
        <v>94</v>
      </c>
      <c r="S223">
        <v>44.999999995830031</v>
      </c>
    </row>
    <row r="224" spans="1:19" x14ac:dyDescent="0.25">
      <c r="A224" s="37">
        <v>-95</v>
      </c>
      <c r="B224" s="51">
        <v>-47.130457814552258</v>
      </c>
      <c r="C224" s="51">
        <v>333.16571293362421</v>
      </c>
      <c r="D224" s="50">
        <f t="shared" si="35"/>
        <v>98.051778634342966</v>
      </c>
      <c r="P224">
        <v>95</v>
      </c>
      <c r="S224">
        <v>44.999999997627441</v>
      </c>
    </row>
    <row r="225" spans="1:19" x14ac:dyDescent="0.25">
      <c r="A225" s="37">
        <v>-96</v>
      </c>
      <c r="B225" s="51">
        <v>-58.582478873581849</v>
      </c>
      <c r="C225" s="51">
        <v>330.87230429441593</v>
      </c>
      <c r="D225" s="50">
        <f t="shared" si="35"/>
        <v>100.04042996800686</v>
      </c>
      <c r="P225">
        <v>96</v>
      </c>
      <c r="S225">
        <v>45.000000000234508</v>
      </c>
    </row>
    <row r="226" spans="1:19" x14ac:dyDescent="0.25">
      <c r="A226" s="38">
        <v>-97</v>
      </c>
      <c r="B226" s="51">
        <v>-69.694034071328801</v>
      </c>
      <c r="C226" s="51">
        <v>328.5782643345633</v>
      </c>
      <c r="D226" s="50">
        <f t="shared" si="35"/>
        <v>101.97540062604887</v>
      </c>
      <c r="P226">
        <v>97</v>
      </c>
      <c r="S226">
        <v>44.999999990039775</v>
      </c>
    </row>
    <row r="227" spans="1:19" x14ac:dyDescent="0.25">
      <c r="A227" s="38">
        <v>-98</v>
      </c>
      <c r="B227" s="51">
        <v>-80.50858366974137</v>
      </c>
      <c r="C227" s="51">
        <v>326.26939288115778</v>
      </c>
      <c r="D227" s="50">
        <f t="shared" si="35"/>
        <v>103.86111887936389</v>
      </c>
      <c r="P227">
        <v>98</v>
      </c>
      <c r="S227">
        <v>45.000000005972097</v>
      </c>
    </row>
    <row r="228" spans="1:19" x14ac:dyDescent="0.25">
      <c r="A228" s="37">
        <v>-99</v>
      </c>
      <c r="B228" s="51">
        <v>-91.064310967192625</v>
      </c>
      <c r="C228" s="51">
        <v>323.93288496645539</v>
      </c>
      <c r="D228" s="50">
        <f t="shared" si="35"/>
        <v>105.70178404398813</v>
      </c>
      <c r="P228">
        <v>99</v>
      </c>
      <c r="S228">
        <v>44.999999997676056</v>
      </c>
    </row>
    <row r="229" spans="1:19" x14ac:dyDescent="0.25">
      <c r="A229" s="37">
        <v>-100</v>
      </c>
      <c r="B229" s="51">
        <v>-101.3949934996226</v>
      </c>
      <c r="C229" s="51">
        <v>321.55698344170901</v>
      </c>
      <c r="D229" s="50">
        <f t="shared" si="35"/>
        <v>107.50137208811473</v>
      </c>
      <c r="P229">
        <v>100</v>
      </c>
      <c r="S229">
        <v>45.000000009666508</v>
      </c>
    </row>
    <row r="230" spans="1:19" x14ac:dyDescent="0.25">
      <c r="A230" s="38">
        <v>-101</v>
      </c>
      <c r="B230" s="51">
        <v>-110.70112026849458</v>
      </c>
      <c r="C230" s="51">
        <v>316.99817563323126</v>
      </c>
      <c r="D230" s="50">
        <f t="shared" si="35"/>
        <v>109.25006469254235</v>
      </c>
      <c r="P230">
        <v>101</v>
      </c>
      <c r="S230">
        <v>45.000000002426589</v>
      </c>
    </row>
    <row r="231" spans="1:19" x14ac:dyDescent="0.25">
      <c r="A231" s="38">
        <v>-102</v>
      </c>
      <c r="B231" s="51">
        <v>-119.179667275767</v>
      </c>
      <c r="C231" s="51">
        <v>311.26446983114704</v>
      </c>
      <c r="D231" s="50">
        <f t="shared" si="35"/>
        <v>110.95128145797919</v>
      </c>
    </row>
    <row r="232" spans="1:19" x14ac:dyDescent="0.25">
      <c r="A232" s="37">
        <v>-103</v>
      </c>
      <c r="B232" s="51">
        <v>-127.3588271721366</v>
      </c>
      <c r="C232" s="51">
        <v>305.71284476935301</v>
      </c>
      <c r="D232" s="50">
        <f t="shared" si="35"/>
        <v>112.61642750889274</v>
      </c>
    </row>
    <row r="233" spans="1:19" x14ac:dyDescent="0.25">
      <c r="A233" s="37">
        <v>-104</v>
      </c>
      <c r="B233" s="51">
        <v>-135.27849231666087</v>
      </c>
      <c r="C233" s="51">
        <v>300.31408554940748</v>
      </c>
      <c r="D233" s="50">
        <f t="shared" si="35"/>
        <v>114.24950214267076</v>
      </c>
    </row>
    <row r="234" spans="1:19" x14ac:dyDescent="0.25">
      <c r="A234" s="38">
        <v>-105</v>
      </c>
      <c r="B234" s="51">
        <v>-142.97361929134624</v>
      </c>
      <c r="C234" s="51">
        <v>295.0418984194954</v>
      </c>
      <c r="D234" s="50">
        <f t="shared" si="35"/>
        <v>115.85424888454678</v>
      </c>
    </row>
    <row r="235" spans="1:19" x14ac:dyDescent="0.25">
      <c r="A235" s="38">
        <v>-106</v>
      </c>
      <c r="B235" s="51">
        <v>-150.4548459622624</v>
      </c>
      <c r="C235" s="51">
        <v>289.88469060839014</v>
      </c>
      <c r="D235" s="50">
        <f t="shared" si="35"/>
        <v>117.43004309244546</v>
      </c>
    </row>
    <row r="236" spans="1:19" x14ac:dyDescent="0.25">
      <c r="A236" s="37">
        <v>-107</v>
      </c>
      <c r="B236" s="51">
        <v>-157.37348786329665</v>
      </c>
      <c r="C236" s="51">
        <v>285.05609631315451</v>
      </c>
      <c r="D236" s="50">
        <f t="shared" si="35"/>
        <v>118.90216725516611</v>
      </c>
    </row>
    <row r="237" spans="1:19" x14ac:dyDescent="0.25">
      <c r="A237" s="37">
        <v>-108</v>
      </c>
      <c r="B237" s="51">
        <v>-163.69388255975394</v>
      </c>
      <c r="C237" s="51">
        <v>280.59372927870174</v>
      </c>
      <c r="D237" s="50">
        <f t="shared" si="35"/>
        <v>120.25860161156274</v>
      </c>
    </row>
    <row r="238" spans="1:19" x14ac:dyDescent="0.25">
      <c r="A238" s="38">
        <v>-109</v>
      </c>
      <c r="B238" s="51">
        <v>-169.52367350294941</v>
      </c>
      <c r="C238" s="51">
        <v>276.44434618007841</v>
      </c>
      <c r="D238" s="50">
        <f t="shared" si="35"/>
        <v>121.51783075193332</v>
      </c>
    </row>
    <row r="239" spans="1:19" x14ac:dyDescent="0.25">
      <c r="A239" s="38">
        <v>-110</v>
      </c>
      <c r="B239" s="51">
        <v>-175.8693755761343</v>
      </c>
      <c r="C239" s="51">
        <v>271.77010608190415</v>
      </c>
      <c r="D239" s="50">
        <f t="shared" si="35"/>
        <v>122.90793712804086</v>
      </c>
    </row>
    <row r="240" spans="1:19" x14ac:dyDescent="0.25">
      <c r="A240" s="37">
        <v>-111</v>
      </c>
      <c r="B240" s="51">
        <v>-182.46450596258285</v>
      </c>
      <c r="C240" s="51">
        <v>266.80627320776182</v>
      </c>
      <c r="D240" s="50">
        <f t="shared" si="35"/>
        <v>124.36759459362435</v>
      </c>
    </row>
    <row r="241" spans="1:4" x14ac:dyDescent="0.25">
      <c r="A241" s="37">
        <v>-112</v>
      </c>
      <c r="B241" s="51">
        <v>-188.6480248978269</v>
      </c>
      <c r="C241" s="51">
        <v>262.13887424160754</v>
      </c>
      <c r="D241" s="50">
        <f t="shared" si="35"/>
        <v>125.74064695729895</v>
      </c>
    </row>
    <row r="242" spans="1:4" x14ac:dyDescent="0.25">
      <c r="A242" s="38">
        <v>-113</v>
      </c>
      <c r="B242" s="51">
        <v>-194.48241308024754</v>
      </c>
      <c r="C242" s="51">
        <v>257.7308508983902</v>
      </c>
      <c r="D242" s="50">
        <f t="shared" si="35"/>
        <v>127.03802200929812</v>
      </c>
    </row>
    <row r="243" spans="1:4" x14ac:dyDescent="0.25">
      <c r="A243" s="38">
        <v>-114</v>
      </c>
      <c r="B243" s="51">
        <v>-199.89330583407289</v>
      </c>
      <c r="C243" s="51">
        <v>254.53905226857805</v>
      </c>
      <c r="D243" s="50">
        <f t="shared" si="35"/>
        <v>128.14307465815781</v>
      </c>
    </row>
    <row r="244" spans="1:4" x14ac:dyDescent="0.25">
      <c r="A244" s="37">
        <v>-115</v>
      </c>
      <c r="B244" s="51">
        <v>-205.16521387304846</v>
      </c>
      <c r="C244" s="51">
        <v>250.55770897656188</v>
      </c>
      <c r="D244" s="50">
        <f t="shared" si="35"/>
        <v>129.31178893028678</v>
      </c>
    </row>
    <row r="245" spans="1:4" x14ac:dyDescent="0.25">
      <c r="A245" s="37">
        <v>-116</v>
      </c>
      <c r="B245" s="51">
        <v>-210.21999859417372</v>
      </c>
      <c r="C245" s="51">
        <v>246.75382733989017</v>
      </c>
      <c r="D245" s="50">
        <f t="shared" si="35"/>
        <v>130.42907839162115</v>
      </c>
    </row>
    <row r="246" spans="1:4" x14ac:dyDescent="0.25">
      <c r="A246" s="38">
        <v>-117</v>
      </c>
      <c r="B246" s="51">
        <v>-215.40629110332171</v>
      </c>
      <c r="C246" s="51">
        <v>242.48181149502824</v>
      </c>
      <c r="D246" s="50">
        <f t="shared" si="35"/>
        <v>131.61596630182677</v>
      </c>
    </row>
    <row r="247" spans="1:4" x14ac:dyDescent="0.25">
      <c r="A247" s="38">
        <v>-118</v>
      </c>
      <c r="B247" s="51">
        <v>-220.41729958075385</v>
      </c>
      <c r="C247" s="51">
        <v>238.36740250268269</v>
      </c>
      <c r="D247" s="50">
        <f t="shared" si="35"/>
        <v>132.75942652945278</v>
      </c>
    </row>
    <row r="248" spans="1:4" x14ac:dyDescent="0.25">
      <c r="A248" s="37">
        <v>-119</v>
      </c>
      <c r="B248" s="51">
        <v>-225.27188950961028</v>
      </c>
      <c r="C248" s="51">
        <v>234.40493031508518</v>
      </c>
      <c r="D248" s="50">
        <f t="shared" si="35"/>
        <v>133.86177455568205</v>
      </c>
    </row>
    <row r="249" spans="1:4" x14ac:dyDescent="0.25">
      <c r="A249" s="37">
        <v>-120</v>
      </c>
      <c r="B249" s="51">
        <v>-229.99240766129296</v>
      </c>
      <c r="C249" s="51">
        <v>230.57754698421357</v>
      </c>
      <c r="D249" s="50">
        <f t="shared" si="35"/>
        <v>134.92720759299567</v>
      </c>
    </row>
    <row r="250" spans="1:4" x14ac:dyDescent="0.25">
      <c r="A250" s="38">
        <v>-121</v>
      </c>
      <c r="B250" s="51">
        <v>-234.59847677221475</v>
      </c>
      <c r="C250" s="51">
        <v>226.8701498424731</v>
      </c>
      <c r="D250" s="50">
        <f t="shared" si="35"/>
        <v>135.95945661256695</v>
      </c>
    </row>
    <row r="251" spans="1:4" x14ac:dyDescent="0.25">
      <c r="A251" s="38">
        <v>-122</v>
      </c>
      <c r="B251" s="51">
        <v>-239.10747121836897</v>
      </c>
      <c r="C251" s="51">
        <v>223.26910178477351</v>
      </c>
      <c r="D251" s="50">
        <f t="shared" si="35"/>
        <v>136.96185770825159</v>
      </c>
    </row>
    <row r="252" spans="1:4" x14ac:dyDescent="0.25">
      <c r="A252" s="37">
        <v>-123</v>
      </c>
      <c r="B252" s="51">
        <v>-243.53491997130044</v>
      </c>
      <c r="C252" s="51">
        <v>219.76200795834839</v>
      </c>
      <c r="D252" s="50">
        <f t="shared" si="35"/>
        <v>137.93741201980703</v>
      </c>
    </row>
    <row r="253" spans="1:4" x14ac:dyDescent="0.25">
      <c r="A253" s="37">
        <v>-124</v>
      </c>
      <c r="B253" s="51">
        <v>-247.89481821571772</v>
      </c>
      <c r="C253" s="51">
        <v>216.33751465064307</v>
      </c>
      <c r="D253" s="50">
        <f t="shared" si="35"/>
        <v>138.88883505741299</v>
      </c>
    </row>
    <row r="254" spans="1:4" x14ac:dyDescent="0.25">
      <c r="A254" s="38">
        <v>-125</v>
      </c>
      <c r="B254" s="51">
        <v>-252.19989585539437</v>
      </c>
      <c r="C254" s="51">
        <v>212.98514479683854</v>
      </c>
      <c r="D254" s="50">
        <f t="shared" si="35"/>
        <v>139.81859867837625</v>
      </c>
    </row>
    <row r="255" spans="1:4" x14ac:dyDescent="0.25">
      <c r="A255" s="38">
        <v>-126</v>
      </c>
      <c r="B255" s="51">
        <v>-256.46184454523126</v>
      </c>
      <c r="C255" s="51">
        <v>209.69515764455514</v>
      </c>
      <c r="D255" s="50">
        <f t="shared" si="35"/>
        <v>140.72896671581924</v>
      </c>
    </row>
    <row r="256" spans="1:4" x14ac:dyDescent="0.25">
      <c r="A256" s="37">
        <v>-127</v>
      </c>
      <c r="B256" s="51">
        <v>-260.69150141901702</v>
      </c>
      <c r="C256" s="51">
        <v>206.4584212607881</v>
      </c>
      <c r="D256" s="50">
        <f t="shared" si="35"/>
        <v>141.62202515189495</v>
      </c>
    </row>
    <row r="257" spans="1:7" x14ac:dyDescent="0.25">
      <c r="A257" s="37">
        <v>-128</v>
      </c>
      <c r="B257" s="51">
        <v>-264.89900430052455</v>
      </c>
      <c r="C257" s="51">
        <v>203.26629914206958</v>
      </c>
      <c r="D257" s="50">
        <f t="shared" si="35"/>
        <v>142.49970811650314</v>
      </c>
    </row>
    <row r="258" spans="1:7" x14ac:dyDescent="0.25">
      <c r="A258" s="38">
        <v>-129</v>
      </c>
      <c r="B258" s="51">
        <v>-269.09394431526778</v>
      </c>
      <c r="C258" s="51">
        <v>200.11056005480532</v>
      </c>
      <c r="D258" s="50">
        <f t="shared" ref="D258:D321" si="36">IF(DEGREES(ATAN2(B258,C258))&lt;0,DEGREES(ATAN2(B258,C258))+360,DEGREES(ATAN2(B258,C258)))</f>
        <v>143.36382089671886</v>
      </c>
    </row>
    <row r="259" spans="1:7" x14ac:dyDescent="0.25">
      <c r="A259" s="38">
        <v>-130</v>
      </c>
      <c r="B259" s="51">
        <v>-273.28547276827192</v>
      </c>
      <c r="C259" s="51">
        <v>196.98327939958091</v>
      </c>
      <c r="D259" s="50">
        <f t="shared" si="36"/>
        <v>144.21605945424693</v>
      </c>
    </row>
    <row r="260" spans="1:7" x14ac:dyDescent="0.25">
      <c r="A260" s="37">
        <v>-131</v>
      </c>
      <c r="B260" s="51">
        <v>-277.48241691039823</v>
      </c>
      <c r="C260" s="51">
        <v>193.8767610227452</v>
      </c>
      <c r="D260" s="50">
        <f t="shared" si="36"/>
        <v>145.05802820370261</v>
      </c>
    </row>
    <row r="261" spans="1:7" x14ac:dyDescent="0.25">
      <c r="A261" s="37">
        <v>-132</v>
      </c>
      <c r="B261" s="51">
        <v>-279.99168187816372</v>
      </c>
      <c r="C261" s="51">
        <v>190.94802328902952</v>
      </c>
      <c r="D261" s="50">
        <f t="shared" si="36"/>
        <v>145.7068926139435</v>
      </c>
      <c r="F261">
        <v>0</v>
      </c>
      <c r="G261">
        <v>0</v>
      </c>
    </row>
    <row r="262" spans="1:7" x14ac:dyDescent="0.25">
      <c r="A262" s="38">
        <v>-133</v>
      </c>
      <c r="B262" s="51">
        <v>-284.22383411938171</v>
      </c>
      <c r="C262" s="51">
        <v>187.85869978596435</v>
      </c>
      <c r="D262" s="50">
        <f t="shared" si="36"/>
        <v>146.53715601271142</v>
      </c>
      <c r="F262">
        <v>360</v>
      </c>
      <c r="G262">
        <v>-360</v>
      </c>
    </row>
    <row r="263" spans="1:7" x14ac:dyDescent="0.25">
      <c r="A263" s="38">
        <v>-134</v>
      </c>
      <c r="B263" s="51">
        <v>-288.48647920075172</v>
      </c>
      <c r="C263" s="51">
        <v>184.76737918658054</v>
      </c>
      <c r="D263" s="50">
        <f t="shared" si="36"/>
        <v>147.36159448183622</v>
      </c>
    </row>
    <row r="264" spans="1:7" x14ac:dyDescent="0.25">
      <c r="A264" s="37">
        <v>-135</v>
      </c>
      <c r="B264" s="51">
        <v>-292.78805405495189</v>
      </c>
      <c r="C264" s="51">
        <v>181.66649487773063</v>
      </c>
      <c r="D264" s="50">
        <f t="shared" si="36"/>
        <v>148.18159839651523</v>
      </c>
    </row>
    <row r="265" spans="1:7" x14ac:dyDescent="0.25">
      <c r="A265" s="37">
        <v>-136</v>
      </c>
      <c r="B265" s="51">
        <v>-297.13710602320469</v>
      </c>
      <c r="C265" s="51">
        <v>178.54833512353738</v>
      </c>
      <c r="D265" s="50">
        <f t="shared" si="36"/>
        <v>148.99853372159669</v>
      </c>
    </row>
    <row r="266" spans="1:7" x14ac:dyDescent="0.25">
      <c r="A266" s="38">
        <v>-137</v>
      </c>
      <c r="B266" s="51">
        <v>-301.54235920545472</v>
      </c>
      <c r="C266" s="51">
        <v>175.40495765106073</v>
      </c>
      <c r="D266" s="50">
        <f t="shared" si="36"/>
        <v>149.81375311564818</v>
      </c>
    </row>
    <row r="267" spans="1:7" x14ac:dyDescent="0.25">
      <c r="A267" s="38">
        <v>-138</v>
      </c>
      <c r="B267" s="51">
        <v>-306.01279387706126</v>
      </c>
      <c r="C267" s="51">
        <v>172.2281060019543</v>
      </c>
      <c r="D267" s="50">
        <f t="shared" si="36"/>
        <v>150.62860702380897</v>
      </c>
    </row>
    <row r="268" spans="1:7" x14ac:dyDescent="0.25">
      <c r="A268" s="37">
        <v>-139</v>
      </c>
      <c r="B268" s="51">
        <v>-310.5577333614259</v>
      </c>
      <c r="C268" s="51">
        <v>169.00912134580014</v>
      </c>
      <c r="D268" s="50">
        <f t="shared" si="36"/>
        <v>151.44445480986957</v>
      </c>
    </row>
    <row r="269" spans="1:7" x14ac:dyDescent="0.25">
      <c r="A269" s="37">
        <v>-140</v>
      </c>
      <c r="B269" s="51">
        <v>-315.18693249580934</v>
      </c>
      <c r="C269" s="51">
        <v>165.73884354654967</v>
      </c>
      <c r="D269" s="50">
        <f t="shared" si="36"/>
        <v>152.26267606959883</v>
      </c>
    </row>
    <row r="270" spans="1:7" x14ac:dyDescent="0.25">
      <c r="A270" s="38">
        <v>-141</v>
      </c>
      <c r="B270" s="51">
        <v>-319.89454927358969</v>
      </c>
      <c r="C270" s="51">
        <v>162.32611183215349</v>
      </c>
      <c r="D270" s="50">
        <f t="shared" si="36"/>
        <v>153.09510803365495</v>
      </c>
    </row>
    <row r="271" spans="1:7" x14ac:dyDescent="0.25">
      <c r="A271" s="38">
        <v>-142</v>
      </c>
      <c r="B271" s="51">
        <v>-324.70742434946789</v>
      </c>
      <c r="C271" s="51">
        <v>158.84112264578118</v>
      </c>
      <c r="D271" s="50">
        <f t="shared" si="36"/>
        <v>153.93293830751369</v>
      </c>
    </row>
    <row r="272" spans="1:7" x14ac:dyDescent="0.25">
      <c r="A272" s="37">
        <v>-143</v>
      </c>
      <c r="B272" s="51">
        <v>-329.63907668001048</v>
      </c>
      <c r="C272" s="51">
        <v>155.28196984729271</v>
      </c>
      <c r="D272" s="50">
        <f t="shared" si="36"/>
        <v>154.77643988623521</v>
      </c>
    </row>
    <row r="273" spans="1:4" x14ac:dyDescent="0.25">
      <c r="A273" s="37">
        <v>-144</v>
      </c>
      <c r="B273" s="51">
        <v>-333.9353477510947</v>
      </c>
      <c r="C273" s="51">
        <v>152.08859110815848</v>
      </c>
      <c r="D273" s="50">
        <f t="shared" si="36"/>
        <v>155.51342922449982</v>
      </c>
    </row>
    <row r="274" spans="1:4" x14ac:dyDescent="0.25">
      <c r="A274" s="38">
        <v>-145</v>
      </c>
      <c r="B274" s="51">
        <v>-338.01440334740346</v>
      </c>
      <c r="C274" s="51">
        <v>149.01342609318837</v>
      </c>
      <c r="D274" s="50">
        <f t="shared" si="36"/>
        <v>156.20974791050298</v>
      </c>
    </row>
    <row r="275" spans="1:4" x14ac:dyDescent="0.25">
      <c r="A275" s="38">
        <v>-146</v>
      </c>
      <c r="B275" s="51">
        <v>-342.21687876583638</v>
      </c>
      <c r="C275" s="51">
        <v>145.85118624454842</v>
      </c>
      <c r="D275" s="50">
        <f t="shared" si="36"/>
        <v>156.916530537715</v>
      </c>
    </row>
    <row r="276" spans="1:4" x14ac:dyDescent="0.25">
      <c r="A276" s="37">
        <v>-147</v>
      </c>
      <c r="B276" s="51">
        <v>-346.55573795032211</v>
      </c>
      <c r="C276" s="51">
        <v>142.58842507023613</v>
      </c>
      <c r="D276" s="50">
        <f t="shared" si="36"/>
        <v>157.63555732347893</v>
      </c>
    </row>
    <row r="277" spans="1:4" x14ac:dyDescent="0.25">
      <c r="A277" s="37">
        <v>-148</v>
      </c>
      <c r="B277" s="51">
        <v>-351.04516578393299</v>
      </c>
      <c r="C277" s="51">
        <v>139.21011105764174</v>
      </c>
      <c r="D277" s="50">
        <f t="shared" si="36"/>
        <v>158.36875418220131</v>
      </c>
    </row>
    <row r="278" spans="1:4" x14ac:dyDescent="0.25">
      <c r="A278" s="38">
        <v>-149</v>
      </c>
      <c r="B278" s="51">
        <v>-355.70078839708123</v>
      </c>
      <c r="C278" s="51">
        <v>135.6993154695061</v>
      </c>
      <c r="D278" s="50">
        <f t="shared" si="36"/>
        <v>159.11822236132977</v>
      </c>
    </row>
    <row r="279" spans="1:4" x14ac:dyDescent="0.25">
      <c r="A279" s="38">
        <v>-150</v>
      </c>
      <c r="B279" s="51">
        <v>-360.53990645766498</v>
      </c>
      <c r="C279" s="51">
        <v>132.03684266693523</v>
      </c>
      <c r="D279" s="50">
        <f t="shared" si="36"/>
        <v>159.88627046162878</v>
      </c>
    </row>
    <row r="280" spans="1:4" x14ac:dyDescent="0.25">
      <c r="A280" s="37">
        <v>-151</v>
      </c>
      <c r="B280" s="51">
        <v>-365.56899306628787</v>
      </c>
      <c r="C280" s="51">
        <v>128.17284960344392</v>
      </c>
      <c r="D280" s="50">
        <f t="shared" si="36"/>
        <v>160.67872507714554</v>
      </c>
    </row>
    <row r="281" spans="1:4" x14ac:dyDescent="0.25">
      <c r="A281" s="37">
        <v>-152</v>
      </c>
      <c r="B281" s="51">
        <v>-370.79752052000595</v>
      </c>
      <c r="C281" s="51">
        <v>124.05760580981931</v>
      </c>
      <c r="D281" s="50">
        <f t="shared" si="36"/>
        <v>161.50132141418746</v>
      </c>
    </row>
    <row r="282" spans="1:4" x14ac:dyDescent="0.25">
      <c r="A282" s="38">
        <v>-153</v>
      </c>
      <c r="B282" s="51">
        <v>-376.25989816166782</v>
      </c>
      <c r="C282" s="51">
        <v>119.70910011997726</v>
      </c>
      <c r="D282" s="50">
        <f t="shared" si="36"/>
        <v>162.35125281554556</v>
      </c>
    </row>
    <row r="283" spans="1:4" x14ac:dyDescent="0.25">
      <c r="A283" s="38">
        <v>-154</v>
      </c>
      <c r="B283" s="51">
        <v>-382.28804618772358</v>
      </c>
      <c r="C283" s="51">
        <v>116.77717771948949</v>
      </c>
      <c r="D283" s="50">
        <f t="shared" si="36"/>
        <v>163.01370841919706</v>
      </c>
    </row>
    <row r="284" spans="1:4" x14ac:dyDescent="0.25">
      <c r="A284" s="37">
        <v>-155</v>
      </c>
      <c r="B284" s="51">
        <v>-387.86041539545897</v>
      </c>
      <c r="C284" s="51">
        <v>112.29488546198776</v>
      </c>
      <c r="D284" s="50">
        <f t="shared" si="36"/>
        <v>163.85300309938458</v>
      </c>
    </row>
    <row r="285" spans="1:4" x14ac:dyDescent="0.25">
      <c r="A285" s="37">
        <v>-156</v>
      </c>
      <c r="B285" s="51">
        <v>-393.44489071424755</v>
      </c>
      <c r="C285" s="51">
        <v>107.77448336452699</v>
      </c>
      <c r="D285" s="50">
        <f t="shared" si="36"/>
        <v>164.68101454329758</v>
      </c>
    </row>
    <row r="286" spans="1:4" x14ac:dyDescent="0.25">
      <c r="A286" s="38">
        <v>-157</v>
      </c>
      <c r="B286" s="51">
        <v>-399.04957346536031</v>
      </c>
      <c r="C286" s="51">
        <v>103.21017373787951</v>
      </c>
      <c r="D286" s="50">
        <f t="shared" si="36"/>
        <v>165.4987972680411</v>
      </c>
    </row>
    <row r="287" spans="1:4" x14ac:dyDescent="0.25">
      <c r="A287" s="38">
        <v>-158</v>
      </c>
      <c r="B287" s="51">
        <v>-404.51762092166604</v>
      </c>
      <c r="C287" s="51">
        <v>98.754495257352048</v>
      </c>
      <c r="D287" s="50">
        <f t="shared" si="36"/>
        <v>166.28078577190172</v>
      </c>
    </row>
    <row r="288" spans="1:4" x14ac:dyDescent="0.25">
      <c r="A288" s="37">
        <v>-159</v>
      </c>
      <c r="B288" s="51">
        <v>-409.25618056603253</v>
      </c>
      <c r="C288" s="51">
        <v>94.988052087886174</v>
      </c>
      <c r="D288" s="50">
        <f t="shared" si="36"/>
        <v>166.93305293523292</v>
      </c>
    </row>
    <row r="289" spans="1:4" x14ac:dyDescent="0.25">
      <c r="A289" s="37">
        <v>-160</v>
      </c>
      <c r="B289" s="51">
        <v>-414.0422917161066</v>
      </c>
      <c r="C289" s="51">
        <v>91.172584512450868</v>
      </c>
      <c r="D289" s="50">
        <f t="shared" si="36"/>
        <v>167.58158951501625</v>
      </c>
    </row>
    <row r="290" spans="1:4" x14ac:dyDescent="0.25">
      <c r="A290" s="38">
        <v>-161</v>
      </c>
      <c r="B290" s="51">
        <v>-418.88507354191597</v>
      </c>
      <c r="C290" s="51">
        <v>87.301253173018949</v>
      </c>
      <c r="D290" s="50">
        <f t="shared" si="36"/>
        <v>168.22731569096084</v>
      </c>
    </row>
    <row r="291" spans="1:4" x14ac:dyDescent="0.25">
      <c r="A291" s="38">
        <v>-162</v>
      </c>
      <c r="B291" s="51">
        <v>-422.30931966064696</v>
      </c>
      <c r="C291" s="51">
        <v>83.041141463742306</v>
      </c>
      <c r="D291" s="50">
        <f t="shared" si="36"/>
        <v>168.87552631519486</v>
      </c>
    </row>
    <row r="292" spans="1:4" x14ac:dyDescent="0.25">
      <c r="A292" s="37">
        <v>-163</v>
      </c>
      <c r="B292" s="51">
        <v>-424.33749850360499</v>
      </c>
      <c r="C292" s="51">
        <v>78.450756004865994</v>
      </c>
      <c r="D292" s="50">
        <f t="shared" si="36"/>
        <v>169.52552928592689</v>
      </c>
    </row>
    <row r="293" spans="1:4" x14ac:dyDescent="0.25">
      <c r="A293" s="37">
        <v>-164</v>
      </c>
      <c r="B293" s="51">
        <v>-426.32950579236245</v>
      </c>
      <c r="C293" s="51">
        <v>73.841660376797236</v>
      </c>
      <c r="D293" s="50">
        <f t="shared" si="36"/>
        <v>170.17367144920323</v>
      </c>
    </row>
    <row r="294" spans="1:4" x14ac:dyDescent="0.25">
      <c r="A294" s="38">
        <v>-165</v>
      </c>
      <c r="B294" s="51">
        <v>-427.61950253310556</v>
      </c>
      <c r="C294" s="51">
        <v>70.767156384887585</v>
      </c>
      <c r="D294" s="50">
        <f t="shared" si="36"/>
        <v>170.60323340011922</v>
      </c>
    </row>
    <row r="295" spans="1:4" x14ac:dyDescent="0.25">
      <c r="A295" s="38">
        <v>-166</v>
      </c>
      <c r="B295" s="51">
        <v>-429.54271454415539</v>
      </c>
      <c r="C295" s="51">
        <v>66.111440416299928</v>
      </c>
      <c r="D295" s="50">
        <f t="shared" si="36"/>
        <v>171.25019632157813</v>
      </c>
    </row>
    <row r="296" spans="1:4" x14ac:dyDescent="0.25">
      <c r="A296" s="37">
        <v>-167</v>
      </c>
      <c r="B296" s="51">
        <v>-431.44233743041917</v>
      </c>
      <c r="C296" s="51">
        <v>61.420409499321352</v>
      </c>
      <c r="D296" s="50">
        <f t="shared" si="36"/>
        <v>171.8977778605815</v>
      </c>
    </row>
    <row r="297" spans="1:4" x14ac:dyDescent="0.25">
      <c r="A297" s="37">
        <v>-168</v>
      </c>
      <c r="B297" s="51">
        <v>-433.32257974289416</v>
      </c>
      <c r="C297" s="51">
        <v>56.687984978803719</v>
      </c>
      <c r="D297" s="50">
        <f t="shared" si="36"/>
        <v>172.54679673207949</v>
      </c>
    </row>
    <row r="298" spans="1:4" x14ac:dyDescent="0.25">
      <c r="A298" s="38">
        <v>-169</v>
      </c>
      <c r="B298" s="51">
        <v>-435.18767895317507</v>
      </c>
      <c r="C298" s="51">
        <v>51.907806659842521</v>
      </c>
      <c r="D298" s="50">
        <f t="shared" si="36"/>
        <v>173.19807649406604</v>
      </c>
    </row>
    <row r="299" spans="1:4" x14ac:dyDescent="0.25">
      <c r="A299" s="38">
        <v>-170</v>
      </c>
      <c r="B299" s="51">
        <v>-437.04192136695167</v>
      </c>
      <c r="C299" s="51">
        <v>47.073188906328724</v>
      </c>
      <c r="D299" s="50">
        <f t="shared" si="36"/>
        <v>173.85244956586808</v>
      </c>
    </row>
    <row r="300" spans="1:4" x14ac:dyDescent="0.25">
      <c r="A300" s="37">
        <v>-171</v>
      </c>
      <c r="B300" s="51">
        <v>-438.88969024791265</v>
      </c>
      <c r="C300" s="51">
        <v>42.177073985818424</v>
      </c>
      <c r="D300" s="50">
        <f t="shared" si="36"/>
        <v>174.51076148946785</v>
      </c>
    </row>
    <row r="301" spans="1:4" x14ac:dyDescent="0.25">
      <c r="A301" s="37">
        <v>-172</v>
      </c>
      <c r="B301" s="51">
        <v>-440.73548455083392</v>
      </c>
      <c r="C301" s="51">
        <v>37.211977676290743</v>
      </c>
      <c r="D301" s="50">
        <f t="shared" si="36"/>
        <v>175.17387509888832</v>
      </c>
    </row>
    <row r="302" spans="1:4" x14ac:dyDescent="0.25">
      <c r="A302" s="38">
        <v>-173</v>
      </c>
      <c r="B302" s="51">
        <v>-442.58397948835272</v>
      </c>
      <c r="C302" s="51">
        <v>32.169931776066605</v>
      </c>
      <c r="D302" s="50">
        <f t="shared" si="36"/>
        <v>175.84267491425692</v>
      </c>
    </row>
    <row r="303" spans="1:4" x14ac:dyDescent="0.25">
      <c r="A303" s="38">
        <v>-174</v>
      </c>
      <c r="B303" s="51">
        <v>-444.44002809897336</v>
      </c>
      <c r="C303" s="51">
        <v>27.042413366685444</v>
      </c>
      <c r="D303" s="50">
        <f t="shared" si="36"/>
        <v>176.51807175613015</v>
      </c>
    </row>
    <row r="304" spans="1:4" x14ac:dyDescent="0.25">
      <c r="A304" s="37">
        <v>-175</v>
      </c>
      <c r="B304" s="51">
        <v>-445.88938503385037</v>
      </c>
      <c r="C304" s="51">
        <v>22.196162073417938</v>
      </c>
      <c r="D304" s="50">
        <f t="shared" si="36"/>
        <v>177.15019566088455</v>
      </c>
    </row>
    <row r="305" spans="1:4" x14ac:dyDescent="0.25">
      <c r="A305" s="37">
        <v>-176</v>
      </c>
      <c r="B305" s="51">
        <v>-446.58319968677836</v>
      </c>
      <c r="C305" s="51">
        <v>17.936497800120339</v>
      </c>
      <c r="D305" s="50">
        <f t="shared" si="36"/>
        <v>177.70001746634185</v>
      </c>
    </row>
    <row r="306" spans="1:4" x14ac:dyDescent="0.25">
      <c r="A306" s="38">
        <v>-177</v>
      </c>
      <c r="B306" s="51">
        <v>-447.25567249647759</v>
      </c>
      <c r="C306" s="51">
        <v>13.597773778352533</v>
      </c>
      <c r="D306" s="50">
        <f t="shared" si="36"/>
        <v>178.25859081512374</v>
      </c>
    </row>
    <row r="307" spans="1:4" x14ac:dyDescent="0.25">
      <c r="A307" s="38">
        <v>-178</v>
      </c>
      <c r="B307" s="51">
        <v>-447.90988586880474</v>
      </c>
      <c r="C307" s="51">
        <v>9.1698488256300319</v>
      </c>
      <c r="D307" s="50">
        <f t="shared" si="36"/>
        <v>178.82717423811093</v>
      </c>
    </row>
    <row r="308" spans="1:4" x14ac:dyDescent="0.25">
      <c r="A308" s="37">
        <v>-179</v>
      </c>
      <c r="B308" s="51">
        <v>-448.54912822812827</v>
      </c>
      <c r="C308" s="51">
        <v>4.6414562489679199</v>
      </c>
      <c r="D308" s="50">
        <f t="shared" si="36"/>
        <v>179.40714105538899</v>
      </c>
    </row>
    <row r="309" spans="1:4" x14ac:dyDescent="0.25">
      <c r="A309" s="37">
        <v>-180</v>
      </c>
      <c r="B309" s="51">
        <v>-449.17699700282668</v>
      </c>
      <c r="C309" s="51">
        <v>5.5030850385850699E-14</v>
      </c>
      <c r="D309" s="50">
        <f t="shared" si="36"/>
        <v>180</v>
      </c>
    </row>
    <row r="310" spans="1:4" x14ac:dyDescent="0.25">
      <c r="A310" s="38">
        <v>-181</v>
      </c>
      <c r="B310" s="51">
        <v>-448.5491282281281</v>
      </c>
      <c r="C310" s="51">
        <v>-4.6414562489679474</v>
      </c>
      <c r="D310" s="50">
        <f t="shared" si="36"/>
        <v>180.59285894461104</v>
      </c>
    </row>
    <row r="311" spans="1:4" x14ac:dyDescent="0.25">
      <c r="A311" s="38">
        <v>-182</v>
      </c>
      <c r="B311" s="51">
        <v>-447.90988586880485</v>
      </c>
      <c r="C311" s="51">
        <v>-9.1698488256299608</v>
      </c>
      <c r="D311" s="50">
        <f t="shared" si="36"/>
        <v>181.17282576188904</v>
      </c>
    </row>
    <row r="312" spans="1:4" x14ac:dyDescent="0.25">
      <c r="A312" s="37">
        <v>-183</v>
      </c>
      <c r="B312" s="51">
        <v>-447.25567249647759</v>
      </c>
      <c r="C312" s="51">
        <v>-13.597773778352439</v>
      </c>
      <c r="D312" s="50">
        <f t="shared" si="36"/>
        <v>181.74140918487626</v>
      </c>
    </row>
    <row r="313" spans="1:4" x14ac:dyDescent="0.25">
      <c r="A313" s="37">
        <v>-184</v>
      </c>
      <c r="B313" s="51">
        <v>-446.58319968677836</v>
      </c>
      <c r="C313" s="51">
        <v>-17.936497800120254</v>
      </c>
      <c r="D313" s="50">
        <f t="shared" si="36"/>
        <v>182.29998253365815</v>
      </c>
    </row>
    <row r="314" spans="1:4" x14ac:dyDescent="0.25">
      <c r="A314" s="38">
        <v>-185</v>
      </c>
      <c r="B314" s="51">
        <v>-445.88938503385037</v>
      </c>
      <c r="C314" s="51">
        <v>-22.196162073417863</v>
      </c>
      <c r="D314" s="50">
        <f t="shared" si="36"/>
        <v>182.84980433911545</v>
      </c>
    </row>
    <row r="315" spans="1:4" x14ac:dyDescent="0.25">
      <c r="A315" s="38">
        <v>-186</v>
      </c>
      <c r="B315" s="51">
        <v>-444.44002809897324</v>
      </c>
      <c r="C315" s="51">
        <v>-27.042413366685402</v>
      </c>
      <c r="D315" s="50">
        <f t="shared" si="36"/>
        <v>183.48192824386982</v>
      </c>
    </row>
    <row r="316" spans="1:4" x14ac:dyDescent="0.25">
      <c r="A316" s="37">
        <v>-187</v>
      </c>
      <c r="B316" s="51">
        <v>-442.58397948835307</v>
      </c>
      <c r="C316" s="51">
        <v>-32.169931776066555</v>
      </c>
      <c r="D316" s="50">
        <f t="shared" si="36"/>
        <v>184.15732508574308</v>
      </c>
    </row>
    <row r="317" spans="1:4" x14ac:dyDescent="0.25">
      <c r="A317" s="37">
        <v>-188</v>
      </c>
      <c r="B317" s="51">
        <v>-440.73548455083358</v>
      </c>
      <c r="C317" s="51">
        <v>-37.211977676290793</v>
      </c>
      <c r="D317" s="50">
        <f t="shared" si="36"/>
        <v>184.82612490111168</v>
      </c>
    </row>
    <row r="318" spans="1:4" x14ac:dyDescent="0.25">
      <c r="A318" s="38">
        <v>-189</v>
      </c>
      <c r="B318" s="51">
        <v>-438.88969024791282</v>
      </c>
      <c r="C318" s="51">
        <v>-42.177073985818375</v>
      </c>
      <c r="D318" s="50">
        <f t="shared" si="36"/>
        <v>185.48923851053215</v>
      </c>
    </row>
    <row r="319" spans="1:4" x14ac:dyDescent="0.25">
      <c r="A319" s="38">
        <v>-190</v>
      </c>
      <c r="B319" s="51">
        <v>-437.04192136695167</v>
      </c>
      <c r="C319" s="51">
        <v>-47.073188906328767</v>
      </c>
      <c r="D319" s="50">
        <f t="shared" si="36"/>
        <v>186.14755043413192</v>
      </c>
    </row>
    <row r="320" spans="1:4" x14ac:dyDescent="0.25">
      <c r="A320" s="37">
        <v>-191</v>
      </c>
      <c r="B320" s="51">
        <v>-435.18767895317507</v>
      </c>
      <c r="C320" s="51">
        <v>-51.907806659842443</v>
      </c>
      <c r="D320" s="50">
        <f t="shared" si="36"/>
        <v>186.80192350593396</v>
      </c>
    </row>
    <row r="321" spans="1:4" x14ac:dyDescent="0.25">
      <c r="A321" s="37">
        <v>-192</v>
      </c>
      <c r="B321" s="51">
        <v>-433.32257974289382</v>
      </c>
      <c r="C321" s="51">
        <v>-56.687984978803769</v>
      </c>
      <c r="D321" s="50">
        <f t="shared" si="36"/>
        <v>187.45320326792051</v>
      </c>
    </row>
    <row r="322" spans="1:4" x14ac:dyDescent="0.25">
      <c r="A322" s="38">
        <v>-193</v>
      </c>
      <c r="B322" s="51">
        <v>-431.4423374304194</v>
      </c>
      <c r="C322" s="51">
        <v>-61.420409499321288</v>
      </c>
      <c r="D322" s="50">
        <f t="shared" ref="D322:D385" si="37">IF(DEGREES(ATAN2(B322,C322))&lt;0,DEGREES(ATAN2(B322,C322))+360,DEGREES(ATAN2(B322,C322)))</f>
        <v>188.1022221394185</v>
      </c>
    </row>
    <row r="323" spans="1:4" x14ac:dyDescent="0.25">
      <c r="A323" s="38">
        <v>-194</v>
      </c>
      <c r="B323" s="51">
        <v>-429.54271454415527</v>
      </c>
      <c r="C323" s="51">
        <v>-66.111440416299828</v>
      </c>
      <c r="D323" s="50">
        <f t="shared" si="37"/>
        <v>188.74980367842187</v>
      </c>
    </row>
    <row r="324" spans="1:4" x14ac:dyDescent="0.25">
      <c r="A324" s="37">
        <v>-195</v>
      </c>
      <c r="B324" s="51">
        <v>-427.61950253310567</v>
      </c>
      <c r="C324" s="51">
        <v>-70.767156384887542</v>
      </c>
      <c r="D324" s="50">
        <f t="shared" si="37"/>
        <v>189.39676659988078</v>
      </c>
    </row>
    <row r="325" spans="1:4" x14ac:dyDescent="0.25">
      <c r="A325" s="37">
        <v>-196</v>
      </c>
      <c r="B325" s="51">
        <v>-426.32950579236251</v>
      </c>
      <c r="C325" s="51">
        <v>-73.841660376797222</v>
      </c>
      <c r="D325" s="50">
        <f t="shared" si="37"/>
        <v>189.82632855079677</v>
      </c>
    </row>
    <row r="326" spans="1:4" x14ac:dyDescent="0.25">
      <c r="A326" s="38">
        <v>-197</v>
      </c>
      <c r="B326" s="51">
        <v>-424.33749850360493</v>
      </c>
      <c r="C326" s="51">
        <v>-78.45075600486598</v>
      </c>
      <c r="D326" s="50">
        <f t="shared" si="37"/>
        <v>190.47447071407311</v>
      </c>
    </row>
    <row r="327" spans="1:4" x14ac:dyDescent="0.25">
      <c r="A327" s="38">
        <v>-198</v>
      </c>
      <c r="B327" s="51">
        <v>-422.30931966064713</v>
      </c>
      <c r="C327" s="51">
        <v>-83.041141463742235</v>
      </c>
      <c r="D327" s="50">
        <f t="shared" si="37"/>
        <v>191.12447368480511</v>
      </c>
    </row>
    <row r="328" spans="1:4" x14ac:dyDescent="0.25">
      <c r="A328" s="37">
        <v>-199</v>
      </c>
      <c r="B328" s="51">
        <v>-418.88507354191586</v>
      </c>
      <c r="C328" s="51">
        <v>-87.301253173019035</v>
      </c>
      <c r="D328" s="50">
        <f t="shared" si="37"/>
        <v>191.77268430903916</v>
      </c>
    </row>
    <row r="329" spans="1:4" x14ac:dyDescent="0.25">
      <c r="A329" s="37">
        <v>-200</v>
      </c>
      <c r="B329" s="51">
        <v>-414.04229171610677</v>
      </c>
      <c r="C329" s="51">
        <v>-91.172584512450783</v>
      </c>
      <c r="D329" s="50">
        <f t="shared" si="37"/>
        <v>192.41841048498375</v>
      </c>
    </row>
    <row r="330" spans="1:4" x14ac:dyDescent="0.25">
      <c r="A330" s="38">
        <v>-201</v>
      </c>
      <c r="B330" s="51">
        <v>-409.25618056603241</v>
      </c>
      <c r="C330" s="51">
        <v>-94.988052087886246</v>
      </c>
      <c r="D330" s="50">
        <f t="shared" si="37"/>
        <v>193.06694706476708</v>
      </c>
    </row>
    <row r="331" spans="1:4" x14ac:dyDescent="0.25">
      <c r="A331" s="38">
        <v>-202</v>
      </c>
      <c r="B331" s="51">
        <v>-404.51762092166621</v>
      </c>
      <c r="C331" s="51">
        <v>-98.754495257352005</v>
      </c>
      <c r="D331" s="50">
        <f t="shared" si="37"/>
        <v>193.71921422809825</v>
      </c>
    </row>
    <row r="332" spans="1:4" x14ac:dyDescent="0.25">
      <c r="A332" s="37">
        <v>-203</v>
      </c>
      <c r="B332" s="51">
        <v>-399.04957346536042</v>
      </c>
      <c r="C332" s="51">
        <v>-103.21017373787951</v>
      </c>
      <c r="D332" s="50">
        <f t="shared" si="37"/>
        <v>194.5012027319589</v>
      </c>
    </row>
    <row r="333" spans="1:4" x14ac:dyDescent="0.25">
      <c r="A333" s="37">
        <v>-204</v>
      </c>
      <c r="B333" s="51">
        <v>-393.44489071424766</v>
      </c>
      <c r="C333" s="51">
        <v>-107.77448336452696</v>
      </c>
      <c r="D333" s="50">
        <f t="shared" si="37"/>
        <v>195.31898545670239</v>
      </c>
    </row>
    <row r="334" spans="1:4" x14ac:dyDescent="0.25">
      <c r="A334" s="38">
        <v>-205</v>
      </c>
      <c r="B334" s="51">
        <v>-387.86041539545903</v>
      </c>
      <c r="C334" s="51">
        <v>-112.2948854619877</v>
      </c>
      <c r="D334" s="50">
        <f t="shared" si="37"/>
        <v>196.14699690061542</v>
      </c>
    </row>
    <row r="335" spans="1:4" x14ac:dyDescent="0.25">
      <c r="A335" s="38">
        <v>-206</v>
      </c>
      <c r="B335" s="51">
        <v>-382.28804618772347</v>
      </c>
      <c r="C335" s="51">
        <v>-116.77717771948952</v>
      </c>
      <c r="D335" s="50">
        <f t="shared" si="37"/>
        <v>196.98629158080294</v>
      </c>
    </row>
    <row r="336" spans="1:4" x14ac:dyDescent="0.25">
      <c r="A336" s="37">
        <v>-207</v>
      </c>
      <c r="B336" s="51">
        <v>-376.25989816166799</v>
      </c>
      <c r="C336" s="51">
        <v>-119.70910011997724</v>
      </c>
      <c r="D336" s="50">
        <f t="shared" si="37"/>
        <v>197.64874718445444</v>
      </c>
    </row>
    <row r="337" spans="1:4" x14ac:dyDescent="0.25">
      <c r="A337" s="37">
        <v>-208</v>
      </c>
      <c r="B337" s="51">
        <v>-370.79752052000578</v>
      </c>
      <c r="C337" s="51">
        <v>-124.05760580981931</v>
      </c>
      <c r="D337" s="50">
        <f t="shared" si="37"/>
        <v>198.49867858581257</v>
      </c>
    </row>
    <row r="338" spans="1:4" x14ac:dyDescent="0.25">
      <c r="A338" s="38">
        <v>-209</v>
      </c>
      <c r="B338" s="51">
        <v>-365.56899306628804</v>
      </c>
      <c r="C338" s="51">
        <v>-128.17284960344386</v>
      </c>
      <c r="D338" s="50">
        <f t="shared" si="37"/>
        <v>199.32127492285443</v>
      </c>
    </row>
    <row r="339" spans="1:4" x14ac:dyDescent="0.25">
      <c r="A339" s="38">
        <v>-210</v>
      </c>
      <c r="B339" s="51">
        <v>-360.53990645766498</v>
      </c>
      <c r="C339" s="51">
        <v>-132.03684266693526</v>
      </c>
      <c r="D339" s="50">
        <f t="shared" si="37"/>
        <v>200.11372953837122</v>
      </c>
    </row>
    <row r="340" spans="1:4" x14ac:dyDescent="0.25">
      <c r="A340" s="37">
        <v>-211</v>
      </c>
      <c r="B340" s="51">
        <v>-355.70078839708111</v>
      </c>
      <c r="C340" s="51">
        <v>-135.69931546950593</v>
      </c>
      <c r="D340" s="50">
        <f t="shared" si="37"/>
        <v>200.88177763867023</v>
      </c>
    </row>
    <row r="341" spans="1:4" x14ac:dyDescent="0.25">
      <c r="A341" s="37">
        <v>-212</v>
      </c>
      <c r="B341" s="51">
        <v>-351.0451657839331</v>
      </c>
      <c r="C341" s="51">
        <v>-139.21011105764174</v>
      </c>
      <c r="D341" s="50">
        <f t="shared" si="37"/>
        <v>201.63124581779869</v>
      </c>
    </row>
    <row r="342" spans="1:4" x14ac:dyDescent="0.25">
      <c r="A342" s="38">
        <v>-213</v>
      </c>
      <c r="B342" s="51">
        <v>-346.55573795032223</v>
      </c>
      <c r="C342" s="51">
        <v>-142.5884250702361</v>
      </c>
      <c r="D342" s="50">
        <f t="shared" si="37"/>
        <v>202.36444267652104</v>
      </c>
    </row>
    <row r="343" spans="1:4" x14ac:dyDescent="0.25">
      <c r="A343" s="38">
        <v>-214</v>
      </c>
      <c r="B343" s="51">
        <v>-342.21687876583655</v>
      </c>
      <c r="C343" s="51">
        <v>-145.85118624454839</v>
      </c>
      <c r="D343" s="50">
        <f t="shared" si="37"/>
        <v>203.083469462285</v>
      </c>
    </row>
    <row r="344" spans="1:4" x14ac:dyDescent="0.25">
      <c r="A344" s="37">
        <v>-215</v>
      </c>
      <c r="B344" s="51">
        <v>-338.01440334740346</v>
      </c>
      <c r="C344" s="51">
        <v>-149.0134260931884</v>
      </c>
      <c r="D344" s="50">
        <f t="shared" si="37"/>
        <v>203.79025208949705</v>
      </c>
    </row>
    <row r="345" spans="1:4" x14ac:dyDescent="0.25">
      <c r="A345" s="37">
        <v>-216</v>
      </c>
      <c r="B345" s="51">
        <v>-333.93534775109475</v>
      </c>
      <c r="C345" s="51">
        <v>-152.08859110815843</v>
      </c>
      <c r="D345" s="50">
        <f t="shared" si="37"/>
        <v>204.48657077550016</v>
      </c>
    </row>
    <row r="346" spans="1:4" x14ac:dyDescent="0.25">
      <c r="A346" s="38">
        <v>-217</v>
      </c>
      <c r="B346" s="51">
        <v>-329.63907668001048</v>
      </c>
      <c r="C346" s="51">
        <v>-155.28196984729286</v>
      </c>
      <c r="D346" s="50">
        <f t="shared" si="37"/>
        <v>205.22356011376482</v>
      </c>
    </row>
    <row r="347" spans="1:4" x14ac:dyDescent="0.25">
      <c r="A347" s="38">
        <v>-218</v>
      </c>
      <c r="B347" s="51">
        <v>-324.70742434946789</v>
      </c>
      <c r="C347" s="51">
        <v>-158.8411226457811</v>
      </c>
      <c r="D347" s="50">
        <f t="shared" si="37"/>
        <v>206.06706169248628</v>
      </c>
    </row>
    <row r="348" spans="1:4" x14ac:dyDescent="0.25">
      <c r="A348" s="37">
        <v>-219</v>
      </c>
      <c r="B348" s="51">
        <v>-319.89454927358969</v>
      </c>
      <c r="C348" s="51">
        <v>-162.32611183215352</v>
      </c>
      <c r="D348" s="50">
        <f t="shared" si="37"/>
        <v>206.90489196634505</v>
      </c>
    </row>
    <row r="349" spans="1:4" x14ac:dyDescent="0.25">
      <c r="A349" s="37">
        <v>-220</v>
      </c>
      <c r="B349" s="51">
        <v>-315.1869324958094</v>
      </c>
      <c r="C349" s="51">
        <v>-165.73884354654959</v>
      </c>
      <c r="D349" s="50">
        <f t="shared" si="37"/>
        <v>207.73732393040117</v>
      </c>
    </row>
    <row r="350" spans="1:4" x14ac:dyDescent="0.25">
      <c r="A350" s="38">
        <v>-221</v>
      </c>
      <c r="B350" s="51">
        <v>-310.5577333614259</v>
      </c>
      <c r="C350" s="51">
        <v>-169.00912134580008</v>
      </c>
      <c r="D350" s="50">
        <f t="shared" si="37"/>
        <v>208.5555451901304</v>
      </c>
    </row>
    <row r="351" spans="1:4" x14ac:dyDescent="0.25">
      <c r="A351" s="38">
        <v>-222</v>
      </c>
      <c r="B351" s="51">
        <v>-306.01279387706154</v>
      </c>
      <c r="C351" s="51">
        <v>-172.22810600195436</v>
      </c>
      <c r="D351" s="50">
        <f t="shared" si="37"/>
        <v>209.37139297619103</v>
      </c>
    </row>
    <row r="352" spans="1:4" x14ac:dyDescent="0.25">
      <c r="A352" s="37">
        <v>-223</v>
      </c>
      <c r="B352" s="51">
        <v>-301.54235920545477</v>
      </c>
      <c r="C352" s="51">
        <v>-175.40495765106064</v>
      </c>
      <c r="D352" s="50">
        <f t="shared" si="37"/>
        <v>210.18624688435182</v>
      </c>
    </row>
    <row r="353" spans="1:4" x14ac:dyDescent="0.25">
      <c r="A353" s="37">
        <v>-224</v>
      </c>
      <c r="B353" s="51">
        <v>-297.13710602320464</v>
      </c>
      <c r="C353" s="51">
        <v>-178.5483351235375</v>
      </c>
      <c r="D353" s="50">
        <f t="shared" si="37"/>
        <v>211.00146627840334</v>
      </c>
    </row>
    <row r="354" spans="1:4" x14ac:dyDescent="0.25">
      <c r="A354" s="38">
        <v>-225</v>
      </c>
      <c r="B354" s="51">
        <v>-292.78805405495211</v>
      </c>
      <c r="C354" s="51">
        <v>-181.66649487773068</v>
      </c>
      <c r="D354" s="50">
        <f t="shared" si="37"/>
        <v>211.81840160348477</v>
      </c>
    </row>
    <row r="355" spans="1:4" x14ac:dyDescent="0.25">
      <c r="A355" s="38">
        <v>-226</v>
      </c>
      <c r="B355" s="51">
        <v>-288.48647920075172</v>
      </c>
      <c r="C355" s="51">
        <v>-184.76737918658065</v>
      </c>
      <c r="D355" s="50">
        <f t="shared" si="37"/>
        <v>212.63840551816378</v>
      </c>
    </row>
    <row r="356" spans="1:4" x14ac:dyDescent="0.25">
      <c r="A356" s="37">
        <v>-227</v>
      </c>
      <c r="B356" s="51">
        <v>-284.22383411938176</v>
      </c>
      <c r="C356" s="51">
        <v>-187.85869978596435</v>
      </c>
      <c r="D356" s="50">
        <f t="shared" si="37"/>
        <v>213.46284398728855</v>
      </c>
    </row>
    <row r="357" spans="1:4" x14ac:dyDescent="0.25">
      <c r="A357" s="37">
        <v>-228</v>
      </c>
      <c r="B357" s="51">
        <v>-279.99168187816372</v>
      </c>
      <c r="C357" s="51">
        <v>-190.94802328902958</v>
      </c>
      <c r="D357" s="50">
        <f t="shared" si="37"/>
        <v>214.29310738605653</v>
      </c>
    </row>
    <row r="358" spans="1:4" x14ac:dyDescent="0.25">
      <c r="A358" s="38">
        <v>-229</v>
      </c>
      <c r="B358" s="51">
        <v>-277.4824169103984</v>
      </c>
      <c r="C358" s="51">
        <v>-193.87676102274514</v>
      </c>
      <c r="D358" s="50">
        <f t="shared" si="37"/>
        <v>214.94197179629739</v>
      </c>
    </row>
    <row r="359" spans="1:4" x14ac:dyDescent="0.25">
      <c r="A359" s="38">
        <v>-230</v>
      </c>
      <c r="B359" s="51">
        <v>-273.28547276827192</v>
      </c>
      <c r="C359" s="51">
        <v>-196.98327939958085</v>
      </c>
      <c r="D359" s="50">
        <f t="shared" si="37"/>
        <v>215.78394054575307</v>
      </c>
    </row>
    <row r="360" spans="1:4" x14ac:dyDescent="0.25">
      <c r="A360" s="37">
        <v>-231</v>
      </c>
      <c r="B360" s="51">
        <v>-269.09394431526795</v>
      </c>
      <c r="C360" s="51">
        <v>-200.11056005480515</v>
      </c>
      <c r="D360" s="50">
        <f t="shared" si="37"/>
        <v>216.63617910328111</v>
      </c>
    </row>
    <row r="361" spans="1:4" x14ac:dyDescent="0.25">
      <c r="A361" s="37">
        <v>-232</v>
      </c>
      <c r="B361" s="51">
        <v>-264.89900430052444</v>
      </c>
      <c r="C361" s="51">
        <v>-203.26629914206964</v>
      </c>
      <c r="D361" s="50">
        <f t="shared" si="37"/>
        <v>217.50029188349689</v>
      </c>
    </row>
    <row r="362" spans="1:4" x14ac:dyDescent="0.25">
      <c r="A362" s="38">
        <v>-233</v>
      </c>
      <c r="B362" s="51">
        <v>-260.69150141901696</v>
      </c>
      <c r="C362" s="51">
        <v>-206.4584212607881</v>
      </c>
      <c r="D362" s="50">
        <f t="shared" si="37"/>
        <v>218.37797484810505</v>
      </c>
    </row>
    <row r="363" spans="1:4" x14ac:dyDescent="0.25">
      <c r="A363" s="38">
        <v>-234</v>
      </c>
      <c r="B363" s="51">
        <v>-256.46184454523137</v>
      </c>
      <c r="C363" s="51">
        <v>-209.69515764455514</v>
      </c>
      <c r="D363" s="50">
        <f t="shared" si="37"/>
        <v>219.27103328418076</v>
      </c>
    </row>
    <row r="364" spans="1:4" x14ac:dyDescent="0.25">
      <c r="A364" s="37">
        <v>-235</v>
      </c>
      <c r="B364" s="51">
        <v>-252.19989585539449</v>
      </c>
      <c r="C364" s="51">
        <v>-212.98514479683854</v>
      </c>
      <c r="D364" s="50">
        <f t="shared" si="37"/>
        <v>220.18140132162375</v>
      </c>
    </row>
    <row r="365" spans="1:4" x14ac:dyDescent="0.25">
      <c r="A365" s="37">
        <v>-236</v>
      </c>
      <c r="B365" s="51">
        <v>-247.89481821571769</v>
      </c>
      <c r="C365" s="51">
        <v>-216.33751465064313</v>
      </c>
      <c r="D365" s="50">
        <f t="shared" si="37"/>
        <v>221.11116494258701</v>
      </c>
    </row>
    <row r="366" spans="1:4" x14ac:dyDescent="0.25">
      <c r="A366" s="38">
        <v>-237</v>
      </c>
      <c r="B366" s="51">
        <v>-243.53491997130044</v>
      </c>
      <c r="C366" s="51">
        <v>-219.76200795834851</v>
      </c>
      <c r="D366" s="50">
        <f t="shared" si="37"/>
        <v>222.062587980193</v>
      </c>
    </row>
    <row r="367" spans="1:4" x14ac:dyDescent="0.25">
      <c r="A367" s="38">
        <v>-238</v>
      </c>
      <c r="B367" s="51">
        <v>-239.10747121836906</v>
      </c>
      <c r="C367" s="51">
        <v>-223.26910178477354</v>
      </c>
      <c r="D367" s="50">
        <f t="shared" si="37"/>
        <v>223.03814229174841</v>
      </c>
    </row>
    <row r="368" spans="1:4" x14ac:dyDescent="0.25">
      <c r="A368" s="37">
        <v>-239</v>
      </c>
      <c r="B368" s="51">
        <v>-234.59847677221484</v>
      </c>
      <c r="C368" s="51">
        <v>-226.87014984247304</v>
      </c>
      <c r="D368" s="50">
        <f t="shared" si="37"/>
        <v>224.04054338743302</v>
      </c>
    </row>
    <row r="369" spans="1:4" x14ac:dyDescent="0.25">
      <c r="A369" s="37">
        <v>-240</v>
      </c>
      <c r="B369" s="51">
        <v>-229.99240766129321</v>
      </c>
      <c r="C369" s="51">
        <v>-230.57754698421343</v>
      </c>
      <c r="D369" s="50">
        <f t="shared" si="37"/>
        <v>225.07279240700427</v>
      </c>
    </row>
    <row r="370" spans="1:4" x14ac:dyDescent="0.25">
      <c r="A370" s="38">
        <v>-241</v>
      </c>
      <c r="B370" s="51">
        <v>-225.27188950961019</v>
      </c>
      <c r="C370" s="51">
        <v>-234.40493031508521</v>
      </c>
      <c r="D370" s="50">
        <f t="shared" si="37"/>
        <v>226.13822544431795</v>
      </c>
    </row>
    <row r="371" spans="1:4" x14ac:dyDescent="0.25">
      <c r="A371" s="38">
        <v>-242</v>
      </c>
      <c r="B371" s="51">
        <v>-220.41729958075385</v>
      </c>
      <c r="C371" s="51">
        <v>-238.36740250268284</v>
      </c>
      <c r="D371" s="50">
        <f t="shared" si="37"/>
        <v>227.24057347054725</v>
      </c>
    </row>
    <row r="372" spans="1:4" x14ac:dyDescent="0.25">
      <c r="A372" s="37">
        <v>-243</v>
      </c>
      <c r="B372" s="51">
        <v>-215.40629110332176</v>
      </c>
      <c r="C372" s="51">
        <v>-242.48181149502815</v>
      </c>
      <c r="D372" s="50">
        <f t="shared" si="37"/>
        <v>228.38403369817323</v>
      </c>
    </row>
    <row r="373" spans="1:4" x14ac:dyDescent="0.25">
      <c r="A373" s="37">
        <v>-244</v>
      </c>
      <c r="B373" s="51">
        <v>-210.21999859417377</v>
      </c>
      <c r="C373" s="51">
        <v>-246.75382733989011</v>
      </c>
      <c r="D373" s="50">
        <f t="shared" si="37"/>
        <v>229.57092160837885</v>
      </c>
    </row>
    <row r="374" spans="1:4" x14ac:dyDescent="0.25">
      <c r="A374" s="38">
        <v>-245</v>
      </c>
      <c r="B374" s="51">
        <v>-205.16521387304843</v>
      </c>
      <c r="C374" s="51">
        <v>-250.55770897656197</v>
      </c>
      <c r="D374" s="50">
        <f t="shared" si="37"/>
        <v>230.68821106971322</v>
      </c>
    </row>
    <row r="375" spans="1:4" x14ac:dyDescent="0.25">
      <c r="A375" s="38">
        <v>-246</v>
      </c>
      <c r="B375" s="51">
        <v>-199.89330583407283</v>
      </c>
      <c r="C375" s="51">
        <v>-254.53905226857805</v>
      </c>
      <c r="D375" s="50">
        <f t="shared" si="37"/>
        <v>231.85692534184219</v>
      </c>
    </row>
    <row r="376" spans="1:4" x14ac:dyDescent="0.25">
      <c r="A376" s="37">
        <v>-247</v>
      </c>
      <c r="B376" s="51">
        <v>-194.48241308024754</v>
      </c>
      <c r="C376" s="51">
        <v>-257.7308508983902</v>
      </c>
      <c r="D376" s="50">
        <f t="shared" si="37"/>
        <v>232.96197799070188</v>
      </c>
    </row>
    <row r="377" spans="1:4" x14ac:dyDescent="0.25">
      <c r="A377" s="37">
        <v>-248</v>
      </c>
      <c r="B377" s="51">
        <v>-188.6480248978269</v>
      </c>
      <c r="C377" s="51">
        <v>-262.13887424160743</v>
      </c>
      <c r="D377" s="50">
        <f t="shared" si="37"/>
        <v>234.25935304270104</v>
      </c>
    </row>
    <row r="378" spans="1:4" x14ac:dyDescent="0.25">
      <c r="A378" s="38">
        <v>-249</v>
      </c>
      <c r="B378" s="51">
        <v>-182.46450596258296</v>
      </c>
      <c r="C378" s="51">
        <v>-266.80627320776159</v>
      </c>
      <c r="D378" s="50">
        <f t="shared" si="37"/>
        <v>235.63240540637563</v>
      </c>
    </row>
    <row r="379" spans="1:4" x14ac:dyDescent="0.25">
      <c r="A379" s="38">
        <v>-250</v>
      </c>
      <c r="B379" s="51">
        <v>-175.86937557613419</v>
      </c>
      <c r="C379" s="51">
        <v>-271.77010608190403</v>
      </c>
      <c r="D379" s="50">
        <f t="shared" si="37"/>
        <v>237.09206287195914</v>
      </c>
    </row>
    <row r="380" spans="1:4" x14ac:dyDescent="0.25">
      <c r="A380" s="37">
        <v>-251</v>
      </c>
      <c r="B380" s="51">
        <v>-169.52367350294944</v>
      </c>
      <c r="C380" s="51">
        <v>-276.44434618007841</v>
      </c>
      <c r="D380" s="50">
        <f t="shared" si="37"/>
        <v>238.48216924806667</v>
      </c>
    </row>
    <row r="381" spans="1:4" x14ac:dyDescent="0.25">
      <c r="A381" s="37">
        <v>-252</v>
      </c>
      <c r="B381" s="51">
        <v>-163.693882559754</v>
      </c>
      <c r="C381" s="51">
        <v>-280.59372927870146</v>
      </c>
      <c r="D381" s="50">
        <f t="shared" si="37"/>
        <v>239.7413983884372</v>
      </c>
    </row>
    <row r="382" spans="1:4" x14ac:dyDescent="0.25">
      <c r="A382" s="38">
        <v>-253</v>
      </c>
      <c r="B382" s="51">
        <v>-157.37348786329676</v>
      </c>
      <c r="C382" s="51">
        <v>-285.0560963131544</v>
      </c>
      <c r="D382" s="50">
        <f t="shared" si="37"/>
        <v>241.09783274483385</v>
      </c>
    </row>
    <row r="383" spans="1:4" x14ac:dyDescent="0.25">
      <c r="A383" s="38">
        <v>-254</v>
      </c>
      <c r="B383" s="51">
        <v>-150.45484596226237</v>
      </c>
      <c r="C383" s="51">
        <v>-289.88469060839026</v>
      </c>
      <c r="D383" s="50">
        <f t="shared" si="37"/>
        <v>242.56995690755454</v>
      </c>
    </row>
    <row r="384" spans="1:4" x14ac:dyDescent="0.25">
      <c r="A384" s="37">
        <v>-255</v>
      </c>
      <c r="B384" s="51">
        <v>-142.97361929134607</v>
      </c>
      <c r="C384" s="51">
        <v>-295.0418984194954</v>
      </c>
      <c r="D384" s="50">
        <f t="shared" si="37"/>
        <v>244.14575111545324</v>
      </c>
    </row>
    <row r="385" spans="1:4" x14ac:dyDescent="0.25">
      <c r="A385" s="37">
        <v>-256</v>
      </c>
      <c r="B385" s="51">
        <v>-135.27849231666085</v>
      </c>
      <c r="C385" s="51">
        <v>-300.31408554940731</v>
      </c>
      <c r="D385" s="50">
        <f t="shared" si="37"/>
        <v>245.75049785732921</v>
      </c>
    </row>
    <row r="386" spans="1:4" x14ac:dyDescent="0.25">
      <c r="A386" s="38">
        <v>-257</v>
      </c>
      <c r="B386" s="51">
        <v>-127.35882717213674</v>
      </c>
      <c r="C386" s="51">
        <v>-305.71284476935301</v>
      </c>
      <c r="D386" s="50">
        <f t="shared" ref="D386:D449" si="38">IF(DEGREES(ATAN2(B386,C386))&lt;0,DEGREES(ATAN2(B386,C386))+360,DEGREES(ATAN2(B386,C386)))</f>
        <v>247.38357249110726</v>
      </c>
    </row>
    <row r="387" spans="1:4" x14ac:dyDescent="0.25">
      <c r="A387" s="38">
        <v>-258</v>
      </c>
      <c r="B387" s="51">
        <v>-119.17966727576736</v>
      </c>
      <c r="C387" s="51">
        <v>-311.26446983114681</v>
      </c>
      <c r="D387" s="50">
        <f t="shared" si="38"/>
        <v>249.04871854202074</v>
      </c>
    </row>
    <row r="388" spans="1:4" x14ac:dyDescent="0.25">
      <c r="A388" s="37">
        <v>-259</v>
      </c>
      <c r="B388" s="51">
        <v>-110.70112026849442</v>
      </c>
      <c r="C388" s="51">
        <v>-316.99817563323143</v>
      </c>
      <c r="D388" s="50">
        <f t="shared" si="38"/>
        <v>250.74993530745769</v>
      </c>
    </row>
    <row r="389" spans="1:4" x14ac:dyDescent="0.25">
      <c r="A389" s="37">
        <v>-260</v>
      </c>
      <c r="B389" s="51">
        <v>-101.39499349962267</v>
      </c>
      <c r="C389" s="51">
        <v>-321.55698344170895</v>
      </c>
      <c r="D389" s="50">
        <f t="shared" si="38"/>
        <v>252.49862791188525</v>
      </c>
    </row>
    <row r="390" spans="1:4" x14ac:dyDescent="0.25">
      <c r="A390" s="38">
        <v>-261</v>
      </c>
      <c r="B390" s="51">
        <v>-91.064310967192711</v>
      </c>
      <c r="C390" s="51">
        <v>-323.93288496645528</v>
      </c>
      <c r="D390" s="50">
        <f t="shared" si="38"/>
        <v>254.29821595601186</v>
      </c>
    </row>
    <row r="391" spans="1:4" x14ac:dyDescent="0.25">
      <c r="A391" s="38">
        <v>-262</v>
      </c>
      <c r="B391" s="51">
        <v>-80.508583669741625</v>
      </c>
      <c r="C391" s="51">
        <v>-326.26939288115756</v>
      </c>
      <c r="D391" s="50">
        <f t="shared" si="38"/>
        <v>256.13888112063603</v>
      </c>
    </row>
    <row r="392" spans="1:4" x14ac:dyDescent="0.25">
      <c r="A392" s="37">
        <v>-263</v>
      </c>
      <c r="B392" s="51">
        <v>-69.694034071328701</v>
      </c>
      <c r="C392" s="51">
        <v>-328.57826433456324</v>
      </c>
      <c r="D392" s="50">
        <f t="shared" si="38"/>
        <v>258.02459937395116</v>
      </c>
    </row>
    <row r="393" spans="1:4" x14ac:dyDescent="0.25">
      <c r="A393" s="37">
        <v>-264</v>
      </c>
      <c r="B393" s="51">
        <v>-58.582478873581721</v>
      </c>
      <c r="C393" s="51">
        <v>-330.87230429441627</v>
      </c>
      <c r="D393" s="50">
        <f t="shared" si="38"/>
        <v>259.95957003199317</v>
      </c>
    </row>
    <row r="394" spans="1:4" x14ac:dyDescent="0.25">
      <c r="A394" s="38">
        <v>-265</v>
      </c>
      <c r="B394" s="51">
        <v>-47.13045781455218</v>
      </c>
      <c r="C394" s="51">
        <v>-333.16571293362415</v>
      </c>
      <c r="D394" s="50">
        <f t="shared" si="38"/>
        <v>261.94822136565705</v>
      </c>
    </row>
    <row r="395" spans="1:4" x14ac:dyDescent="0.25">
      <c r="A395" s="38">
        <v>-266</v>
      </c>
      <c r="B395" s="51">
        <v>-36.671306451739817</v>
      </c>
      <c r="C395" s="51">
        <v>-335.20658501631618</v>
      </c>
      <c r="D395" s="50">
        <f t="shared" si="38"/>
        <v>263.75671984447547</v>
      </c>
    </row>
    <row r="396" spans="1:4" x14ac:dyDescent="0.25">
      <c r="A396" s="37">
        <v>-267</v>
      </c>
      <c r="B396" s="51">
        <v>-27.230202965489685</v>
      </c>
      <c r="C396" s="51">
        <v>-335.79265612706388</v>
      </c>
      <c r="D396" s="50">
        <f t="shared" si="38"/>
        <v>265.36389727053171</v>
      </c>
    </row>
    <row r="397" spans="1:4" x14ac:dyDescent="0.25">
      <c r="A397" s="37">
        <v>-268</v>
      </c>
      <c r="B397" s="51">
        <v>-19.973662381806665</v>
      </c>
      <c r="C397" s="51">
        <v>-336.03581680564452</v>
      </c>
      <c r="D397" s="50">
        <f t="shared" si="38"/>
        <v>266.59839333473076</v>
      </c>
    </row>
    <row r="398" spans="1:4" x14ac:dyDescent="0.25">
      <c r="A398" s="38">
        <v>-269</v>
      </c>
      <c r="B398" s="51">
        <v>-10.193065277364179</v>
      </c>
      <c r="C398" s="51">
        <v>-336.23486765661283</v>
      </c>
      <c r="D398" s="50">
        <f t="shared" si="38"/>
        <v>268.26359230638639</v>
      </c>
    </row>
    <row r="399" spans="1:4" x14ac:dyDescent="0.25">
      <c r="A399" s="38">
        <v>-270</v>
      </c>
      <c r="B399" s="51">
        <v>-1.0230784457877647E-13</v>
      </c>
      <c r="C399" s="51">
        <v>-336.32337040635474</v>
      </c>
      <c r="D399" s="50">
        <f t="shared" si="38"/>
        <v>270</v>
      </c>
    </row>
    <row r="400" spans="1:4" x14ac:dyDescent="0.25">
      <c r="A400" s="37">
        <v>-271</v>
      </c>
      <c r="B400" s="51">
        <v>10.193065277363935</v>
      </c>
      <c r="C400" s="51">
        <v>-336.23486765661306</v>
      </c>
      <c r="D400" s="50">
        <f t="shared" si="38"/>
        <v>271.73640769361361</v>
      </c>
    </row>
    <row r="401" spans="1:4" x14ac:dyDescent="0.25">
      <c r="A401" s="37">
        <v>-272</v>
      </c>
      <c r="B401" s="51">
        <v>19.973662381806985</v>
      </c>
      <c r="C401" s="51">
        <v>-336.03581680564434</v>
      </c>
      <c r="D401" s="50">
        <f t="shared" si="38"/>
        <v>273.4016066652693</v>
      </c>
    </row>
    <row r="402" spans="1:4" x14ac:dyDescent="0.25">
      <c r="A402" s="38">
        <v>-273</v>
      </c>
      <c r="B402" s="51">
        <v>27.230202965489504</v>
      </c>
      <c r="C402" s="51">
        <v>-335.79265612706405</v>
      </c>
      <c r="D402" s="50">
        <f t="shared" si="38"/>
        <v>274.63610272946823</v>
      </c>
    </row>
    <row r="403" spans="1:4" x14ac:dyDescent="0.25">
      <c r="A403" s="38">
        <v>-274</v>
      </c>
      <c r="B403" s="51">
        <v>36.671306451739547</v>
      </c>
      <c r="C403" s="51">
        <v>-335.20658501631658</v>
      </c>
      <c r="D403" s="50">
        <f t="shared" si="38"/>
        <v>276.24328015552447</v>
      </c>
    </row>
    <row r="404" spans="1:4" x14ac:dyDescent="0.25">
      <c r="A404" s="37">
        <v>-275</v>
      </c>
      <c r="B404" s="51">
        <v>47.130457814551946</v>
      </c>
      <c r="C404" s="51">
        <v>-333.16571293362449</v>
      </c>
      <c r="D404" s="50">
        <f t="shared" si="38"/>
        <v>278.0517786343429</v>
      </c>
    </row>
    <row r="405" spans="1:4" x14ac:dyDescent="0.25">
      <c r="A405" s="37">
        <v>-276</v>
      </c>
      <c r="B405" s="51">
        <v>58.582478873581515</v>
      </c>
      <c r="C405" s="51">
        <v>-330.87230429441638</v>
      </c>
      <c r="D405" s="50">
        <f t="shared" si="38"/>
        <v>280.04042996800678</v>
      </c>
    </row>
    <row r="406" spans="1:4" x14ac:dyDescent="0.25">
      <c r="A406" s="38">
        <v>-277</v>
      </c>
      <c r="B406" s="51">
        <v>69.6940340713289</v>
      </c>
      <c r="C406" s="51">
        <v>-328.57826433456302</v>
      </c>
      <c r="D406" s="50">
        <f t="shared" si="38"/>
        <v>281.97540062604889</v>
      </c>
    </row>
    <row r="407" spans="1:4" x14ac:dyDescent="0.25">
      <c r="A407" s="38">
        <v>-278</v>
      </c>
      <c r="B407" s="51">
        <v>80.508583669741455</v>
      </c>
      <c r="C407" s="51">
        <v>-326.26939288115778</v>
      </c>
      <c r="D407" s="50">
        <f t="shared" si="38"/>
        <v>283.86111887936391</v>
      </c>
    </row>
    <row r="408" spans="1:4" x14ac:dyDescent="0.25">
      <c r="A408" s="37">
        <v>-279</v>
      </c>
      <c r="B408" s="51">
        <v>91.064310967192498</v>
      </c>
      <c r="C408" s="51">
        <v>-323.93288496645533</v>
      </c>
      <c r="D408" s="50">
        <f t="shared" si="38"/>
        <v>285.70178404398814</v>
      </c>
    </row>
    <row r="409" spans="1:4" x14ac:dyDescent="0.25">
      <c r="A409" s="37">
        <v>-280</v>
      </c>
      <c r="B409" s="51">
        <v>101.3949934996225</v>
      </c>
      <c r="C409" s="51">
        <v>-321.55698344170941</v>
      </c>
      <c r="D409" s="50">
        <f t="shared" si="38"/>
        <v>287.50137208811469</v>
      </c>
    </row>
    <row r="410" spans="1:4" x14ac:dyDescent="0.25">
      <c r="A410" s="38">
        <v>-281</v>
      </c>
      <c r="B410" s="51">
        <v>110.70112026849476</v>
      </c>
      <c r="C410" s="51">
        <v>-316.99817563323114</v>
      </c>
      <c r="D410" s="50">
        <f t="shared" si="38"/>
        <v>289.25006469254237</v>
      </c>
    </row>
    <row r="411" spans="1:4" x14ac:dyDescent="0.25">
      <c r="A411" s="38">
        <v>-282</v>
      </c>
      <c r="B411" s="51">
        <v>119.17966727576709</v>
      </c>
      <c r="C411" s="51">
        <v>-311.26446983114681</v>
      </c>
      <c r="D411" s="50">
        <f t="shared" si="38"/>
        <v>290.95128145797923</v>
      </c>
    </row>
    <row r="412" spans="1:4" x14ac:dyDescent="0.25">
      <c r="A412" s="37">
        <v>-283</v>
      </c>
      <c r="B412" s="51">
        <v>127.3588271721366</v>
      </c>
      <c r="C412" s="51">
        <v>-305.71284476935301</v>
      </c>
      <c r="D412" s="50">
        <f t="shared" si="38"/>
        <v>292.61642750889274</v>
      </c>
    </row>
    <row r="413" spans="1:4" x14ac:dyDescent="0.25">
      <c r="A413" s="37">
        <v>-284</v>
      </c>
      <c r="B413" s="51">
        <v>135.27849231666065</v>
      </c>
      <c r="C413" s="51">
        <v>-300.31408554940754</v>
      </c>
      <c r="D413" s="50">
        <f t="shared" si="38"/>
        <v>294.24950214267074</v>
      </c>
    </row>
    <row r="414" spans="1:4" x14ac:dyDescent="0.25">
      <c r="A414" s="38">
        <v>-285</v>
      </c>
      <c r="B414" s="51">
        <v>142.9736192913459</v>
      </c>
      <c r="C414" s="51">
        <v>-295.04189841949551</v>
      </c>
      <c r="D414" s="50">
        <f t="shared" si="38"/>
        <v>295.85424888454673</v>
      </c>
    </row>
    <row r="415" spans="1:4" x14ac:dyDescent="0.25">
      <c r="A415" s="38">
        <v>-286</v>
      </c>
      <c r="B415" s="51">
        <v>150.45484596226254</v>
      </c>
      <c r="C415" s="51">
        <v>-289.88469060838986</v>
      </c>
      <c r="D415" s="50">
        <f t="shared" si="38"/>
        <v>297.43004309244554</v>
      </c>
    </row>
    <row r="416" spans="1:4" x14ac:dyDescent="0.25">
      <c r="A416" s="37">
        <v>-287</v>
      </c>
      <c r="B416" s="51">
        <v>157.37348786329656</v>
      </c>
      <c r="C416" s="51">
        <v>-285.05609631315434</v>
      </c>
      <c r="D416" s="50">
        <f t="shared" si="38"/>
        <v>298.90216725516609</v>
      </c>
    </row>
    <row r="417" spans="1:4" x14ac:dyDescent="0.25">
      <c r="A417" s="37">
        <v>-288</v>
      </c>
      <c r="B417" s="51">
        <v>163.69388255975386</v>
      </c>
      <c r="C417" s="51">
        <v>-280.59372927870174</v>
      </c>
      <c r="D417" s="50">
        <f t="shared" si="38"/>
        <v>300.25860161156271</v>
      </c>
    </row>
    <row r="418" spans="1:4" x14ac:dyDescent="0.25">
      <c r="A418" s="38">
        <v>-289</v>
      </c>
      <c r="B418" s="51">
        <v>169.52367350294929</v>
      </c>
      <c r="C418" s="51">
        <v>-276.44434618007864</v>
      </c>
      <c r="D418" s="50">
        <f t="shared" si="38"/>
        <v>301.51783075193327</v>
      </c>
    </row>
    <row r="419" spans="1:4" x14ac:dyDescent="0.25">
      <c r="A419" s="38">
        <v>-290</v>
      </c>
      <c r="B419" s="51">
        <v>175.86937557613439</v>
      </c>
      <c r="C419" s="51">
        <v>-271.77010608190392</v>
      </c>
      <c r="D419" s="50">
        <f t="shared" si="38"/>
        <v>302.90793712804088</v>
      </c>
    </row>
    <row r="420" spans="1:4" x14ac:dyDescent="0.25">
      <c r="A420" s="37">
        <v>-291</v>
      </c>
      <c r="B420" s="51">
        <v>182.4645059625829</v>
      </c>
      <c r="C420" s="51">
        <v>-266.80627320776182</v>
      </c>
      <c r="D420" s="50">
        <f t="shared" si="38"/>
        <v>304.36759459362435</v>
      </c>
    </row>
    <row r="421" spans="1:4" x14ac:dyDescent="0.25">
      <c r="A421" s="37">
        <v>-292</v>
      </c>
      <c r="B421" s="51">
        <v>188.64802489782684</v>
      </c>
      <c r="C421" s="51">
        <v>-262.13887424160754</v>
      </c>
      <c r="D421" s="50">
        <f t="shared" si="38"/>
        <v>305.74064695729896</v>
      </c>
    </row>
    <row r="422" spans="1:4" x14ac:dyDescent="0.25">
      <c r="A422" s="38">
        <v>-293</v>
      </c>
      <c r="B422" s="51">
        <v>194.48241308024745</v>
      </c>
      <c r="C422" s="51">
        <v>-257.73085089839026</v>
      </c>
      <c r="D422" s="50">
        <f t="shared" si="38"/>
        <v>307.03802200929812</v>
      </c>
    </row>
    <row r="423" spans="1:4" x14ac:dyDescent="0.25">
      <c r="A423" s="38">
        <v>-294</v>
      </c>
      <c r="B423" s="51">
        <v>199.89330583407272</v>
      </c>
      <c r="C423" s="51">
        <v>-254.53905226857819</v>
      </c>
      <c r="D423" s="50">
        <f t="shared" si="38"/>
        <v>308.14307465815779</v>
      </c>
    </row>
    <row r="424" spans="1:4" x14ac:dyDescent="0.25">
      <c r="A424" s="37">
        <v>-295</v>
      </c>
      <c r="B424" s="51">
        <v>205.1652138730486</v>
      </c>
      <c r="C424" s="51">
        <v>-250.55770897656188</v>
      </c>
      <c r="D424" s="50">
        <f t="shared" si="38"/>
        <v>309.31178893028681</v>
      </c>
    </row>
    <row r="425" spans="1:4" x14ac:dyDescent="0.25">
      <c r="A425" s="37">
        <v>-296</v>
      </c>
      <c r="B425" s="51">
        <v>210.21999859417375</v>
      </c>
      <c r="C425" s="51">
        <v>-246.75382733989011</v>
      </c>
      <c r="D425" s="50">
        <f t="shared" si="38"/>
        <v>310.42907839162115</v>
      </c>
    </row>
    <row r="426" spans="1:4" x14ac:dyDescent="0.25">
      <c r="A426" s="38">
        <v>-297</v>
      </c>
      <c r="B426" s="51">
        <v>215.40629110332165</v>
      </c>
      <c r="C426" s="51">
        <v>-242.48181149502824</v>
      </c>
      <c r="D426" s="50">
        <f t="shared" si="38"/>
        <v>311.61596630182675</v>
      </c>
    </row>
    <row r="427" spans="1:4" x14ac:dyDescent="0.25">
      <c r="A427" s="38">
        <v>-298</v>
      </c>
      <c r="B427" s="51">
        <v>220.41729958075376</v>
      </c>
      <c r="C427" s="51">
        <v>-238.36740250268284</v>
      </c>
      <c r="D427" s="50">
        <f t="shared" si="38"/>
        <v>312.75942652945275</v>
      </c>
    </row>
    <row r="428" spans="1:4" x14ac:dyDescent="0.25">
      <c r="A428" s="37">
        <v>-299</v>
      </c>
      <c r="B428" s="51">
        <v>225.27188950961033</v>
      </c>
      <c r="C428" s="51">
        <v>-234.40493031508504</v>
      </c>
      <c r="D428" s="50">
        <f t="shared" si="38"/>
        <v>313.86177455568208</v>
      </c>
    </row>
    <row r="429" spans="1:4" x14ac:dyDescent="0.25">
      <c r="A429" s="37">
        <v>-300</v>
      </c>
      <c r="B429" s="51">
        <v>229.99240766129319</v>
      </c>
      <c r="C429" s="51">
        <v>-230.57754698421357</v>
      </c>
      <c r="D429" s="50">
        <f t="shared" si="38"/>
        <v>314.92720759299567</v>
      </c>
    </row>
    <row r="430" spans="1:4" x14ac:dyDescent="0.25">
      <c r="A430" s="38">
        <v>-301</v>
      </c>
      <c r="B430" s="51">
        <v>234.59847677221461</v>
      </c>
      <c r="C430" s="51">
        <v>-226.87014984247304</v>
      </c>
      <c r="D430" s="50">
        <f t="shared" si="38"/>
        <v>315.95945661256695</v>
      </c>
    </row>
    <row r="431" spans="1:4" x14ac:dyDescent="0.25">
      <c r="A431" s="38">
        <v>-302</v>
      </c>
      <c r="B431" s="51">
        <v>239.10747121836897</v>
      </c>
      <c r="C431" s="51">
        <v>-223.26910178477354</v>
      </c>
      <c r="D431" s="50">
        <f t="shared" si="38"/>
        <v>316.96185770825156</v>
      </c>
    </row>
    <row r="432" spans="1:4" x14ac:dyDescent="0.25">
      <c r="A432" s="37">
        <v>-303</v>
      </c>
      <c r="B432" s="51">
        <v>243.53491997130038</v>
      </c>
      <c r="C432" s="51">
        <v>-219.76200795834865</v>
      </c>
      <c r="D432" s="50">
        <f t="shared" si="38"/>
        <v>317.93741201980697</v>
      </c>
    </row>
    <row r="433" spans="1:4" x14ac:dyDescent="0.25">
      <c r="A433" s="37">
        <v>-304</v>
      </c>
      <c r="B433" s="51">
        <v>247.89481821571789</v>
      </c>
      <c r="C433" s="51">
        <v>-216.33751465064307</v>
      </c>
      <c r="D433" s="50">
        <f t="shared" si="38"/>
        <v>318.88883505741302</v>
      </c>
    </row>
    <row r="434" spans="1:4" x14ac:dyDescent="0.25">
      <c r="A434" s="38">
        <v>-305</v>
      </c>
      <c r="B434" s="51">
        <v>252.19989585539435</v>
      </c>
      <c r="C434" s="51">
        <v>-212.98514479683854</v>
      </c>
      <c r="D434" s="50">
        <f t="shared" si="38"/>
        <v>319.81859867837625</v>
      </c>
    </row>
    <row r="435" spans="1:4" x14ac:dyDescent="0.25">
      <c r="A435" s="38">
        <v>-306</v>
      </c>
      <c r="B435" s="51">
        <v>256.4618445452312</v>
      </c>
      <c r="C435" s="51">
        <v>-209.69515764455522</v>
      </c>
      <c r="D435" s="50">
        <f t="shared" si="38"/>
        <v>320.72896671581918</v>
      </c>
    </row>
    <row r="436" spans="1:4" x14ac:dyDescent="0.25">
      <c r="A436" s="37">
        <v>-307</v>
      </c>
      <c r="B436" s="51">
        <v>260.69150141901684</v>
      </c>
      <c r="C436" s="51">
        <v>-206.45842126078819</v>
      </c>
      <c r="D436" s="50">
        <f t="shared" si="38"/>
        <v>321.62202515189495</v>
      </c>
    </row>
    <row r="437" spans="1:4" x14ac:dyDescent="0.25">
      <c r="A437" s="37">
        <v>-308</v>
      </c>
      <c r="B437" s="51">
        <v>264.89900430052478</v>
      </c>
      <c r="C437" s="51">
        <v>-203.26629914206961</v>
      </c>
      <c r="D437" s="50">
        <f t="shared" si="38"/>
        <v>322.49970811650314</v>
      </c>
    </row>
    <row r="438" spans="1:4" x14ac:dyDescent="0.25">
      <c r="A438" s="38">
        <v>-309</v>
      </c>
      <c r="B438" s="51">
        <v>269.09394431526778</v>
      </c>
      <c r="C438" s="51">
        <v>-200.11056005480523</v>
      </c>
      <c r="D438" s="50">
        <f t="shared" si="38"/>
        <v>323.36382089671889</v>
      </c>
    </row>
    <row r="439" spans="1:4" x14ac:dyDescent="0.25">
      <c r="A439" s="38">
        <v>-310</v>
      </c>
      <c r="B439" s="51">
        <v>273.28547276827192</v>
      </c>
      <c r="C439" s="51">
        <v>-196.98327939958091</v>
      </c>
      <c r="D439" s="50">
        <f t="shared" si="38"/>
        <v>324.21605945424693</v>
      </c>
    </row>
    <row r="440" spans="1:4" x14ac:dyDescent="0.25">
      <c r="A440" s="37">
        <v>-311</v>
      </c>
      <c r="B440" s="51">
        <v>277.4824169103984</v>
      </c>
      <c r="C440" s="51">
        <v>-193.87676102274526</v>
      </c>
      <c r="D440" s="50">
        <f t="shared" si="38"/>
        <v>325.05802820370258</v>
      </c>
    </row>
    <row r="441" spans="1:4" x14ac:dyDescent="0.25">
      <c r="A441" s="37">
        <v>-312</v>
      </c>
      <c r="B441" s="51">
        <v>279.99168187816349</v>
      </c>
      <c r="C441" s="51">
        <v>-190.94802328902963</v>
      </c>
      <c r="D441" s="50">
        <f t="shared" si="38"/>
        <v>325.70689261394341</v>
      </c>
    </row>
    <row r="442" spans="1:4" x14ac:dyDescent="0.25">
      <c r="A442" s="38">
        <v>-313</v>
      </c>
      <c r="B442" s="51">
        <v>284.22383411938171</v>
      </c>
      <c r="C442" s="51">
        <v>-187.85869978596432</v>
      </c>
      <c r="D442" s="50">
        <f t="shared" si="38"/>
        <v>326.53715601271142</v>
      </c>
    </row>
    <row r="443" spans="1:4" x14ac:dyDescent="0.25">
      <c r="A443" s="38">
        <v>-314</v>
      </c>
      <c r="B443" s="51">
        <v>288.48647920075177</v>
      </c>
      <c r="C443" s="51">
        <v>-184.76737918658063</v>
      </c>
      <c r="D443" s="50">
        <f t="shared" si="38"/>
        <v>327.36159448183622</v>
      </c>
    </row>
    <row r="444" spans="1:4" x14ac:dyDescent="0.25">
      <c r="A444" s="37">
        <v>-315</v>
      </c>
      <c r="B444" s="51">
        <v>292.78805405495183</v>
      </c>
      <c r="C444" s="51">
        <v>-181.66649487773066</v>
      </c>
      <c r="D444" s="50">
        <f t="shared" si="38"/>
        <v>328.1815983965152</v>
      </c>
    </row>
    <row r="445" spans="1:4" x14ac:dyDescent="0.25">
      <c r="A445" s="37">
        <v>-316</v>
      </c>
      <c r="B445" s="51">
        <v>297.13710602320458</v>
      </c>
      <c r="C445" s="51">
        <v>-178.5483351235375</v>
      </c>
      <c r="D445" s="50">
        <f t="shared" si="38"/>
        <v>328.99853372159663</v>
      </c>
    </row>
    <row r="446" spans="1:4" x14ac:dyDescent="0.25">
      <c r="A446" s="38">
        <v>-317</v>
      </c>
      <c r="B446" s="51">
        <v>301.54235920545477</v>
      </c>
      <c r="C446" s="51">
        <v>-175.40495765106058</v>
      </c>
      <c r="D446" s="50">
        <f t="shared" si="38"/>
        <v>329.81375311564818</v>
      </c>
    </row>
    <row r="447" spans="1:4" x14ac:dyDescent="0.25">
      <c r="A447" s="38">
        <v>-318</v>
      </c>
      <c r="B447" s="51">
        <v>306.0127938770616</v>
      </c>
      <c r="C447" s="51">
        <v>-172.22810600195436</v>
      </c>
      <c r="D447" s="50">
        <f t="shared" si="38"/>
        <v>330.62860702380897</v>
      </c>
    </row>
    <row r="448" spans="1:4" x14ac:dyDescent="0.25">
      <c r="A448" s="37">
        <v>-319</v>
      </c>
      <c r="B448" s="51">
        <v>310.5577333614259</v>
      </c>
      <c r="C448" s="51">
        <v>-169.00912134580017</v>
      </c>
      <c r="D448" s="50">
        <f t="shared" si="38"/>
        <v>331.44445480986957</v>
      </c>
    </row>
    <row r="449" spans="1:4" x14ac:dyDescent="0.25">
      <c r="A449" s="37">
        <v>-320</v>
      </c>
      <c r="B449" s="51">
        <v>315.18693249580934</v>
      </c>
      <c r="C449" s="51">
        <v>-165.73884354654967</v>
      </c>
      <c r="D449" s="50">
        <f t="shared" si="38"/>
        <v>332.2626760695988</v>
      </c>
    </row>
    <row r="450" spans="1:4" x14ac:dyDescent="0.25">
      <c r="A450" s="38">
        <v>-321</v>
      </c>
      <c r="B450" s="51">
        <v>319.89454927358963</v>
      </c>
      <c r="C450" s="51">
        <v>-162.3261118321536</v>
      </c>
      <c r="D450" s="50">
        <f t="shared" ref="D450:D490" si="39">IF(DEGREES(ATAN2(B450,C450))&lt;0,DEGREES(ATAN2(B450,C450))+360,DEGREES(ATAN2(B450,C450)))</f>
        <v>333.09510803365492</v>
      </c>
    </row>
    <row r="451" spans="1:4" x14ac:dyDescent="0.25">
      <c r="A451" s="38">
        <v>-322</v>
      </c>
      <c r="B451" s="51">
        <v>324.70742434946789</v>
      </c>
      <c r="C451" s="51">
        <v>-158.84112264578118</v>
      </c>
      <c r="D451" s="50">
        <f t="shared" si="39"/>
        <v>333.93293830751372</v>
      </c>
    </row>
    <row r="452" spans="1:4" x14ac:dyDescent="0.25">
      <c r="A452" s="37">
        <v>-323</v>
      </c>
      <c r="B452" s="51">
        <v>329.63907668001048</v>
      </c>
      <c r="C452" s="51">
        <v>-155.28196984729277</v>
      </c>
      <c r="D452" s="50">
        <f t="shared" si="39"/>
        <v>334.77643988623521</v>
      </c>
    </row>
    <row r="453" spans="1:4" x14ac:dyDescent="0.25">
      <c r="A453" s="37">
        <v>-324</v>
      </c>
      <c r="B453" s="51">
        <v>333.9353477510947</v>
      </c>
      <c r="C453" s="51">
        <v>-152.08859110815851</v>
      </c>
      <c r="D453" s="50">
        <f t="shared" si="39"/>
        <v>335.51342922449982</v>
      </c>
    </row>
    <row r="454" spans="1:4" x14ac:dyDescent="0.25">
      <c r="A454" s="38">
        <v>-325</v>
      </c>
      <c r="B454" s="51">
        <v>338.0144033474034</v>
      </c>
      <c r="C454" s="51">
        <v>-149.01342609318857</v>
      </c>
      <c r="D454" s="50">
        <f t="shared" si="39"/>
        <v>336.20974791050293</v>
      </c>
    </row>
    <row r="455" spans="1:4" x14ac:dyDescent="0.25">
      <c r="A455" s="38">
        <v>-326</v>
      </c>
      <c r="B455" s="51">
        <v>342.2168787658365</v>
      </c>
      <c r="C455" s="51">
        <v>-145.85118624454827</v>
      </c>
      <c r="D455" s="50">
        <f t="shared" si="39"/>
        <v>336.916530537715</v>
      </c>
    </row>
    <row r="456" spans="1:4" x14ac:dyDescent="0.25">
      <c r="A456" s="37">
        <v>-327</v>
      </c>
      <c r="B456" s="51">
        <v>346.55573795032205</v>
      </c>
      <c r="C456" s="51">
        <v>-142.58842507023601</v>
      </c>
      <c r="D456" s="50">
        <f t="shared" si="39"/>
        <v>337.63555732347896</v>
      </c>
    </row>
    <row r="457" spans="1:4" x14ac:dyDescent="0.25">
      <c r="A457" s="37">
        <v>-328</v>
      </c>
      <c r="B457" s="51">
        <v>351.04516578393316</v>
      </c>
      <c r="C457" s="51">
        <v>-139.21011105764183</v>
      </c>
      <c r="D457" s="50">
        <f t="shared" si="39"/>
        <v>338.36875418220131</v>
      </c>
    </row>
    <row r="458" spans="1:4" x14ac:dyDescent="0.25">
      <c r="A458" s="38">
        <v>-329</v>
      </c>
      <c r="B458" s="51">
        <v>355.70078839708111</v>
      </c>
      <c r="C458" s="51">
        <v>-135.6993154695061</v>
      </c>
      <c r="D458" s="50">
        <f t="shared" si="39"/>
        <v>339.11822236132974</v>
      </c>
    </row>
    <row r="459" spans="1:4" x14ac:dyDescent="0.25">
      <c r="A459" s="38">
        <v>-330</v>
      </c>
      <c r="B459" s="51">
        <v>360.5399064576647</v>
      </c>
      <c r="C459" s="51">
        <v>-132.03684266693534</v>
      </c>
      <c r="D459" s="50">
        <f t="shared" si="39"/>
        <v>339.88627046162873</v>
      </c>
    </row>
    <row r="460" spans="1:4" x14ac:dyDescent="0.25">
      <c r="A460" s="37">
        <v>-331</v>
      </c>
      <c r="B460" s="51">
        <v>365.56899306628799</v>
      </c>
      <c r="C460" s="51">
        <v>-128.17284960344386</v>
      </c>
      <c r="D460" s="50">
        <f t="shared" si="39"/>
        <v>340.67872507714554</v>
      </c>
    </row>
    <row r="461" spans="1:4" x14ac:dyDescent="0.25">
      <c r="A461" s="37">
        <v>-332</v>
      </c>
      <c r="B461" s="51">
        <v>370.79752052000583</v>
      </c>
      <c r="C461" s="51">
        <v>-124.05760580981929</v>
      </c>
      <c r="D461" s="50">
        <f t="shared" si="39"/>
        <v>341.50132141418749</v>
      </c>
    </row>
    <row r="462" spans="1:4" x14ac:dyDescent="0.25">
      <c r="A462" s="38">
        <v>-333</v>
      </c>
      <c r="B462" s="51">
        <v>376.25989816166782</v>
      </c>
      <c r="C462" s="51">
        <v>-119.70910011997734</v>
      </c>
      <c r="D462" s="50">
        <f t="shared" si="39"/>
        <v>342.35125281554554</v>
      </c>
    </row>
    <row r="463" spans="1:4" x14ac:dyDescent="0.25">
      <c r="A463" s="38">
        <v>-334</v>
      </c>
      <c r="B463" s="51">
        <v>382.28804618772335</v>
      </c>
      <c r="C463" s="51">
        <v>-116.77717771948961</v>
      </c>
      <c r="D463" s="50">
        <f t="shared" si="39"/>
        <v>343.01370841919703</v>
      </c>
    </row>
    <row r="464" spans="1:4" x14ac:dyDescent="0.25">
      <c r="A464" s="37">
        <v>-335</v>
      </c>
      <c r="B464" s="51">
        <v>387.86041539545903</v>
      </c>
      <c r="C464" s="51">
        <v>-112.29488546198766</v>
      </c>
      <c r="D464" s="50">
        <f t="shared" si="39"/>
        <v>343.85300309938458</v>
      </c>
    </row>
    <row r="465" spans="1:4" x14ac:dyDescent="0.25">
      <c r="A465" s="37">
        <v>-336</v>
      </c>
      <c r="B465" s="51">
        <v>393.44489071424783</v>
      </c>
      <c r="C465" s="51">
        <v>-107.77448336452693</v>
      </c>
      <c r="D465" s="50">
        <f t="shared" si="39"/>
        <v>344.68101454329764</v>
      </c>
    </row>
    <row r="466" spans="1:4" x14ac:dyDescent="0.25">
      <c r="A466" s="38">
        <v>-337</v>
      </c>
      <c r="B466" s="51">
        <v>399.04957346536031</v>
      </c>
      <c r="C466" s="51">
        <v>-103.21017373787957</v>
      </c>
      <c r="D466" s="50">
        <f t="shared" si="39"/>
        <v>345.49879726804113</v>
      </c>
    </row>
    <row r="467" spans="1:4" x14ac:dyDescent="0.25">
      <c r="A467" s="38">
        <v>-338</v>
      </c>
      <c r="B467" s="51">
        <v>404.51762092166604</v>
      </c>
      <c r="C467" s="51">
        <v>-98.754495257352062</v>
      </c>
      <c r="D467" s="50">
        <f t="shared" si="39"/>
        <v>346.28078577190172</v>
      </c>
    </row>
    <row r="468" spans="1:4" x14ac:dyDescent="0.25">
      <c r="A468" s="37">
        <v>-339</v>
      </c>
      <c r="B468" s="51">
        <v>409.25618056603213</v>
      </c>
      <c r="C468" s="51">
        <v>-94.988052087886302</v>
      </c>
      <c r="D468" s="50">
        <f t="shared" si="39"/>
        <v>346.93305293523292</v>
      </c>
    </row>
    <row r="469" spans="1:4" x14ac:dyDescent="0.25">
      <c r="A469" s="37">
        <v>-340</v>
      </c>
      <c r="B469" s="51">
        <v>414.04229171610677</v>
      </c>
      <c r="C469" s="51">
        <v>-91.172584512450754</v>
      </c>
      <c r="D469" s="50">
        <f t="shared" si="39"/>
        <v>347.58158951501628</v>
      </c>
    </row>
    <row r="470" spans="1:4" x14ac:dyDescent="0.25">
      <c r="A470" s="38">
        <v>-341</v>
      </c>
      <c r="B470" s="51">
        <v>418.88507354191597</v>
      </c>
      <c r="C470" s="51">
        <v>-87.301253173019035</v>
      </c>
      <c r="D470" s="50">
        <f t="shared" si="39"/>
        <v>348.22731569096084</v>
      </c>
    </row>
    <row r="471" spans="1:4" x14ac:dyDescent="0.25">
      <c r="A471" s="38">
        <v>-342</v>
      </c>
      <c r="B471" s="51">
        <v>422.30931966064696</v>
      </c>
      <c r="C471" s="51">
        <v>-83.041141463742306</v>
      </c>
      <c r="D471" s="50">
        <f t="shared" si="39"/>
        <v>348.87552631519486</v>
      </c>
    </row>
    <row r="472" spans="1:4" x14ac:dyDescent="0.25">
      <c r="A472" s="37">
        <v>-343</v>
      </c>
      <c r="B472" s="51">
        <v>424.33749850360459</v>
      </c>
      <c r="C472" s="51">
        <v>-78.450756004866108</v>
      </c>
      <c r="D472" s="50">
        <f t="shared" si="39"/>
        <v>349.52552928592689</v>
      </c>
    </row>
    <row r="473" spans="1:4" x14ac:dyDescent="0.25">
      <c r="A473" s="37">
        <v>-344</v>
      </c>
      <c r="B473" s="51">
        <v>426.32950579236262</v>
      </c>
      <c r="C473" s="51">
        <v>-73.841660376797179</v>
      </c>
      <c r="D473" s="50">
        <f t="shared" si="39"/>
        <v>350.17367144920325</v>
      </c>
    </row>
    <row r="474" spans="1:4" x14ac:dyDescent="0.25">
      <c r="A474" s="38">
        <v>-345</v>
      </c>
      <c r="B474" s="51">
        <v>427.61950253310579</v>
      </c>
      <c r="C474" s="51">
        <v>-70.7671563848875</v>
      </c>
      <c r="D474" s="50">
        <f t="shared" si="39"/>
        <v>350.60323340011922</v>
      </c>
    </row>
    <row r="475" spans="1:4" x14ac:dyDescent="0.25">
      <c r="A475" s="38">
        <v>-346</v>
      </c>
      <c r="B475" s="51">
        <v>429.54271454415533</v>
      </c>
      <c r="C475" s="51">
        <v>-66.111440416299956</v>
      </c>
      <c r="D475" s="50">
        <f t="shared" si="39"/>
        <v>351.25019632157813</v>
      </c>
    </row>
    <row r="476" spans="1:4" x14ac:dyDescent="0.25">
      <c r="A476" s="37">
        <v>-347</v>
      </c>
      <c r="B476" s="51">
        <v>431.4423374304194</v>
      </c>
      <c r="C476" s="51">
        <v>-61.420409499321373</v>
      </c>
      <c r="D476" s="50">
        <f t="shared" si="39"/>
        <v>351.89777786058147</v>
      </c>
    </row>
    <row r="477" spans="1:4" x14ac:dyDescent="0.25">
      <c r="A477" s="37">
        <v>-348</v>
      </c>
      <c r="B477" s="51">
        <v>433.32257974289377</v>
      </c>
      <c r="C477" s="51">
        <v>-56.687984978803875</v>
      </c>
      <c r="D477" s="50">
        <f t="shared" si="39"/>
        <v>352.54679673207943</v>
      </c>
    </row>
    <row r="478" spans="1:4" x14ac:dyDescent="0.25">
      <c r="A478" s="38">
        <v>-349</v>
      </c>
      <c r="B478" s="51">
        <v>435.18767895317495</v>
      </c>
      <c r="C478" s="51">
        <v>-51.907806659842407</v>
      </c>
      <c r="D478" s="50">
        <f t="shared" si="39"/>
        <v>353.19807649406607</v>
      </c>
    </row>
    <row r="479" spans="1:4" x14ac:dyDescent="0.25">
      <c r="A479" s="38">
        <v>-350</v>
      </c>
      <c r="B479" s="51">
        <v>437.04192136695173</v>
      </c>
      <c r="C479" s="51">
        <v>-47.073188906328767</v>
      </c>
      <c r="D479" s="50">
        <f t="shared" si="39"/>
        <v>353.85244956586808</v>
      </c>
    </row>
    <row r="480" spans="1:4" x14ac:dyDescent="0.25">
      <c r="A480" s="37">
        <v>-351</v>
      </c>
      <c r="B480" s="51">
        <v>438.88969024791265</v>
      </c>
      <c r="C480" s="51">
        <v>-42.177073985818488</v>
      </c>
      <c r="D480" s="50">
        <f t="shared" si="39"/>
        <v>354.51076148946782</v>
      </c>
    </row>
    <row r="481" spans="1:4" x14ac:dyDescent="0.25">
      <c r="A481" s="37">
        <v>-352</v>
      </c>
      <c r="B481" s="51">
        <v>440.73548455083341</v>
      </c>
      <c r="C481" s="51">
        <v>-37.211977676290864</v>
      </c>
      <c r="D481" s="50">
        <f t="shared" si="39"/>
        <v>355.17387509888829</v>
      </c>
    </row>
    <row r="482" spans="1:4" x14ac:dyDescent="0.25">
      <c r="A482" s="38">
        <v>-353</v>
      </c>
      <c r="B482" s="51">
        <v>442.58397948835307</v>
      </c>
      <c r="C482" s="51">
        <v>-32.169931776066534</v>
      </c>
      <c r="D482" s="50">
        <f t="shared" si="39"/>
        <v>355.84267491425692</v>
      </c>
    </row>
    <row r="483" spans="1:4" x14ac:dyDescent="0.25">
      <c r="A483" s="38">
        <v>-354</v>
      </c>
      <c r="B483" s="51">
        <v>444.4400280989733</v>
      </c>
      <c r="C483" s="51">
        <v>-27.042413366685356</v>
      </c>
      <c r="D483" s="50">
        <f t="shared" si="39"/>
        <v>356.51807175613015</v>
      </c>
    </row>
    <row r="484" spans="1:4" x14ac:dyDescent="0.25">
      <c r="A484" s="37">
        <v>-355</v>
      </c>
      <c r="B484" s="51">
        <v>445.88938503385026</v>
      </c>
      <c r="C484" s="51">
        <v>-22.196162073417963</v>
      </c>
      <c r="D484" s="50">
        <f t="shared" si="39"/>
        <v>357.15019566088455</v>
      </c>
    </row>
    <row r="485" spans="1:4" x14ac:dyDescent="0.25">
      <c r="A485" s="37">
        <v>-356</v>
      </c>
      <c r="B485" s="51">
        <v>446.58319968677853</v>
      </c>
      <c r="C485" s="51">
        <v>-17.936497800120364</v>
      </c>
      <c r="D485" s="50">
        <f t="shared" si="39"/>
        <v>357.70001746634182</v>
      </c>
    </row>
    <row r="486" spans="1:4" x14ac:dyDescent="0.25">
      <c r="A486" s="38">
        <v>-357</v>
      </c>
      <c r="B486" s="51">
        <v>447.2556724964773</v>
      </c>
      <c r="C486" s="51">
        <v>-13.597773778352682</v>
      </c>
      <c r="D486" s="50">
        <f t="shared" si="39"/>
        <v>358.25859081512374</v>
      </c>
    </row>
    <row r="487" spans="1:4" x14ac:dyDescent="0.25">
      <c r="A487" s="38">
        <v>-358</v>
      </c>
      <c r="B487" s="51">
        <v>447.90988586880479</v>
      </c>
      <c r="C487" s="51">
        <v>-9.1698488256299573</v>
      </c>
      <c r="D487" s="50">
        <f t="shared" si="39"/>
        <v>358.82717423811096</v>
      </c>
    </row>
    <row r="488" spans="1:4" x14ac:dyDescent="0.25">
      <c r="A488" s="37">
        <v>-359</v>
      </c>
      <c r="B488" s="51">
        <v>448.54912822812827</v>
      </c>
      <c r="C488" s="51">
        <v>-4.641456248967943</v>
      </c>
      <c r="D488" s="50">
        <f t="shared" si="39"/>
        <v>359.40714105538899</v>
      </c>
    </row>
    <row r="489" spans="1:4" x14ac:dyDescent="0.25">
      <c r="A489" s="37">
        <v>-360</v>
      </c>
      <c r="B489" s="51">
        <v>449.17699700282668</v>
      </c>
      <c r="C489" s="51">
        <v>-1.100617007717014E-13</v>
      </c>
      <c r="D489" s="50">
        <f t="shared" si="39"/>
        <v>360</v>
      </c>
    </row>
    <row r="490" spans="1:4" x14ac:dyDescent="0.25">
      <c r="A490" s="39"/>
      <c r="B490" s="51">
        <f>B129</f>
        <v>449.17699700282668</v>
      </c>
      <c r="C490" s="51">
        <f>C129</f>
        <v>0</v>
      </c>
      <c r="D490" s="50">
        <f t="shared" si="39"/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nteraction_button" altText="Attempt to Find_x000a_Interaction point for Goal_x000a_(Form Button)">
                <anchor moveWithCells="1" sizeWithCells="1">
                  <from>
                    <xdr:col>0</xdr:col>
                    <xdr:colOff>771525</xdr:colOff>
                    <xdr:row>121</xdr:row>
                    <xdr:rowOff>66675</xdr:rowOff>
                  </from>
                  <to>
                    <xdr:col>2</xdr:col>
                    <xdr:colOff>885825</xdr:colOff>
                    <xdr:row>126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mx_my">
                <anchor moveWithCells="1" sizeWithCells="1">
                  <from>
                    <xdr:col>3</xdr:col>
                    <xdr:colOff>76200</xdr:colOff>
                    <xdr:row>121</xdr:row>
                    <xdr:rowOff>47625</xdr:rowOff>
                  </from>
                  <to>
                    <xdr:col>5</xdr:col>
                    <xdr:colOff>1152525</xdr:colOff>
                    <xdr:row>126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p_m_curve">
                <anchor moveWithCells="1" sizeWithCells="1">
                  <from>
                    <xdr:col>9</xdr:col>
                    <xdr:colOff>542925</xdr:colOff>
                    <xdr:row>121</xdr:row>
                    <xdr:rowOff>152400</xdr:rowOff>
                  </from>
                  <to>
                    <xdr:col>13</xdr:col>
                    <xdr:colOff>342900</xdr:colOff>
                    <xdr:row>125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fill_in_bar_table">
                <anchor moveWithCells="1" sizeWithCells="1">
                  <from>
                    <xdr:col>18</xdr:col>
                    <xdr:colOff>180975</xdr:colOff>
                    <xdr:row>20</xdr:row>
                    <xdr:rowOff>95250</xdr:rowOff>
                  </from>
                  <to>
                    <xdr:col>19</xdr:col>
                    <xdr:colOff>819150</xdr:colOff>
                    <xdr:row>23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438B661-79DD-4D10-A44E-D95D17099999}">
          <x14:formula1>
            <xm:f>Reference!$A$1:$A$12</xm:f>
          </x14:formula1>
          <xm:sqref>B13:B24 S5 S3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239C7-1FB1-47D1-ABA5-3A9CFB83700E}">
  <sheetPr codeName="Sheet2"/>
  <dimension ref="A1:C12"/>
  <sheetViews>
    <sheetView workbookViewId="0">
      <selection activeCell="B9" sqref="B9"/>
    </sheetView>
  </sheetViews>
  <sheetFormatPr defaultColWidth="8.85546875" defaultRowHeight="15" x14ac:dyDescent="0.25"/>
  <sheetData>
    <row r="1" spans="1:3" x14ac:dyDescent="0.25">
      <c r="A1">
        <v>0</v>
      </c>
      <c r="B1">
        <v>0</v>
      </c>
      <c r="C1">
        <v>0</v>
      </c>
    </row>
    <row r="2" spans="1:3" x14ac:dyDescent="0.25">
      <c r="A2">
        <v>3</v>
      </c>
      <c r="B2">
        <v>0.375</v>
      </c>
      <c r="C2">
        <v>0.11</v>
      </c>
    </row>
    <row r="3" spans="1:3" x14ac:dyDescent="0.25">
      <c r="A3">
        <v>4</v>
      </c>
      <c r="B3">
        <v>0.5</v>
      </c>
      <c r="C3">
        <v>0.2</v>
      </c>
    </row>
    <row r="4" spans="1:3" x14ac:dyDescent="0.25">
      <c r="A4">
        <v>5</v>
      </c>
      <c r="B4">
        <v>0.625</v>
      </c>
      <c r="C4">
        <v>0.31</v>
      </c>
    </row>
    <row r="5" spans="1:3" x14ac:dyDescent="0.25">
      <c r="A5">
        <v>6</v>
      </c>
      <c r="B5">
        <v>0.75</v>
      </c>
      <c r="C5">
        <v>0.44</v>
      </c>
    </row>
    <row r="6" spans="1:3" x14ac:dyDescent="0.25">
      <c r="A6">
        <v>7</v>
      </c>
      <c r="B6">
        <v>0.875</v>
      </c>
      <c r="C6">
        <v>0.6</v>
      </c>
    </row>
    <row r="7" spans="1:3" x14ac:dyDescent="0.25">
      <c r="A7">
        <v>8</v>
      </c>
      <c r="B7">
        <v>1</v>
      </c>
      <c r="C7">
        <v>0.79</v>
      </c>
    </row>
    <row r="8" spans="1:3" x14ac:dyDescent="0.25">
      <c r="A8">
        <v>9</v>
      </c>
      <c r="B8">
        <v>1.1279999999999999</v>
      </c>
      <c r="C8">
        <v>1</v>
      </c>
    </row>
    <row r="9" spans="1:3" x14ac:dyDescent="0.25">
      <c r="A9">
        <v>10</v>
      </c>
      <c r="B9">
        <v>1.27</v>
      </c>
      <c r="C9">
        <v>1.27</v>
      </c>
    </row>
    <row r="10" spans="1:3" x14ac:dyDescent="0.25">
      <c r="A10">
        <v>11</v>
      </c>
      <c r="B10">
        <v>1.41</v>
      </c>
      <c r="C10">
        <v>1.56</v>
      </c>
    </row>
    <row r="11" spans="1:3" x14ac:dyDescent="0.25">
      <c r="A11">
        <v>14</v>
      </c>
      <c r="B11">
        <v>1.6930000000000001</v>
      </c>
      <c r="C11">
        <v>2.25</v>
      </c>
    </row>
    <row r="12" spans="1:3" x14ac:dyDescent="0.25">
      <c r="A12">
        <v>18</v>
      </c>
      <c r="B12">
        <v>2.2570000000000001</v>
      </c>
      <c r="C12">
        <v>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02293755B0C1C458CEABDE3487C809F" ma:contentTypeVersion="11" ma:contentTypeDescription="Create a new document." ma:contentTypeScope="" ma:versionID="17b1a2cd11f8f5d6d4f3bb7988a2da44">
  <xsd:schema xmlns:xsd="http://www.w3.org/2001/XMLSchema" xmlns:xs="http://www.w3.org/2001/XMLSchema" xmlns:p="http://schemas.microsoft.com/office/2006/metadata/properties" xmlns:ns2="e084eb51-e41f-419d-868e-d827d41fdf42" xmlns:ns3="a54a5347-8adb-4f47-b158-08c1baf179b6" targetNamespace="http://schemas.microsoft.com/office/2006/metadata/properties" ma:root="true" ma:fieldsID="747251f9c5377854abca8fc51c5615ab" ns2:_="" ns3:_="">
    <xsd:import namespace="e084eb51-e41f-419d-868e-d827d41fdf42"/>
    <xsd:import namespace="a54a5347-8adb-4f47-b158-08c1baf179b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084eb51-e41f-419d-868e-d827d41fdf4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4a5347-8adb-4f47-b158-08c1baf179b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9A6B3A5-42BC-4C96-82C2-CE544D769DC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13D28E3-3597-4BD9-87AD-5985392E30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084eb51-e41f-419d-868e-d827d41fdf42"/>
    <ds:schemaRef ds:uri="a54a5347-8adb-4f47-b158-08c1baf17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4D90F7A-FC30-45D5-8F55-850AABE4945A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Cross Section Analysis</vt:lpstr>
      <vt:lpstr>Reference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 Bockoven</dc:creator>
  <cp:lastModifiedBy>Don Bockoven</cp:lastModifiedBy>
  <dcterms:created xsi:type="dcterms:W3CDTF">2020-01-14T22:46:38Z</dcterms:created>
  <dcterms:modified xsi:type="dcterms:W3CDTF">2020-01-21T22:22:42Z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0x010100D02293755B0C1C458CEABDE3487C809F</vt:lpwstr>
  </property>
</Properties>
</file>