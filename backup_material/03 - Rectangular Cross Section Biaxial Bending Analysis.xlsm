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wnloads/"/>
    </mc:Choice>
  </mc:AlternateContent>
  <xr:revisionPtr revIDLastSave="0" documentId="13_ncr:1_{BE5C26FE-DDD7-7545-957B-2B1A27B18E44}" xr6:coauthVersionLast="45" xr6:coauthVersionMax="45" xr10:uidLastSave="{00000000-0000-0000-0000-000000000000}"/>
  <bookViews>
    <workbookView xWindow="0" yWindow="440" windowWidth="25600" windowHeight="1452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14" i="1" l="1"/>
  <c r="X115" i="1"/>
  <c r="D120" i="1"/>
  <c r="B121" i="1" l="1"/>
  <c r="X138" i="1" l="1"/>
  <c r="W136" i="1"/>
  <c r="V133" i="1"/>
  <c r="X133" i="1"/>
  <c r="X130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Q123" i="1" l="1"/>
  <c r="Q122" i="1"/>
  <c r="E120" i="1"/>
  <c r="R122" i="1" s="1"/>
  <c r="C490" i="1" l="1"/>
  <c r="B490" i="1"/>
  <c r="D490" i="1" l="1"/>
  <c r="C35" i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V113" i="1" s="1"/>
  <c r="X113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Q129" i="1" l="1"/>
  <c r="F75" i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G3" i="1" l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L119" i="1" l="1"/>
  <c r="W113" i="1"/>
  <c r="Y133" i="1"/>
  <c r="F114" i="1"/>
  <c r="H114" i="1" s="1"/>
  <c r="J114" i="1" s="1"/>
  <c r="W114" i="1" s="1"/>
  <c r="F115" i="1"/>
  <c r="H115" i="1" s="1"/>
  <c r="J115" i="1" s="1"/>
  <c r="W115" i="1" s="1"/>
  <c r="X116" i="1" s="1"/>
  <c r="W116" i="1" l="1"/>
  <c r="N115" i="1"/>
  <c r="Y134" i="1"/>
  <c r="M117" i="1"/>
  <c r="I125" i="1"/>
  <c r="H125" i="1"/>
  <c r="Y136" i="1" l="1" a="1"/>
  <c r="Y136" i="1" s="1"/>
  <c r="Y138" i="1" s="1"/>
  <c r="R123" i="1"/>
  <c r="M119" i="1"/>
  <c r="Y137" i="1" l="1"/>
  <c r="Y13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<sst xmlns="http://schemas.openxmlformats.org/spreadsheetml/2006/main" count="156" uniqueCount="109">
  <si>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</si>
  <si>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</si>
  <si>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</si>
  <si>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</si>
  <si>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</si>
  <si>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</si>
  <si>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</si>
  <si>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</si>
  <si>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</si>
  <si>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</si>
  <si>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</si>
  <si>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</si>
  <si>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</si>
  <si>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</si>
  <si>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</si>
  <si>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</si>
  <si>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</si>
  <si>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</si>
  <si>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</si>
  <si>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</si>
  <si>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</si>
  <si>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</si>
  <si>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</si>
  <si>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</si>
  <si>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</si>
  <si>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</si>
  <si>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</si>
  <si>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</si>
  <si>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</si>
  <si>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</si>
  <si>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</si>
  <si>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</si>
  <si>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</si>
  <si>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</si>
  <si>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</si>
  <si>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</si>
  <si>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</si>
  <si>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</si>
  <si>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</si>
  <si>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</si>
  <si>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</si>
  <si>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</si>
  <si>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</si>
  <si>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</si>
  <si>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</si>
  <si>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</si>
  <si>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</si>
  <si>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</si>
  <si>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</si>
  <si>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</si>
  <si>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</si>
  <si>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</si>
  <si>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</si>
  <si>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</si>
  <si>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</si>
  <si>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</si>
  <si>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</si>
  <si>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</si>
  <si>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</si>
  <si>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</si>
  <si>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</si>
  <si>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</si>
  <si>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</si>
  <si>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</si>
  <si>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</si>
  <si>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</si>
  <si>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</si>
  <si>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</si>
  <si>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</si>
  <si>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</si>
  <si>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</si>
  <si>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</si>
  <si>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</si>
  <si>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</si>
  <si>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</si>
  <si>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</si>
  <si>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</si>
  <si>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</si>
  <si>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</si>
  <si>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</si>
  <si>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</si>
  <si>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</si>
  <si>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</si>
  <si>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</si>
  <si>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</si>
  <si>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</si>
  <si>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</si>
  <si>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</si>
  <si>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</si>
  <si>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</si>
  <si>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</si>
  <si>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</si>
  <si>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</si>
  <si>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</si>
  <si>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Newton-Raphson Approach:</t>
  </si>
  <si>
    <t>dp/dna_d</t>
  </si>
  <si>
    <t>dM/dna_d</t>
  </si>
  <si>
    <t>dp/dna_a</t>
  </si>
  <si>
    <t>dM/dna_a</t>
  </si>
  <si>
    <t>Partial Derivative Matrix, J</t>
  </si>
  <si>
    <t>=</t>
  </si>
  <si>
    <t>new angle</t>
  </si>
  <si>
    <t>new depth</t>
  </si>
  <si>
    <t>delta</t>
  </si>
  <si>
    <t>run macro to populate below</t>
  </si>
  <si>
    <t>Coordinate Transfermation to account for skewed tension zone</t>
  </si>
  <si>
    <t>Pn,shift</t>
  </si>
  <si>
    <t>Mx,shift</t>
  </si>
  <si>
    <t>My,shift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</si>
</sst>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6" fontId="0" fillId="0" borderId="0" xfId="0" applyNumberFormat="1"/>
    <xf numFmtId="0" fontId="0" fillId="0" borderId="9" xfId="0" applyBorder="1"/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/>
    <xf numFmtId="0" fontId="0" fillId="0" borderId="10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16.478588959156042</c:v>
                </c:pt>
                <c:pt idx="1">
                  <c:v>13.680714026347747</c:v>
                </c:pt>
                <c:pt idx="2">
                  <c:v>-16.024281608828112</c:v>
                </c:pt>
                <c:pt idx="3">
                  <c:v>-13.226406676019815</c:v>
                </c:pt>
                <c:pt idx="4">
                  <c:v>16.478588959156042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-7.7711660479536047</c:v>
                </c:pt>
                <c:pt idx="1">
                  <c:v>12.032164375496967</c:v>
                </c:pt>
                <c:pt idx="2">
                  <c:v>7.8353519762845227</c:v>
                </c:pt>
                <c:pt idx="3">
                  <c:v>-11.967978447166049</c:v>
                </c:pt>
                <c:pt idx="4">
                  <c:v>-7.7711660479536047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11.958347887904269</c:v>
                </c:pt>
                <c:pt idx="1">
                  <c:v>10.279622928219291</c:v>
                </c:pt>
                <c:pt idx="2">
                  <c:v>-9.8253155778913595</c:v>
                </c:pt>
                <c:pt idx="3">
                  <c:v>-10.664678057733848</c:v>
                </c:pt>
                <c:pt idx="4">
                  <c:v>-11.504040537576337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-4.3700749498251499</c:v>
                </c:pt>
                <c:pt idx="1">
                  <c:v>7.5119233042451929</c:v>
                </c:pt>
                <c:pt idx="2">
                  <c:v>-7.4477373759142758</c:v>
                </c:pt>
                <c:pt idx="3">
                  <c:v>-1.5067382488791039</c:v>
                </c:pt>
                <c:pt idx="4">
                  <c:v>4.4342608781560671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-16.024281608828112</c:v>
                </c:pt>
                <c:pt idx="1">
                  <c:v>16.478588959156042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6.8626453732749884</c:v>
                </c:pt>
                <c:pt idx="1">
                  <c:v>6.8626453732749884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-16.024281608828112</c:v>
                </c:pt>
                <c:pt idx="1">
                  <c:v>16.478588959156042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7.896549173719384</c:v>
                </c:pt>
                <c:pt idx="1">
                  <c:v>7.896549173719384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14.265006357858431</c:v>
                </c:pt>
                <c:pt idx="1">
                  <c:v>-15.591128465497551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7.896549173719384</c:v>
                </c:pt>
                <c:pt idx="1">
                  <c:v>7.896549173719384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16.478588959156042</c:v>
                </c:pt>
                <c:pt idx="1">
                  <c:v>-16.478588959156042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16.478588959156042</c:v>
                </c:pt>
                <c:pt idx="1">
                  <c:v>-16.478588959156042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576.12090015198407</c:v>
                </c:pt>
                <c:pt idx="1">
                  <c:v>576.04553744692089</c:v>
                </c:pt>
                <c:pt idx="2">
                  <c:v>575.90672906296425</c:v>
                </c:pt>
                <c:pt idx="3">
                  <c:v>575.70415535616348</c:v>
                </c:pt>
                <c:pt idx="4">
                  <c:v>575.4373380958591</c:v>
                </c:pt>
                <c:pt idx="5">
                  <c:v>575.10564931366036</c:v>
                </c:pt>
                <c:pt idx="6">
                  <c:v>574.70829584322269</c:v>
                </c:pt>
                <c:pt idx="7">
                  <c:v>574.43286684250847</c:v>
                </c:pt>
                <c:pt idx="8">
                  <c:v>573.90492805568499</c:v>
                </c:pt>
                <c:pt idx="9">
                  <c:v>573.30785080143198</c:v>
                </c:pt>
                <c:pt idx="10">
                  <c:v>572.64015920214695</c:v>
                </c:pt>
                <c:pt idx="11">
                  <c:v>571.90018828120185</c:v>
                </c:pt>
                <c:pt idx="12">
                  <c:v>571.08607468924242</c:v>
                </c:pt>
                <c:pt idx="13">
                  <c:v>570.19574575351157</c:v>
                </c:pt>
                <c:pt idx="14">
                  <c:v>569.22690577391131</c:v>
                </c:pt>
                <c:pt idx="15">
                  <c:v>568.17702648167437</c:v>
                </c:pt>
                <c:pt idx="16">
                  <c:v>567.04332826833968</c:v>
                </c:pt>
                <c:pt idx="17">
                  <c:v>565.82277189778131</c:v>
                </c:pt>
                <c:pt idx="18">
                  <c:v>564.51202686439808</c:v>
                </c:pt>
                <c:pt idx="19">
                  <c:v>563.10746313222921</c:v>
                </c:pt>
                <c:pt idx="20">
                  <c:v>561.60512778794816</c:v>
                </c:pt>
                <c:pt idx="21">
                  <c:v>560.00071215869639</c:v>
                </c:pt>
                <c:pt idx="22">
                  <c:v>558.28952955649186</c:v>
                </c:pt>
                <c:pt idx="23">
                  <c:v>556.46648398108414</c:v>
                </c:pt>
                <c:pt idx="24">
                  <c:v>554.52603551348454</c:v>
                </c:pt>
                <c:pt idx="25">
                  <c:v>552.46215850035549</c:v>
                </c:pt>
                <c:pt idx="26">
                  <c:v>550.28413226852911</c:v>
                </c:pt>
                <c:pt idx="27">
                  <c:v>548.08734623550743</c:v>
                </c:pt>
                <c:pt idx="28">
                  <c:v>545.88528186780582</c:v>
                </c:pt>
                <c:pt idx="29">
                  <c:v>543.6736945965913</c:v>
                </c:pt>
                <c:pt idx="30">
                  <c:v>541.44849852288473</c:v>
                </c:pt>
                <c:pt idx="31">
                  <c:v>537.40835225368903</c:v>
                </c:pt>
                <c:pt idx="32">
                  <c:v>532.4337063024293</c:v>
                </c:pt>
                <c:pt idx="33">
                  <c:v>527.57245906327114</c:v>
                </c:pt>
                <c:pt idx="34">
                  <c:v>522.81131918529047</c:v>
                </c:pt>
                <c:pt idx="35">
                  <c:v>518.13798493365141</c:v>
                </c:pt>
                <c:pt idx="36">
                  <c:v>513.54099296059314</c:v>
                </c:pt>
                <c:pt idx="37">
                  <c:v>509.00958114005533</c:v>
                </c:pt>
                <c:pt idx="38">
                  <c:v>504.53357290347407</c:v>
                </c:pt>
                <c:pt idx="39">
                  <c:v>500.10326981807327</c:v>
                </c:pt>
                <c:pt idx="40">
                  <c:v>495.70935628244473</c:v>
                </c:pt>
                <c:pt idx="41">
                  <c:v>491.34280736162145</c:v>
                </c:pt>
                <c:pt idx="42">
                  <c:v>486.9948114723876</c:v>
                </c:pt>
                <c:pt idx="43">
                  <c:v>482.65668493964404</c:v>
                </c:pt>
                <c:pt idx="44">
                  <c:v>478.31979918871394</c:v>
                </c:pt>
                <c:pt idx="45">
                  <c:v>471.3323006077577</c:v>
                </c:pt>
                <c:pt idx="46">
                  <c:v>464.25972081352813</c:v>
                </c:pt>
                <c:pt idx="47">
                  <c:v>457.25785418921697</c:v>
                </c:pt>
                <c:pt idx="48">
                  <c:v>450.31248024999837</c:v>
                </c:pt>
                <c:pt idx="49">
                  <c:v>443.40948654137816</c:v>
                </c:pt>
                <c:pt idx="50">
                  <c:v>436.53473969687906</c:v>
                </c:pt>
                <c:pt idx="51">
                  <c:v>432.70566069133099</c:v>
                </c:pt>
                <c:pt idx="52">
                  <c:v>425.84220083626593</c:v>
                </c:pt>
                <c:pt idx="53">
                  <c:v>418.96468208420072</c:v>
                </c:pt>
                <c:pt idx="54">
                  <c:v>412.05752118728748</c:v>
                </c:pt>
                <c:pt idx="55">
                  <c:v>405.10435120883847</c:v>
                </c:pt>
                <c:pt idx="56">
                  <c:v>398.08781162530516</c:v>
                </c:pt>
                <c:pt idx="57">
                  <c:v>390.98931427913152</c:v>
                </c:pt>
                <c:pt idx="58">
                  <c:v>383.78876686026962</c:v>
                </c:pt>
                <c:pt idx="59">
                  <c:v>376.46425212120528</c:v>
                </c:pt>
                <c:pt idx="60">
                  <c:v>368.99164319425751</c:v>
                </c:pt>
                <c:pt idx="61">
                  <c:v>361.34414638595598</c:v>
                </c:pt>
                <c:pt idx="62">
                  <c:v>353.49174548759657</c:v>
                </c:pt>
                <c:pt idx="63">
                  <c:v>345.40052317406867</c:v>
                </c:pt>
                <c:pt idx="64">
                  <c:v>337.03182225249498</c:v>
                </c:pt>
                <c:pt idx="65">
                  <c:v>328.34120504262614</c:v>
                </c:pt>
                <c:pt idx="66">
                  <c:v>319.27714135944115</c:v>
                </c:pt>
                <c:pt idx="67">
                  <c:v>309.7793421962275</c:v>
                </c:pt>
                <c:pt idx="68">
                  <c:v>299.7766225376983</c:v>
                </c:pt>
                <c:pt idx="69">
                  <c:v>289.18412386242198</c:v>
                </c:pt>
                <c:pt idx="70">
                  <c:v>277.89966691926583</c:v>
                </c:pt>
                <c:pt idx="71">
                  <c:v>265.79889033960558</c:v>
                </c:pt>
                <c:pt idx="72">
                  <c:v>252.72868937411906</c:v>
                </c:pt>
                <c:pt idx="73">
                  <c:v>238.4982094677334</c:v>
                </c:pt>
                <c:pt idx="74">
                  <c:v>223.53602684358947</c:v>
                </c:pt>
                <c:pt idx="75">
                  <c:v>210.23480476009902</c:v>
                </c:pt>
                <c:pt idx="76">
                  <c:v>195.67720616873532</c:v>
                </c:pt>
                <c:pt idx="77">
                  <c:v>180.57010761424792</c:v>
                </c:pt>
                <c:pt idx="78">
                  <c:v>164.95273514918293</c:v>
                </c:pt>
                <c:pt idx="79">
                  <c:v>148.74406548230212</c:v>
                </c:pt>
                <c:pt idx="80">
                  <c:v>131.85101947112429</c:v>
                </c:pt>
                <c:pt idx="81">
                  <c:v>114.16611446591155</c:v>
                </c:pt>
                <c:pt idx="82">
                  <c:v>95.564621565936662</c:v>
                </c:pt>
                <c:pt idx="83">
                  <c:v>75.901115842224513</c:v>
                </c:pt>
                <c:pt idx="84">
                  <c:v>54.709151952860964</c:v>
                </c:pt>
                <c:pt idx="85">
                  <c:v>32.862788994761935</c:v>
                </c:pt>
                <c:pt idx="86">
                  <c:v>10.322312181342815</c:v>
                </c:pt>
                <c:pt idx="87">
                  <c:v>-11.821859915007019</c:v>
                </c:pt>
                <c:pt idx="88">
                  <c:v>-29.655483975697987</c:v>
                </c:pt>
                <c:pt idx="89">
                  <c:v>-48.109429310197051</c:v>
                </c:pt>
                <c:pt idx="90">
                  <c:v>-62.864999999999881</c:v>
                </c:pt>
                <c:pt idx="91">
                  <c:v>-77.620570689802861</c:v>
                </c:pt>
                <c:pt idx="92">
                  <c:v>-96.074516024301971</c:v>
                </c:pt>
                <c:pt idx="93">
                  <c:v>-113.90814008499282</c:v>
                </c:pt>
                <c:pt idx="94">
                  <c:v>-131.2291377366162</c:v>
                </c:pt>
                <c:pt idx="95">
                  <c:v>-148.12531487762158</c:v>
                </c:pt>
                <c:pt idx="96">
                  <c:v>-163.73553605017736</c:v>
                </c:pt>
                <c:pt idx="97">
                  <c:v>-175.76575650267424</c:v>
                </c:pt>
                <c:pt idx="98">
                  <c:v>-187.34179320284937</c:v>
                </c:pt>
                <c:pt idx="99">
                  <c:v>-198.56005566775525</c:v>
                </c:pt>
                <c:pt idx="100">
                  <c:v>-209.49600053786543</c:v>
                </c:pt>
                <c:pt idx="101">
                  <c:v>-220.20979209231641</c:v>
                </c:pt>
                <c:pt idx="102">
                  <c:v>-230.02866933279529</c:v>
                </c:pt>
                <c:pt idx="103">
                  <c:v>-239.66618570634787</c:v>
                </c:pt>
                <c:pt idx="104">
                  <c:v>-249.28458613521946</c:v>
                </c:pt>
                <c:pt idx="105">
                  <c:v>-263.05298950168429</c:v>
                </c:pt>
                <c:pt idx="106">
                  <c:v>-277.6702870773226</c:v>
                </c:pt>
                <c:pt idx="107">
                  <c:v>-291.61903194000593</c:v>
                </c:pt>
                <c:pt idx="108">
                  <c:v>-304.46350158303278</c:v>
                </c:pt>
                <c:pt idx="109">
                  <c:v>-316.39443903586181</c:v>
                </c:pt>
                <c:pt idx="110">
                  <c:v>-327.56791803802054</c:v>
                </c:pt>
                <c:pt idx="111">
                  <c:v>-338.10879657676662</c:v>
                </c:pt>
                <c:pt idx="112">
                  <c:v>-348.11829451302265</c:v>
                </c:pt>
                <c:pt idx="113">
                  <c:v>-357.67948929589846</c:v>
                </c:pt>
                <c:pt idx="114">
                  <c:v>-366.86136628603731</c:v>
                </c:pt>
                <c:pt idx="115">
                  <c:v>-375.72184911306306</c:v>
                </c:pt>
                <c:pt idx="116">
                  <c:v>-384.31009530106928</c:v>
                </c:pt>
                <c:pt idx="117">
                  <c:v>-392.66825926436519</c:v>
                </c:pt>
                <c:pt idx="118">
                  <c:v>-400.83286144804708</c:v>
                </c:pt>
                <c:pt idx="119">
                  <c:v>-408.83586317348625</c:v>
                </c:pt>
                <c:pt idx="120">
                  <c:v>-416.7055205572529</c:v>
                </c:pt>
                <c:pt idx="121">
                  <c:v>-424.46706935551316</c:v>
                </c:pt>
                <c:pt idx="122">
                  <c:v>-432.14327968492859</c:v>
                </c:pt>
                <c:pt idx="123">
                  <c:v>-439.75491171216942</c:v>
                </c:pt>
                <c:pt idx="124">
                  <c:v>-446.70090426799197</c:v>
                </c:pt>
                <c:pt idx="125">
                  <c:v>-453.55131979933515</c:v>
                </c:pt>
                <c:pt idx="126">
                  <c:v>-460.35124602780763</c:v>
                </c:pt>
                <c:pt idx="127">
                  <c:v>-467.11656171513232</c:v>
                </c:pt>
                <c:pt idx="128">
                  <c:v>-473.86233352489108</c:v>
                </c:pt>
                <c:pt idx="129">
                  <c:v>-480.60299854900285</c:v>
                </c:pt>
                <c:pt idx="130">
                  <c:v>-487.35252598376667</c:v>
                </c:pt>
                <c:pt idx="131">
                  <c:v>-494.12456590314002</c:v>
                </c:pt>
                <c:pt idx="132">
                  <c:v>-500.93258469195882</c:v>
                </c:pt>
                <c:pt idx="133">
                  <c:v>-507.78999420432473</c:v>
                </c:pt>
                <c:pt idx="134">
                  <c:v>-514.71027446506764</c:v>
                </c:pt>
                <c:pt idx="135">
                  <c:v>-521.70709534576827</c:v>
                </c:pt>
                <c:pt idx="136">
                  <c:v>-528.79443624687201</c:v>
                </c:pt>
                <c:pt idx="137">
                  <c:v>-535.98671123678196</c:v>
                </c:pt>
                <c:pt idx="138">
                  <c:v>-543.29889605126777</c:v>
                </c:pt>
                <c:pt idx="139">
                  <c:v>-550.74666524180691</c:v>
                </c:pt>
                <c:pt idx="140">
                  <c:v>-558.34653704655852</c:v>
                </c:pt>
                <c:pt idx="141">
                  <c:v>-566.11603336394444</c:v>
                </c:pt>
                <c:pt idx="142">
                  <c:v>-574.07385562440606</c:v>
                </c:pt>
                <c:pt idx="143">
                  <c:v>-581.35641462255205</c:v>
                </c:pt>
                <c:pt idx="144">
                  <c:v>-586.94329281957482</c:v>
                </c:pt>
                <c:pt idx="145">
                  <c:v>-592.63211284624595</c:v>
                </c:pt>
                <c:pt idx="146">
                  <c:v>-598.43638361323394</c:v>
                </c:pt>
                <c:pt idx="147">
                  <c:v>-604.37064530533712</c:v>
                </c:pt>
                <c:pt idx="148">
                  <c:v>-610.45064201641344</c:v>
                </c:pt>
                <c:pt idx="149">
                  <c:v>-616.6498274551742</c:v>
                </c:pt>
                <c:pt idx="150">
                  <c:v>-622.8434985458872</c:v>
                </c:pt>
                <c:pt idx="151">
                  <c:v>-629.03645848813949</c:v>
                </c:pt>
                <c:pt idx="152">
                  <c:v>-635.24440724795534</c:v>
                </c:pt>
                <c:pt idx="153">
                  <c:v>-641.48328100407832</c:v>
                </c:pt>
                <c:pt idx="154">
                  <c:v>-647.76939774126777</c:v>
                </c:pt>
                <c:pt idx="155">
                  <c:v>-654.11960640965435</c:v>
                </c:pt>
                <c:pt idx="156">
                  <c:v>-660.55145554568833</c:v>
                </c:pt>
                <c:pt idx="157">
                  <c:v>-667.08336954318668</c:v>
                </c:pt>
                <c:pt idx="158">
                  <c:v>-673.73484713163452</c:v>
                </c:pt>
                <c:pt idx="159">
                  <c:v>-677.82933112318744</c:v>
                </c:pt>
                <c:pt idx="160">
                  <c:v>-679.48771756156862</c:v>
                </c:pt>
                <c:pt idx="161">
                  <c:v>-681.04520291233257</c:v>
                </c:pt>
                <c:pt idx="162">
                  <c:v>-682.5061696681762</c:v>
                </c:pt>
                <c:pt idx="163">
                  <c:v>-683.87466049508521</c:v>
                </c:pt>
                <c:pt idx="164">
                  <c:v>-684.5691074194483</c:v>
                </c:pt>
                <c:pt idx="165">
                  <c:v>-685.76800937446251</c:v>
                </c:pt>
                <c:pt idx="166">
                  <c:v>-686.88482505872139</c:v>
                </c:pt>
                <c:pt idx="167">
                  <c:v>-687.92245053597708</c:v>
                </c:pt>
                <c:pt idx="168">
                  <c:v>-688.88354346762583</c:v>
                </c:pt>
                <c:pt idx="169">
                  <c:v>-689.77053450205688</c:v>
                </c:pt>
                <c:pt idx="170">
                  <c:v>-690.5856521101465</c:v>
                </c:pt>
                <c:pt idx="171">
                  <c:v>-691.33092054328711</c:v>
                </c:pt>
                <c:pt idx="172">
                  <c:v>-692.00818541001343</c:v>
                </c:pt>
                <c:pt idx="173">
                  <c:v>-692.6191149312433</c:v>
                </c:pt>
                <c:pt idx="174">
                  <c:v>-693.1652169974991</c:v>
                </c:pt>
                <c:pt idx="175">
                  <c:v>-693.64784623889375</c:v>
                </c:pt>
                <c:pt idx="176">
                  <c:v>-694.06820945783136</c:v>
                </c:pt>
                <c:pt idx="177">
                  <c:v>-694.42738029236193</c:v>
                </c:pt>
                <c:pt idx="178">
                  <c:v>-694.7263017455889</c:v>
                </c:pt>
                <c:pt idx="179">
                  <c:v>-694.96579725742356</c:v>
                </c:pt>
                <c:pt idx="180">
                  <c:v>-695.14657916972828</c:v>
                </c:pt>
                <c:pt idx="181">
                  <c:v>-694.96579725742356</c:v>
                </c:pt>
                <c:pt idx="182">
                  <c:v>-694.72630174558901</c:v>
                </c:pt>
                <c:pt idx="183">
                  <c:v>-694.42738029236193</c:v>
                </c:pt>
                <c:pt idx="184">
                  <c:v>-694.06820945783136</c:v>
                </c:pt>
                <c:pt idx="185">
                  <c:v>-693.64784623889386</c:v>
                </c:pt>
                <c:pt idx="186">
                  <c:v>-693.16521699749933</c:v>
                </c:pt>
                <c:pt idx="187">
                  <c:v>-692.61911493124364</c:v>
                </c:pt>
                <c:pt idx="188">
                  <c:v>-692.00818541001331</c:v>
                </c:pt>
                <c:pt idx="189">
                  <c:v>-691.33092054328756</c:v>
                </c:pt>
                <c:pt idx="190">
                  <c:v>-690.58565211014673</c:v>
                </c:pt>
                <c:pt idx="191">
                  <c:v>-689.77053450205688</c:v>
                </c:pt>
                <c:pt idx="192">
                  <c:v>-688.88354346762549</c:v>
                </c:pt>
                <c:pt idx="193">
                  <c:v>-687.92245053597765</c:v>
                </c:pt>
                <c:pt idx="194">
                  <c:v>-686.8848250587215</c:v>
                </c:pt>
                <c:pt idx="195">
                  <c:v>-685.76800937446285</c:v>
                </c:pt>
                <c:pt idx="196">
                  <c:v>-684.5691074194483</c:v>
                </c:pt>
                <c:pt idx="197">
                  <c:v>-683.87466049508487</c:v>
                </c:pt>
                <c:pt idx="198">
                  <c:v>-682.5061696681762</c:v>
                </c:pt>
                <c:pt idx="199">
                  <c:v>-681.04520291233223</c:v>
                </c:pt>
                <c:pt idx="200">
                  <c:v>-679.48771756156873</c:v>
                </c:pt>
                <c:pt idx="201">
                  <c:v>-677.82933112318744</c:v>
                </c:pt>
                <c:pt idx="202">
                  <c:v>-673.73484713163475</c:v>
                </c:pt>
                <c:pt idx="203">
                  <c:v>-667.08336954318668</c:v>
                </c:pt>
                <c:pt idx="204">
                  <c:v>-660.55145554568867</c:v>
                </c:pt>
                <c:pt idx="205">
                  <c:v>-654.11960640965435</c:v>
                </c:pt>
                <c:pt idx="206">
                  <c:v>-647.76939774126788</c:v>
                </c:pt>
                <c:pt idx="207">
                  <c:v>-641.48328100407844</c:v>
                </c:pt>
                <c:pt idx="208">
                  <c:v>-635.24440724795522</c:v>
                </c:pt>
                <c:pt idx="209">
                  <c:v>-629.0364584881396</c:v>
                </c:pt>
                <c:pt idx="210">
                  <c:v>-622.84349854588709</c:v>
                </c:pt>
                <c:pt idx="211">
                  <c:v>-616.64982745517432</c:v>
                </c:pt>
                <c:pt idx="212">
                  <c:v>-610.45064201641355</c:v>
                </c:pt>
                <c:pt idx="213">
                  <c:v>-604.37064530533712</c:v>
                </c:pt>
                <c:pt idx="214">
                  <c:v>-598.43638361323406</c:v>
                </c:pt>
                <c:pt idx="215">
                  <c:v>-592.63211284624595</c:v>
                </c:pt>
                <c:pt idx="216">
                  <c:v>-586.94329281957516</c:v>
                </c:pt>
                <c:pt idx="217">
                  <c:v>-581.35641462255205</c:v>
                </c:pt>
                <c:pt idx="218">
                  <c:v>-574.07385562440606</c:v>
                </c:pt>
                <c:pt idx="219">
                  <c:v>-566.11603336394421</c:v>
                </c:pt>
                <c:pt idx="220">
                  <c:v>-558.34653704655852</c:v>
                </c:pt>
                <c:pt idx="221">
                  <c:v>-550.74666524180691</c:v>
                </c:pt>
                <c:pt idx="222">
                  <c:v>-543.298896051268</c:v>
                </c:pt>
                <c:pt idx="223">
                  <c:v>-535.98671123678196</c:v>
                </c:pt>
                <c:pt idx="224">
                  <c:v>-528.79443624687201</c:v>
                </c:pt>
                <c:pt idx="225">
                  <c:v>-521.70709534576838</c:v>
                </c:pt>
                <c:pt idx="226">
                  <c:v>-514.71027446506753</c:v>
                </c:pt>
                <c:pt idx="227">
                  <c:v>-507.78999420432473</c:v>
                </c:pt>
                <c:pt idx="228">
                  <c:v>-500.93258469195894</c:v>
                </c:pt>
                <c:pt idx="229">
                  <c:v>-494.12456590314002</c:v>
                </c:pt>
                <c:pt idx="230">
                  <c:v>-487.35252598376672</c:v>
                </c:pt>
                <c:pt idx="231">
                  <c:v>-480.60299854900319</c:v>
                </c:pt>
                <c:pt idx="232">
                  <c:v>-473.86233352489091</c:v>
                </c:pt>
                <c:pt idx="233">
                  <c:v>-467.11656171513221</c:v>
                </c:pt>
                <c:pt idx="234">
                  <c:v>-460.3512460278078</c:v>
                </c:pt>
                <c:pt idx="235">
                  <c:v>-453.55131979933532</c:v>
                </c:pt>
                <c:pt idx="236">
                  <c:v>-446.70090426799209</c:v>
                </c:pt>
                <c:pt idx="237">
                  <c:v>-439.75491171216942</c:v>
                </c:pt>
                <c:pt idx="238">
                  <c:v>-432.14327968492876</c:v>
                </c:pt>
                <c:pt idx="239">
                  <c:v>-424.46706935551327</c:v>
                </c:pt>
                <c:pt idx="240">
                  <c:v>-416.70552055725341</c:v>
                </c:pt>
                <c:pt idx="241">
                  <c:v>-408.83586317348619</c:v>
                </c:pt>
                <c:pt idx="242">
                  <c:v>-400.83286144804703</c:v>
                </c:pt>
                <c:pt idx="243">
                  <c:v>-392.66825926436542</c:v>
                </c:pt>
                <c:pt idx="244">
                  <c:v>-384.3100953010694</c:v>
                </c:pt>
                <c:pt idx="245">
                  <c:v>-375.72184911306289</c:v>
                </c:pt>
                <c:pt idx="246">
                  <c:v>-366.86136628603731</c:v>
                </c:pt>
                <c:pt idx="247">
                  <c:v>-357.67948929589869</c:v>
                </c:pt>
                <c:pt idx="248">
                  <c:v>-348.11829451302287</c:v>
                </c:pt>
                <c:pt idx="249">
                  <c:v>-338.10879657676696</c:v>
                </c:pt>
                <c:pt idx="250">
                  <c:v>-327.56791803802037</c:v>
                </c:pt>
                <c:pt idx="251">
                  <c:v>-316.39443903586192</c:v>
                </c:pt>
                <c:pt idx="252">
                  <c:v>-304.46350158303295</c:v>
                </c:pt>
                <c:pt idx="253">
                  <c:v>-291.61903194000621</c:v>
                </c:pt>
                <c:pt idx="254">
                  <c:v>-277.67028707732243</c:v>
                </c:pt>
                <c:pt idx="255">
                  <c:v>-263.05298950168384</c:v>
                </c:pt>
                <c:pt idx="256">
                  <c:v>-249.28458613521946</c:v>
                </c:pt>
                <c:pt idx="257">
                  <c:v>-239.66618570634805</c:v>
                </c:pt>
                <c:pt idx="258">
                  <c:v>-230.02866933279591</c:v>
                </c:pt>
                <c:pt idx="259">
                  <c:v>-220.20979209231629</c:v>
                </c:pt>
                <c:pt idx="260">
                  <c:v>-209.49600053786551</c:v>
                </c:pt>
                <c:pt idx="261">
                  <c:v>-198.56005566775539</c:v>
                </c:pt>
                <c:pt idx="262">
                  <c:v>-187.34179320284983</c:v>
                </c:pt>
                <c:pt idx="263">
                  <c:v>-175.76575650267398</c:v>
                </c:pt>
                <c:pt idx="264">
                  <c:v>-163.7355360501771</c:v>
                </c:pt>
                <c:pt idx="265">
                  <c:v>-148.12531487762163</c:v>
                </c:pt>
                <c:pt idx="266">
                  <c:v>-131.22913773661637</c:v>
                </c:pt>
                <c:pt idx="267">
                  <c:v>-113.90814008499339</c:v>
                </c:pt>
                <c:pt idx="268">
                  <c:v>-96.074516024301758</c:v>
                </c:pt>
                <c:pt idx="269">
                  <c:v>-77.620570689802861</c:v>
                </c:pt>
                <c:pt idx="270">
                  <c:v>-62.865000000000265</c:v>
                </c:pt>
                <c:pt idx="271">
                  <c:v>-48.109429310197584</c:v>
                </c:pt>
                <c:pt idx="272">
                  <c:v>-29.655483975697795</c:v>
                </c:pt>
                <c:pt idx="273">
                  <c:v>-11.821859915007083</c:v>
                </c:pt>
                <c:pt idx="274">
                  <c:v>10.322312181342767</c:v>
                </c:pt>
                <c:pt idx="275">
                  <c:v>32.862788994761679</c:v>
                </c:pt>
                <c:pt idx="276">
                  <c:v>54.70915195286053</c:v>
                </c:pt>
                <c:pt idx="277">
                  <c:v>75.901115842224712</c:v>
                </c:pt>
                <c:pt idx="278">
                  <c:v>95.564621565936676</c:v>
                </c:pt>
                <c:pt idx="279">
                  <c:v>114.16611446591136</c:v>
                </c:pt>
                <c:pt idx="280">
                  <c:v>131.85101947112386</c:v>
                </c:pt>
                <c:pt idx="281">
                  <c:v>148.74406548230226</c:v>
                </c:pt>
                <c:pt idx="282">
                  <c:v>164.95273514918287</c:v>
                </c:pt>
                <c:pt idx="283">
                  <c:v>180.57010761424792</c:v>
                </c:pt>
                <c:pt idx="284">
                  <c:v>195.67720616873518</c:v>
                </c:pt>
                <c:pt idx="285">
                  <c:v>210.23480476009854</c:v>
                </c:pt>
                <c:pt idx="286">
                  <c:v>223.53602684358964</c:v>
                </c:pt>
                <c:pt idx="287">
                  <c:v>238.49820946773335</c:v>
                </c:pt>
                <c:pt idx="288">
                  <c:v>252.72868937411891</c:v>
                </c:pt>
                <c:pt idx="289">
                  <c:v>265.79889033960529</c:v>
                </c:pt>
                <c:pt idx="290">
                  <c:v>277.89966691926583</c:v>
                </c:pt>
                <c:pt idx="291">
                  <c:v>289.18412386242198</c:v>
                </c:pt>
                <c:pt idx="292">
                  <c:v>299.77662253769836</c:v>
                </c:pt>
                <c:pt idx="293">
                  <c:v>309.77934219622739</c:v>
                </c:pt>
                <c:pt idx="294">
                  <c:v>319.27714135944086</c:v>
                </c:pt>
                <c:pt idx="295">
                  <c:v>328.34120504262648</c:v>
                </c:pt>
                <c:pt idx="296">
                  <c:v>337.03182225249486</c:v>
                </c:pt>
                <c:pt idx="297">
                  <c:v>345.40052317406855</c:v>
                </c:pt>
                <c:pt idx="298">
                  <c:v>353.49174548759635</c:v>
                </c:pt>
                <c:pt idx="299">
                  <c:v>361.34414638595598</c:v>
                </c:pt>
                <c:pt idx="300">
                  <c:v>368.99164319425739</c:v>
                </c:pt>
                <c:pt idx="301">
                  <c:v>376.46425212120511</c:v>
                </c:pt>
                <c:pt idx="302">
                  <c:v>383.78876686026956</c:v>
                </c:pt>
                <c:pt idx="303">
                  <c:v>390.98931427913101</c:v>
                </c:pt>
                <c:pt idx="304">
                  <c:v>398.08781162530511</c:v>
                </c:pt>
                <c:pt idx="305">
                  <c:v>405.10435120883824</c:v>
                </c:pt>
                <c:pt idx="306">
                  <c:v>412.05752118728731</c:v>
                </c:pt>
                <c:pt idx="307">
                  <c:v>418.96468208420032</c:v>
                </c:pt>
                <c:pt idx="308">
                  <c:v>425.8422008362661</c:v>
                </c:pt>
                <c:pt idx="309">
                  <c:v>432.70566069133076</c:v>
                </c:pt>
                <c:pt idx="310">
                  <c:v>436.53473969687906</c:v>
                </c:pt>
                <c:pt idx="311">
                  <c:v>443.40948654137816</c:v>
                </c:pt>
                <c:pt idx="312">
                  <c:v>450.31248024999809</c:v>
                </c:pt>
                <c:pt idx="313">
                  <c:v>457.25785418921697</c:v>
                </c:pt>
                <c:pt idx="314">
                  <c:v>464.2597208135283</c:v>
                </c:pt>
                <c:pt idx="315">
                  <c:v>471.33230060775765</c:v>
                </c:pt>
                <c:pt idx="316">
                  <c:v>478.31979918871377</c:v>
                </c:pt>
                <c:pt idx="317">
                  <c:v>482.65668493964432</c:v>
                </c:pt>
                <c:pt idx="318">
                  <c:v>486.9948114723876</c:v>
                </c:pt>
                <c:pt idx="319">
                  <c:v>491.3428073616214</c:v>
                </c:pt>
                <c:pt idx="320">
                  <c:v>495.70935628244473</c:v>
                </c:pt>
                <c:pt idx="321">
                  <c:v>500.10326981807299</c:v>
                </c:pt>
                <c:pt idx="322">
                  <c:v>504.53357290347412</c:v>
                </c:pt>
                <c:pt idx="323">
                  <c:v>509.00958114005533</c:v>
                </c:pt>
                <c:pt idx="324">
                  <c:v>513.54099296059303</c:v>
                </c:pt>
                <c:pt idx="325">
                  <c:v>518.1379849336513</c:v>
                </c:pt>
                <c:pt idx="326">
                  <c:v>522.81131918529093</c:v>
                </c:pt>
                <c:pt idx="327">
                  <c:v>527.57245906327103</c:v>
                </c:pt>
                <c:pt idx="328">
                  <c:v>532.43370630242919</c:v>
                </c:pt>
                <c:pt idx="329">
                  <c:v>537.4083522536888</c:v>
                </c:pt>
                <c:pt idx="330">
                  <c:v>541.44849852288439</c:v>
                </c:pt>
                <c:pt idx="331">
                  <c:v>543.67369459659108</c:v>
                </c:pt>
                <c:pt idx="332">
                  <c:v>545.88528186780547</c:v>
                </c:pt>
                <c:pt idx="333">
                  <c:v>548.08734623550731</c:v>
                </c:pt>
                <c:pt idx="334">
                  <c:v>550.28413226852877</c:v>
                </c:pt>
                <c:pt idx="335">
                  <c:v>552.4621585003556</c:v>
                </c:pt>
                <c:pt idx="336">
                  <c:v>554.52603551348477</c:v>
                </c:pt>
                <c:pt idx="337">
                  <c:v>556.46648398108414</c:v>
                </c:pt>
                <c:pt idx="338">
                  <c:v>558.28952955649129</c:v>
                </c:pt>
                <c:pt idx="339">
                  <c:v>560.00071215869571</c:v>
                </c:pt>
                <c:pt idx="340">
                  <c:v>561.6051277879485</c:v>
                </c:pt>
                <c:pt idx="341">
                  <c:v>563.10746313222921</c:v>
                </c:pt>
                <c:pt idx="342">
                  <c:v>564.51202686439819</c:v>
                </c:pt>
                <c:pt idx="343">
                  <c:v>565.82277189778131</c:v>
                </c:pt>
                <c:pt idx="344">
                  <c:v>567.04332826833991</c:v>
                </c:pt>
                <c:pt idx="345">
                  <c:v>568.17702648167437</c:v>
                </c:pt>
                <c:pt idx="346">
                  <c:v>569.22690577391131</c:v>
                </c:pt>
                <c:pt idx="347">
                  <c:v>570.19574575351112</c:v>
                </c:pt>
                <c:pt idx="348">
                  <c:v>571.08607468924208</c:v>
                </c:pt>
                <c:pt idx="349">
                  <c:v>571.90018828120185</c:v>
                </c:pt>
                <c:pt idx="350">
                  <c:v>572.64015920214695</c:v>
                </c:pt>
                <c:pt idx="351">
                  <c:v>573.30785080143153</c:v>
                </c:pt>
                <c:pt idx="352">
                  <c:v>573.90492805568476</c:v>
                </c:pt>
                <c:pt idx="353">
                  <c:v>574.43286684250882</c:v>
                </c:pt>
                <c:pt idx="354">
                  <c:v>574.70829584322269</c:v>
                </c:pt>
                <c:pt idx="355">
                  <c:v>575.10564931366014</c:v>
                </c:pt>
                <c:pt idx="356">
                  <c:v>575.4373380958591</c:v>
                </c:pt>
                <c:pt idx="357">
                  <c:v>575.70415535616326</c:v>
                </c:pt>
                <c:pt idx="358">
                  <c:v>575.90672906296447</c:v>
                </c:pt>
                <c:pt idx="359">
                  <c:v>576.04553744692112</c:v>
                </c:pt>
                <c:pt idx="360">
                  <c:v>576.12090015198407</c:v>
                </c:pt>
                <c:pt idx="361">
                  <c:v>576.12090015198407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5.4925317870693471</c:v>
                </c:pt>
                <c:pt idx="2">
                  <c:v>10.857224036565542</c:v>
                </c:pt>
                <c:pt idx="3">
                  <c:v>16.111417174879275</c:v>
                </c:pt>
                <c:pt idx="4">
                  <c:v>21.270203555010912</c:v>
                </c:pt>
                <c:pt idx="5" formatCode="0.00000">
                  <c:v>26.346844957031223</c:v>
                </c:pt>
                <c:pt idx="6" formatCode="0.00000">
                  <c:v>31.353102937648313</c:v>
                </c:pt>
                <c:pt idx="7">
                  <c:v>33.944815455855164</c:v>
                </c:pt>
                <c:pt idx="8">
                  <c:v>38.847243995035988</c:v>
                </c:pt>
                <c:pt idx="9">
                  <c:v>43.707275664882495</c:v>
                </c:pt>
                <c:pt idx="10">
                  <c:v>48.53293355636346</c:v>
                </c:pt>
                <c:pt idx="11">
                  <c:v>53.331641478626658</c:v>
                </c:pt>
                <c:pt idx="12">
                  <c:v>58.110325054949072</c:v>
                </c:pt>
                <c:pt idx="13">
                  <c:v>62.875497227448662</c:v>
                </c:pt>
                <c:pt idx="14">
                  <c:v>67.633331313406217</c:v>
                </c:pt>
                <c:pt idx="15">
                  <c:v>72.389723896128032</c:v>
                </c:pt>
                <c:pt idx="16">
                  <c:v>77.150349834418577</c:v>
                </c:pt>
                <c:pt idx="17">
                  <c:v>81.92071046287586</c:v>
                </c:pt>
                <c:pt idx="18">
                  <c:v>86.706177144287153</c:v>
                </c:pt>
                <c:pt idx="19">
                  <c:v>91.512029983841529</c:v>
                </c:pt>
                <c:pt idx="20">
                  <c:v>96.343493580430405</c:v>
                </c:pt>
                <c:pt idx="21">
                  <c:v>101.20577042448974</c:v>
                </c:pt>
                <c:pt idx="22">
                  <c:v>106.10407198712817</c:v>
                </c:pt>
                <c:pt idx="23">
                  <c:v>111.0436485788705</c:v>
                </c:pt>
                <c:pt idx="24">
                  <c:v>116.02981829058596</c:v>
                </c:pt>
                <c:pt idx="25">
                  <c:v>121.06799555063094</c:v>
                </c:pt>
                <c:pt idx="26">
                  <c:v>126.13081753633432</c:v>
                </c:pt>
                <c:pt idx="27">
                  <c:v>131.02042497023405</c:v>
                </c:pt>
                <c:pt idx="28">
                  <c:v>135.72262444707462</c:v>
                </c:pt>
                <c:pt idx="29">
                  <c:v>140.25864400980896</c:v>
                </c:pt>
                <c:pt idx="30">
                  <c:v>144.64714148769554</c:v>
                </c:pt>
                <c:pt idx="31">
                  <c:v>148.05362264161454</c:v>
                </c:pt>
                <c:pt idx="32">
                  <c:v>150.89114353496637</c:v>
                </c:pt>
                <c:pt idx="33">
                  <c:v>153.66798730850596</c:v>
                </c:pt>
                <c:pt idx="34">
                  <c:v>156.39318804284926</c:v>
                </c:pt>
                <c:pt idx="35">
                  <c:v>159.0748964302787</c:v>
                </c:pt>
                <c:pt idx="36">
                  <c:v>161.72053131200622</c:v>
                </c:pt>
                <c:pt idx="37">
                  <c:v>164.33690727363671</c:v>
                </c:pt>
                <c:pt idx="38">
                  <c:v>166.9303419141298</c:v>
                </c:pt>
                <c:pt idx="39">
                  <c:v>169.50674813548065</c:v>
                </c:pt>
                <c:pt idx="40">
                  <c:v>172.07171386610884</c:v>
                </c:pt>
                <c:pt idx="41">
                  <c:v>174.63057234620712</c:v>
                </c:pt>
                <c:pt idx="42">
                  <c:v>177.18846419704508</c:v>
                </c:pt>
                <c:pt idx="43">
                  <c:v>179.75039434721336</c:v>
                </c:pt>
                <c:pt idx="44">
                  <c:v>182.32128399615638</c:v>
                </c:pt>
                <c:pt idx="45">
                  <c:v>185.86695153081183</c:v>
                </c:pt>
                <c:pt idx="46">
                  <c:v>189.44050512994198</c:v>
                </c:pt>
                <c:pt idx="47">
                  <c:v>192.98832927230168</c:v>
                </c:pt>
                <c:pt idx="48">
                  <c:v>196.51900321573464</c:v>
                </c:pt>
                <c:pt idx="49">
                  <c:v>200.04096513382751</c:v>
                </c:pt>
                <c:pt idx="50">
                  <c:v>203.56259481713781</c:v>
                </c:pt>
                <c:pt idx="51">
                  <c:v>206.61638137773505</c:v>
                </c:pt>
                <c:pt idx="52">
                  <c:v>210.15012325415711</c:v>
                </c:pt>
                <c:pt idx="53">
                  <c:v>213.70943457351865</c:v>
                </c:pt>
                <c:pt idx="54">
                  <c:v>217.30327900483874</c:v>
                </c:pt>
                <c:pt idx="55">
                  <c:v>220.94100319811392</c:v>
                </c:pt>
                <c:pt idx="56">
                  <c:v>224.63244170966919</c:v>
                </c:pt>
                <c:pt idx="57">
                  <c:v>228.38803746485468</c:v>
                </c:pt>
                <c:pt idx="58">
                  <c:v>232.21897497545515</c:v>
                </c:pt>
                <c:pt idx="59">
                  <c:v>236.13733520801091</c:v>
                </c:pt>
                <c:pt idx="60">
                  <c:v>240.1562724651254</c:v>
                </c:pt>
                <c:pt idx="61">
                  <c:v>244.29022420357072</c:v>
                </c:pt>
                <c:pt idx="62">
                  <c:v>248.55515798373844</c:v>
                </c:pt>
                <c:pt idx="63">
                  <c:v>252.96886694087931</c:v>
                </c:pt>
                <c:pt idx="64">
                  <c:v>257.55132485851425</c:v>
                </c:pt>
                <c:pt idx="65">
                  <c:v>262.32512152580057</c:v>
                </c:pt>
                <c:pt idx="66">
                  <c:v>267.31599504280854</c:v>
                </c:pt>
                <c:pt idx="67">
                  <c:v>272.5534920203678</c:v>
                </c:pt>
                <c:pt idx="68">
                  <c:v>278.07179633246454</c:v>
                </c:pt>
                <c:pt idx="69">
                  <c:v>283.91077537954953</c:v>
                </c:pt>
                <c:pt idx="70">
                  <c:v>290.11732179573232</c:v>
                </c:pt>
                <c:pt idx="71">
                  <c:v>296.74708478917881</c:v>
                </c:pt>
                <c:pt idx="72">
                  <c:v>303.86674576495898</c:v>
                </c:pt>
                <c:pt idx="73">
                  <c:v>311.55703887273188</c:v>
                </c:pt>
                <c:pt idx="74">
                  <c:v>319.3892088941044</c:v>
                </c:pt>
                <c:pt idx="75">
                  <c:v>325.41683929939165</c:v>
                </c:pt>
                <c:pt idx="76">
                  <c:v>331.91056878244831</c:v>
                </c:pt>
                <c:pt idx="77">
                  <c:v>338.51575802236289</c:v>
                </c:pt>
                <c:pt idx="78">
                  <c:v>345.21202565459674</c:v>
                </c:pt>
                <c:pt idx="79">
                  <c:v>352.03477822441164</c:v>
                </c:pt>
                <c:pt idx="80">
                  <c:v>359.02305130043857</c:v>
                </c:pt>
                <c:pt idx="81">
                  <c:v>366.22019523192336</c:v>
                </c:pt>
                <c:pt idx="82">
                  <c:v>373.67467508297938</c:v>
                </c:pt>
                <c:pt idx="83">
                  <c:v>381.44099742334015</c:v>
                </c:pt>
                <c:pt idx="84">
                  <c:v>385.72710364818266</c:v>
                </c:pt>
                <c:pt idx="85">
                  <c:v>389.70533563619364</c:v>
                </c:pt>
                <c:pt idx="86">
                  <c:v>393.64382213125901</c:v>
                </c:pt>
                <c:pt idx="87">
                  <c:v>396.94146470528943</c:v>
                </c:pt>
                <c:pt idx="88">
                  <c:v>397.48968443610318</c:v>
                </c:pt>
                <c:pt idx="89">
                  <c:v>397.81837020795831</c:v>
                </c:pt>
                <c:pt idx="90">
                  <c:v>397.90331074479258</c:v>
                </c:pt>
                <c:pt idx="91">
                  <c:v>397.81837020795825</c:v>
                </c:pt>
                <c:pt idx="92">
                  <c:v>397.4896844361034</c:v>
                </c:pt>
                <c:pt idx="93">
                  <c:v>396.94146470528949</c:v>
                </c:pt>
                <c:pt idx="94">
                  <c:v>396.17236824552276</c:v>
                </c:pt>
                <c:pt idx="95">
                  <c:v>395.18050456802126</c:v>
                </c:pt>
                <c:pt idx="96">
                  <c:v>392.6612959733572</c:v>
                </c:pt>
                <c:pt idx="97">
                  <c:v>385.98714716194962</c:v>
                </c:pt>
                <c:pt idx="98">
                  <c:v>379.70769974448865</c:v>
                </c:pt>
                <c:pt idx="99">
                  <c:v>373.73474670821452</c:v>
                </c:pt>
                <c:pt idx="100">
                  <c:v>367.99623126293847</c:v>
                </c:pt>
                <c:pt idx="101">
                  <c:v>362.43245507501626</c:v>
                </c:pt>
                <c:pt idx="102">
                  <c:v>356.69196949760283</c:v>
                </c:pt>
                <c:pt idx="103">
                  <c:v>350.98712668034102</c:v>
                </c:pt>
                <c:pt idx="104">
                  <c:v>345.33921953928802</c:v>
                </c:pt>
                <c:pt idx="105">
                  <c:v>337.3620007991853</c:v>
                </c:pt>
                <c:pt idx="106">
                  <c:v>328.82809362643928</c:v>
                </c:pt>
                <c:pt idx="107">
                  <c:v>320.62213299014303</c:v>
                </c:pt>
                <c:pt idx="108">
                  <c:v>313.06279841754002</c:v>
                </c:pt>
                <c:pt idx="109">
                  <c:v>306.0566999296035</c:v>
                </c:pt>
                <c:pt idx="110">
                  <c:v>299.52375246108971</c:v>
                </c:pt>
                <c:pt idx="111">
                  <c:v>293.39781544624111</c:v>
                </c:pt>
                <c:pt idx="112">
                  <c:v>287.6236806392684</c:v>
                </c:pt>
                <c:pt idx="113">
                  <c:v>282.15480736871615</c:v>
                </c:pt>
                <c:pt idx="114">
                  <c:v>276.9515955251818</c:v>
                </c:pt>
                <c:pt idx="115">
                  <c:v>271.98005011725354</c:v>
                </c:pt>
                <c:pt idx="116">
                  <c:v>267.21073872991468</c:v>
                </c:pt>
                <c:pt idx="117">
                  <c:v>262.61796638698752</c:v>
                </c:pt>
                <c:pt idx="118">
                  <c:v>258.17911640190778</c:v>
                </c:pt>
                <c:pt idx="119">
                  <c:v>253.87411898138816</c:v>
                </c:pt>
                <c:pt idx="120">
                  <c:v>249.68501735590993</c:v>
                </c:pt>
                <c:pt idx="121">
                  <c:v>245.5956109326826</c:v>
                </c:pt>
                <c:pt idx="122">
                  <c:v>241.5911593449093</c:v>
                </c:pt>
                <c:pt idx="123">
                  <c:v>237.65813227094685</c:v>
                </c:pt>
                <c:pt idx="124">
                  <c:v>233.71377021500399</c:v>
                </c:pt>
                <c:pt idx="125">
                  <c:v>229.8166278915925</c:v>
                </c:pt>
                <c:pt idx="126">
                  <c:v>225.95973223354326</c:v>
                </c:pt>
                <c:pt idx="127">
                  <c:v>222.13327743699222</c:v>
                </c:pt>
                <c:pt idx="128">
                  <c:v>218.32786857982043</c:v>
                </c:pt>
                <c:pt idx="129">
                  <c:v>214.53441689590954</c:v>
                </c:pt>
                <c:pt idx="130">
                  <c:v>210.74404235337275</c:v>
                </c:pt>
                <c:pt idx="131">
                  <c:v>206.94798408489407</c:v>
                </c:pt>
                <c:pt idx="132">
                  <c:v>203.13751285367022</c:v>
                </c:pt>
                <c:pt idx="133">
                  <c:v>199.3038467197207</c:v>
                </c:pt>
                <c:pt idx="134">
                  <c:v>195.43806585994014</c:v>
                </c:pt>
                <c:pt idx="135">
                  <c:v>191.53102653057738</c:v>
                </c:pt>
                <c:pt idx="136">
                  <c:v>187.57327060661731</c:v>
                </c:pt>
                <c:pt idx="137">
                  <c:v>183.55493108927948</c:v>
                </c:pt>
                <c:pt idx="138">
                  <c:v>179.46562896825745</c:v>
                </c:pt>
                <c:pt idx="139">
                  <c:v>175.29436137565267</c:v>
                </c:pt>
                <c:pt idx="140">
                  <c:v>171.0293767498186</c:v>
                </c:pt>
                <c:pt idx="141">
                  <c:v>166.65803522710925</c:v>
                </c:pt>
                <c:pt idx="142">
                  <c:v>162.16664990906997</c:v>
                </c:pt>
                <c:pt idx="143">
                  <c:v>157.95754037603939</c:v>
                </c:pt>
                <c:pt idx="144">
                  <c:v>154.52769393039841</c:v>
                </c:pt>
                <c:pt idx="145">
                  <c:v>151.03582347479272</c:v>
                </c:pt>
                <c:pt idx="146">
                  <c:v>147.472832000278</c:v>
                </c:pt>
                <c:pt idx="147">
                  <c:v>143.82877539220721</c:v>
                </c:pt>
                <c:pt idx="148">
                  <c:v>140.0927065181076</c:v>
                </c:pt>
                <c:pt idx="149">
                  <c:v>136.28736590196547</c:v>
                </c:pt>
                <c:pt idx="150">
                  <c:v>132.51623420966567</c:v>
                </c:pt>
                <c:pt idx="151">
                  <c:v>128.78222451834398</c:v>
                </c:pt>
                <c:pt idx="152">
                  <c:v>125.07977765297527</c:v>
                </c:pt>
                <c:pt idx="153">
                  <c:v>121.40334236416342</c:v>
                </c:pt>
                <c:pt idx="154">
                  <c:v>117.7473314545862</c:v>
                </c:pt>
                <c:pt idx="155">
                  <c:v>114.10607723208719</c:v>
                </c:pt>
                <c:pt idx="156">
                  <c:v>110.47377966206803</c:v>
                </c:pt>
                <c:pt idx="157">
                  <c:v>106.84445265843367</c:v>
                </c:pt>
                <c:pt idx="158">
                  <c:v>103.2118624632884</c:v>
                </c:pt>
                <c:pt idx="159">
                  <c:v>98.920252938720154</c:v>
                </c:pt>
                <c:pt idx="160">
                  <c:v>94.079645525340112</c:v>
                </c:pt>
                <c:pt idx="161">
                  <c:v>89.2736700091736</c:v>
                </c:pt>
                <c:pt idx="162">
                  <c:v>84.497488407651545</c:v>
                </c:pt>
                <c:pt idx="163">
                  <c:v>79.746286965296989</c:v>
                </c:pt>
                <c:pt idx="164">
                  <c:v>77.342841668144914</c:v>
                </c:pt>
                <c:pt idx="165">
                  <c:v>72.629603467720329</c:v>
                </c:pt>
                <c:pt idx="166">
                  <c:v>67.927067353446304</c:v>
                </c:pt>
                <c:pt idx="167">
                  <c:v>63.230269120673313</c:v>
                </c:pt>
                <c:pt idx="168">
                  <c:v>58.534124083549095</c:v>
                </c:pt>
                <c:pt idx="169">
                  <c:v>53.833389702758929</c:v>
                </c:pt>
                <c:pt idx="170">
                  <c:v>49.12262341265351</c:v>
                </c:pt>
                <c:pt idx="171">
                  <c:v>44.396135480201032</c:v>
                </c:pt>
                <c:pt idx="172">
                  <c:v>39.647934357161027</c:v>
                </c:pt>
                <c:pt idx="173">
                  <c:v>34.871664004095628</c:v>
                </c:pt>
                <c:pt idx="174">
                  <c:v>30.060530274592395</c:v>
                </c:pt>
                <c:pt idx="175">
                  <c:v>25.207214249466691</c:v>
                </c:pt>
                <c:pt idx="176">
                  <c:v>20.303768947836549</c:v>
                </c:pt>
                <c:pt idx="177">
                  <c:v>15.341494930719346</c:v>
                </c:pt>
                <c:pt idx="178">
                  <c:v>10.310789386357831</c:v>
                </c:pt>
                <c:pt idx="179">
                  <c:v>5.2009608980291464</c:v>
                </c:pt>
                <c:pt idx="180">
                  <c:v>5.1762376374483272E-14</c:v>
                </c:pt>
                <c:pt idx="181">
                  <c:v>-5.2009608980291873</c:v>
                </c:pt>
                <c:pt idx="182">
                  <c:v>-10.310789386357802</c:v>
                </c:pt>
                <c:pt idx="183">
                  <c:v>-15.341494930719282</c:v>
                </c:pt>
                <c:pt idx="184">
                  <c:v>-20.303768947836499</c:v>
                </c:pt>
                <c:pt idx="185">
                  <c:v>-25.207214249466588</c:v>
                </c:pt>
                <c:pt idx="186">
                  <c:v>-30.06053027459232</c:v>
                </c:pt>
                <c:pt idx="187">
                  <c:v>-34.871664004095514</c:v>
                </c:pt>
                <c:pt idx="188">
                  <c:v>-39.647934357161084</c:v>
                </c:pt>
                <c:pt idx="189">
                  <c:v>-44.396135480200961</c:v>
                </c:pt>
                <c:pt idx="190">
                  <c:v>-49.12262341265361</c:v>
                </c:pt>
                <c:pt idx="191">
                  <c:v>-53.833389702758893</c:v>
                </c:pt>
                <c:pt idx="192">
                  <c:v>-58.534124083549067</c:v>
                </c:pt>
                <c:pt idx="193">
                  <c:v>-63.230269120673235</c:v>
                </c:pt>
                <c:pt idx="194">
                  <c:v>-67.927067353446205</c:v>
                </c:pt>
                <c:pt idx="195">
                  <c:v>-72.629603467720315</c:v>
                </c:pt>
                <c:pt idx="196">
                  <c:v>-77.342841668144899</c:v>
                </c:pt>
                <c:pt idx="197">
                  <c:v>-79.746286965297017</c:v>
                </c:pt>
                <c:pt idx="198">
                  <c:v>-84.497488407651431</c:v>
                </c:pt>
                <c:pt idx="199">
                  <c:v>-89.273670009173614</c:v>
                </c:pt>
                <c:pt idx="200">
                  <c:v>-94.079645525340098</c:v>
                </c:pt>
                <c:pt idx="201">
                  <c:v>-98.920252938720225</c:v>
                </c:pt>
                <c:pt idx="202">
                  <c:v>-103.21186246328836</c:v>
                </c:pt>
                <c:pt idx="203">
                  <c:v>-106.8444526584335</c:v>
                </c:pt>
                <c:pt idx="204">
                  <c:v>-110.47377966206803</c:v>
                </c:pt>
                <c:pt idx="205">
                  <c:v>-114.10607723208705</c:v>
                </c:pt>
                <c:pt idx="206">
                  <c:v>-117.74733145458643</c:v>
                </c:pt>
                <c:pt idx="207">
                  <c:v>-121.40334236416342</c:v>
                </c:pt>
                <c:pt idx="208">
                  <c:v>-125.07977765297522</c:v>
                </c:pt>
                <c:pt idx="209">
                  <c:v>-128.78222451834398</c:v>
                </c:pt>
                <c:pt idx="210">
                  <c:v>-132.5162342096657</c:v>
                </c:pt>
                <c:pt idx="211">
                  <c:v>-136.28736590196533</c:v>
                </c:pt>
                <c:pt idx="212">
                  <c:v>-140.09270651810763</c:v>
                </c:pt>
                <c:pt idx="213">
                  <c:v>-143.82877539220712</c:v>
                </c:pt>
                <c:pt idx="214">
                  <c:v>-147.47283200027795</c:v>
                </c:pt>
                <c:pt idx="215">
                  <c:v>-151.03582347479278</c:v>
                </c:pt>
                <c:pt idx="216">
                  <c:v>-154.52769393039821</c:v>
                </c:pt>
                <c:pt idx="217">
                  <c:v>-157.95754037603953</c:v>
                </c:pt>
                <c:pt idx="218">
                  <c:v>-162.16664990906983</c:v>
                </c:pt>
                <c:pt idx="219">
                  <c:v>-166.65803522710914</c:v>
                </c:pt>
                <c:pt idx="220">
                  <c:v>-171.0293767498184</c:v>
                </c:pt>
                <c:pt idx="221">
                  <c:v>-175.29436137565253</c:v>
                </c:pt>
                <c:pt idx="222">
                  <c:v>-179.4656289682575</c:v>
                </c:pt>
                <c:pt idx="223">
                  <c:v>-183.55493108927939</c:v>
                </c:pt>
                <c:pt idx="224">
                  <c:v>-187.57327060661731</c:v>
                </c:pt>
                <c:pt idx="225">
                  <c:v>-191.53102653057729</c:v>
                </c:pt>
                <c:pt idx="226">
                  <c:v>-195.43806585994017</c:v>
                </c:pt>
                <c:pt idx="227">
                  <c:v>-199.30384671972067</c:v>
                </c:pt>
                <c:pt idx="228">
                  <c:v>-203.13751285367027</c:v>
                </c:pt>
                <c:pt idx="229">
                  <c:v>-206.94798408489407</c:v>
                </c:pt>
                <c:pt idx="230">
                  <c:v>-210.74404235337275</c:v>
                </c:pt>
                <c:pt idx="231">
                  <c:v>-214.53441689590946</c:v>
                </c:pt>
                <c:pt idx="232">
                  <c:v>-218.32786857982046</c:v>
                </c:pt>
                <c:pt idx="233">
                  <c:v>-222.13327743699216</c:v>
                </c:pt>
                <c:pt idx="234">
                  <c:v>-225.95973223354332</c:v>
                </c:pt>
                <c:pt idx="235">
                  <c:v>-229.81662789159245</c:v>
                </c:pt>
                <c:pt idx="236">
                  <c:v>-233.71377021500413</c:v>
                </c:pt>
                <c:pt idx="237">
                  <c:v>-237.65813227094685</c:v>
                </c:pt>
                <c:pt idx="238">
                  <c:v>-241.59115934490933</c:v>
                </c:pt>
                <c:pt idx="239">
                  <c:v>-245.59561093268252</c:v>
                </c:pt>
                <c:pt idx="240">
                  <c:v>-249.68501735590993</c:v>
                </c:pt>
                <c:pt idx="241">
                  <c:v>-253.87411898138819</c:v>
                </c:pt>
                <c:pt idx="242">
                  <c:v>-258.17911640190778</c:v>
                </c:pt>
                <c:pt idx="243">
                  <c:v>-262.6179663869874</c:v>
                </c:pt>
                <c:pt idx="244">
                  <c:v>-267.21073872991462</c:v>
                </c:pt>
                <c:pt idx="245">
                  <c:v>-271.9800501172536</c:v>
                </c:pt>
                <c:pt idx="246">
                  <c:v>-276.95159552518186</c:v>
                </c:pt>
                <c:pt idx="247">
                  <c:v>-282.15480736871615</c:v>
                </c:pt>
                <c:pt idx="248">
                  <c:v>-287.62368063926806</c:v>
                </c:pt>
                <c:pt idx="249">
                  <c:v>-293.397815446241</c:v>
                </c:pt>
                <c:pt idx="250">
                  <c:v>-299.5237524610896</c:v>
                </c:pt>
                <c:pt idx="251">
                  <c:v>-306.0566999296035</c:v>
                </c:pt>
                <c:pt idx="252">
                  <c:v>-313.06279841753985</c:v>
                </c:pt>
                <c:pt idx="253">
                  <c:v>-320.62213299014269</c:v>
                </c:pt>
                <c:pt idx="254">
                  <c:v>-328.82809362643962</c:v>
                </c:pt>
                <c:pt idx="255">
                  <c:v>-337.36200079918547</c:v>
                </c:pt>
                <c:pt idx="256">
                  <c:v>-345.33921953928791</c:v>
                </c:pt>
                <c:pt idx="257">
                  <c:v>-350.98712668034091</c:v>
                </c:pt>
                <c:pt idx="258">
                  <c:v>-356.69196949760243</c:v>
                </c:pt>
                <c:pt idx="259">
                  <c:v>-362.43245507501638</c:v>
                </c:pt>
                <c:pt idx="260">
                  <c:v>-367.99623126293835</c:v>
                </c:pt>
                <c:pt idx="261">
                  <c:v>-373.73474670821423</c:v>
                </c:pt>
                <c:pt idx="262">
                  <c:v>-379.70769974448842</c:v>
                </c:pt>
                <c:pt idx="263">
                  <c:v>-385.98714716194985</c:v>
                </c:pt>
                <c:pt idx="264">
                  <c:v>-392.66129597335754</c:v>
                </c:pt>
                <c:pt idx="265">
                  <c:v>-395.18050456802126</c:v>
                </c:pt>
                <c:pt idx="266">
                  <c:v>-396.17236824552265</c:v>
                </c:pt>
                <c:pt idx="267">
                  <c:v>-396.94146470528932</c:v>
                </c:pt>
                <c:pt idx="268">
                  <c:v>-397.48968443610357</c:v>
                </c:pt>
                <c:pt idx="269">
                  <c:v>-397.8183702079582</c:v>
                </c:pt>
                <c:pt idx="270">
                  <c:v>-397.90331074479241</c:v>
                </c:pt>
                <c:pt idx="271">
                  <c:v>-397.81837020795865</c:v>
                </c:pt>
                <c:pt idx="272">
                  <c:v>-397.48968443610323</c:v>
                </c:pt>
                <c:pt idx="273">
                  <c:v>-396.94146470528949</c:v>
                </c:pt>
                <c:pt idx="274">
                  <c:v>-393.64382213125913</c:v>
                </c:pt>
                <c:pt idx="275">
                  <c:v>-389.70533563619387</c:v>
                </c:pt>
                <c:pt idx="276">
                  <c:v>-385.72710364818306</c:v>
                </c:pt>
                <c:pt idx="277">
                  <c:v>-381.44099742334009</c:v>
                </c:pt>
                <c:pt idx="278">
                  <c:v>-373.67467508297938</c:v>
                </c:pt>
                <c:pt idx="279">
                  <c:v>-366.22019523192353</c:v>
                </c:pt>
                <c:pt idx="280">
                  <c:v>-359.02305130043874</c:v>
                </c:pt>
                <c:pt idx="281">
                  <c:v>-352.0347782244117</c:v>
                </c:pt>
                <c:pt idx="282">
                  <c:v>-345.21202565459686</c:v>
                </c:pt>
                <c:pt idx="283">
                  <c:v>-338.51575802236289</c:v>
                </c:pt>
                <c:pt idx="284">
                  <c:v>-331.91056878244842</c:v>
                </c:pt>
                <c:pt idx="285">
                  <c:v>-325.41683929939194</c:v>
                </c:pt>
                <c:pt idx="286">
                  <c:v>-319.38920889410406</c:v>
                </c:pt>
                <c:pt idx="287">
                  <c:v>-311.55703887273188</c:v>
                </c:pt>
                <c:pt idx="288">
                  <c:v>-303.86674576495921</c:v>
                </c:pt>
                <c:pt idx="289">
                  <c:v>-296.74708478917933</c:v>
                </c:pt>
                <c:pt idx="290">
                  <c:v>-290.11732179573227</c:v>
                </c:pt>
                <c:pt idx="291">
                  <c:v>-283.91077537954953</c:v>
                </c:pt>
                <c:pt idx="292">
                  <c:v>-278.07179633246454</c:v>
                </c:pt>
                <c:pt idx="293">
                  <c:v>-272.55349202036814</c:v>
                </c:pt>
                <c:pt idx="294">
                  <c:v>-267.31599504280854</c:v>
                </c:pt>
                <c:pt idx="295">
                  <c:v>-262.32512152580063</c:v>
                </c:pt>
                <c:pt idx="296">
                  <c:v>-257.55132485851408</c:v>
                </c:pt>
                <c:pt idx="297">
                  <c:v>-252.96886694087934</c:v>
                </c:pt>
                <c:pt idx="298">
                  <c:v>-248.55515798373881</c:v>
                </c:pt>
                <c:pt idx="299">
                  <c:v>-244.29022420357063</c:v>
                </c:pt>
                <c:pt idx="300">
                  <c:v>-240.15627246512531</c:v>
                </c:pt>
                <c:pt idx="301">
                  <c:v>-236.137335208011</c:v>
                </c:pt>
                <c:pt idx="302">
                  <c:v>-232.21897497545527</c:v>
                </c:pt>
                <c:pt idx="303">
                  <c:v>-228.38803746485453</c:v>
                </c:pt>
                <c:pt idx="304">
                  <c:v>-224.632441709669</c:v>
                </c:pt>
                <c:pt idx="305">
                  <c:v>-220.94100319811383</c:v>
                </c:pt>
                <c:pt idx="306">
                  <c:v>-217.30327900483877</c:v>
                </c:pt>
                <c:pt idx="307">
                  <c:v>-213.70943457351879</c:v>
                </c:pt>
                <c:pt idx="308">
                  <c:v>-210.15012325415697</c:v>
                </c:pt>
                <c:pt idx="309">
                  <c:v>-206.61638137773505</c:v>
                </c:pt>
                <c:pt idx="310">
                  <c:v>-203.56259481713789</c:v>
                </c:pt>
                <c:pt idx="311">
                  <c:v>-200.04096513382763</c:v>
                </c:pt>
                <c:pt idx="312">
                  <c:v>-196.51900321573461</c:v>
                </c:pt>
                <c:pt idx="313">
                  <c:v>-192.98832927230157</c:v>
                </c:pt>
                <c:pt idx="314">
                  <c:v>-189.44050512994201</c:v>
                </c:pt>
                <c:pt idx="315">
                  <c:v>-185.8669515308118</c:v>
                </c:pt>
                <c:pt idx="316">
                  <c:v>-182.3212839961565</c:v>
                </c:pt>
                <c:pt idx="317">
                  <c:v>-179.75039434721327</c:v>
                </c:pt>
                <c:pt idx="318">
                  <c:v>-177.18846419704511</c:v>
                </c:pt>
                <c:pt idx="319">
                  <c:v>-174.63057234620717</c:v>
                </c:pt>
                <c:pt idx="320">
                  <c:v>-172.07171386610892</c:v>
                </c:pt>
                <c:pt idx="321">
                  <c:v>-169.50674813548082</c:v>
                </c:pt>
                <c:pt idx="322">
                  <c:v>-166.9303419141298</c:v>
                </c:pt>
                <c:pt idx="323">
                  <c:v>-164.33690727363668</c:v>
                </c:pt>
                <c:pt idx="324">
                  <c:v>-161.72053131200622</c:v>
                </c:pt>
                <c:pt idx="325">
                  <c:v>-159.07489643027884</c:v>
                </c:pt>
                <c:pt idx="326">
                  <c:v>-156.3931880428492</c:v>
                </c:pt>
                <c:pt idx="327">
                  <c:v>-153.66798730850593</c:v>
                </c:pt>
                <c:pt idx="328">
                  <c:v>-150.89114353496649</c:v>
                </c:pt>
                <c:pt idx="329">
                  <c:v>-148.0536226416146</c:v>
                </c:pt>
                <c:pt idx="330">
                  <c:v>-144.64714148769568</c:v>
                </c:pt>
                <c:pt idx="331">
                  <c:v>-140.25864400980893</c:v>
                </c:pt>
                <c:pt idx="332">
                  <c:v>-135.72262444707459</c:v>
                </c:pt>
                <c:pt idx="333">
                  <c:v>-131.0204249702341</c:v>
                </c:pt>
                <c:pt idx="334">
                  <c:v>-126.13081753633445</c:v>
                </c:pt>
                <c:pt idx="335">
                  <c:v>-121.06799555063088</c:v>
                </c:pt>
                <c:pt idx="336">
                  <c:v>-116.02981829058592</c:v>
                </c:pt>
                <c:pt idx="337">
                  <c:v>-111.04364857887046</c:v>
                </c:pt>
                <c:pt idx="338">
                  <c:v>-106.10407198712828</c:v>
                </c:pt>
                <c:pt idx="339">
                  <c:v>-101.2057704244899</c:v>
                </c:pt>
                <c:pt idx="340">
                  <c:v>-96.343493580430277</c:v>
                </c:pt>
                <c:pt idx="341">
                  <c:v>-91.512029983841529</c:v>
                </c:pt>
                <c:pt idx="342">
                  <c:v>-86.706177144287153</c:v>
                </c:pt>
                <c:pt idx="343">
                  <c:v>-81.920710462876073</c:v>
                </c:pt>
                <c:pt idx="344">
                  <c:v>-77.150349834418435</c:v>
                </c:pt>
                <c:pt idx="345">
                  <c:v>-72.389723896128046</c:v>
                </c:pt>
                <c:pt idx="346">
                  <c:v>-67.633331313406245</c:v>
                </c:pt>
                <c:pt idx="347">
                  <c:v>-62.87549722744879</c:v>
                </c:pt>
                <c:pt idx="348">
                  <c:v>-58.1103250549492</c:v>
                </c:pt>
                <c:pt idx="349">
                  <c:v>-53.331641478626544</c:v>
                </c:pt>
                <c:pt idx="350">
                  <c:v>-48.53293355636351</c:v>
                </c:pt>
                <c:pt idx="351">
                  <c:v>-43.707275664882538</c:v>
                </c:pt>
                <c:pt idx="352">
                  <c:v>-38.847243995036145</c:v>
                </c:pt>
                <c:pt idx="353">
                  <c:v>-33.9448154558551</c:v>
                </c:pt>
                <c:pt idx="354">
                  <c:v>-31.353102937648256</c:v>
                </c:pt>
                <c:pt idx="355">
                  <c:v>-26.346844957031276</c:v>
                </c:pt>
                <c:pt idx="356">
                  <c:v>-21.270203555011022</c:v>
                </c:pt>
                <c:pt idx="357">
                  <c:v>-16.111417174879428</c:v>
                </c:pt>
                <c:pt idx="358">
                  <c:v>-10.85722403656556</c:v>
                </c:pt>
                <c:pt idx="359">
                  <c:v>-5.4925317870693409</c:v>
                </c:pt>
                <c:pt idx="360">
                  <c:v>-1.2270839657573114E-13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-220.26725232519479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-220.26725020461603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47.638655025514346</c:v>
                </c:pt>
                <c:pt idx="3">
                  <c:v>89.808772540252974</c:v>
                </c:pt>
                <c:pt idx="4">
                  <c:v>128.88164169904499</c:v>
                </c:pt>
                <c:pt idx="5">
                  <c:v>163.14999719150515</c:v>
                </c:pt>
                <c:pt idx="6">
                  <c:v>194.72586026931307</c:v>
                </c:pt>
                <c:pt idx="7">
                  <c:v>226.19863167237142</c:v>
                </c:pt>
                <c:pt idx="8">
                  <c:v>255.96720239575222</c:v>
                </c:pt>
                <c:pt idx="9">
                  <c:v>283.75180858466507</c:v>
                </c:pt>
                <c:pt idx="10">
                  <c:v>311.3104850959532</c:v>
                </c:pt>
                <c:pt idx="11">
                  <c:v>338.17847732100347</c:v>
                </c:pt>
                <c:pt idx="12">
                  <c:v>364.56148688543811</c:v>
                </c:pt>
                <c:pt idx="13">
                  <c:v>390.08111493551553</c:v>
                </c:pt>
                <c:pt idx="14">
                  <c:v>414.6072592114686</c:v>
                </c:pt>
                <c:pt idx="15">
                  <c:v>424.59350099338138</c:v>
                </c:pt>
                <c:pt idx="16">
                  <c:v>430.56593257143635</c:v>
                </c:pt>
                <c:pt idx="17">
                  <c:v>435.52165540993821</c:v>
                </c:pt>
                <c:pt idx="18">
                  <c:v>437.86544893836731</c:v>
                </c:pt>
                <c:pt idx="19">
                  <c:v>439.2969427507785</c:v>
                </c:pt>
                <c:pt idx="20">
                  <c:v>440.6793748758206</c:v>
                </c:pt>
                <c:pt idx="21">
                  <c:v>441.89690613185257</c:v>
                </c:pt>
                <c:pt idx="22">
                  <c:v>442.81357312077535</c:v>
                </c:pt>
                <c:pt idx="23">
                  <c:v>443.27919431200741</c:v>
                </c:pt>
                <c:pt idx="24">
                  <c:v>443.10501788808267</c:v>
                </c:pt>
                <c:pt idx="25">
                  <c:v>446.03759737095908</c:v>
                </c:pt>
                <c:pt idx="26">
                  <c:v>449.5768771232793</c:v>
                </c:pt>
                <c:pt idx="27">
                  <c:v>452.07885444151054</c:v>
                </c:pt>
                <c:pt idx="28">
                  <c:v>453.99350987577901</c:v>
                </c:pt>
                <c:pt idx="29">
                  <c:v>455.30556293439588</c:v>
                </c:pt>
                <c:pt idx="30">
                  <c:v>455.96925143249518</c:v>
                </c:pt>
                <c:pt idx="31">
                  <c:v>455.94398114974706</c:v>
                </c:pt>
                <c:pt idx="32">
                  <c:v>455.19360447125791</c:v>
                </c:pt>
                <c:pt idx="33">
                  <c:v>453.29317611937716</c:v>
                </c:pt>
                <c:pt idx="34">
                  <c:v>450.92325483471313</c:v>
                </c:pt>
                <c:pt idx="35">
                  <c:v>447.73624702468959</c:v>
                </c:pt>
                <c:pt idx="36">
                  <c:v>443.49045944058651</c:v>
                </c:pt>
                <c:pt idx="37">
                  <c:v>438.51634725199307</c:v>
                </c:pt>
                <c:pt idx="38">
                  <c:v>432.65449176732335</c:v>
                </c:pt>
                <c:pt idx="39">
                  <c:v>425.88360344935262</c:v>
                </c:pt>
                <c:pt idx="40">
                  <c:v>418.18273429073673</c:v>
                </c:pt>
                <c:pt idx="41">
                  <c:v>409.53096443342736</c:v>
                </c:pt>
                <c:pt idx="42">
                  <c:v>399.90408629767512</c:v>
                </c:pt>
                <c:pt idx="43">
                  <c:v>389.27031080896455</c:v>
                </c:pt>
                <c:pt idx="44">
                  <c:v>377.59739898935698</c:v>
                </c:pt>
                <c:pt idx="45">
                  <c:v>364.85128232418623</c:v>
                </c:pt>
                <c:pt idx="46">
                  <c:v>350.99565953004486</c:v>
                </c:pt>
                <c:pt idx="47">
                  <c:v>335.91696936706273</c:v>
                </c:pt>
                <c:pt idx="48">
                  <c:v>319.60483346376901</c:v>
                </c:pt>
                <c:pt idx="49">
                  <c:v>302.05336413887125</c:v>
                </c:pt>
                <c:pt idx="50">
                  <c:v>283.21099335900482</c:v>
                </c:pt>
                <c:pt idx="51">
                  <c:v>263.01880741394274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-342.9</c:v>
                </c:pt>
                <c:pt idx="1">
                  <c:v>-337.9</c:v>
                </c:pt>
                <c:pt idx="2">
                  <c:v>-300.94027</c:v>
                </c:pt>
                <c:pt idx="3">
                  <c:v>-263.98054000000002</c:v>
                </c:pt>
                <c:pt idx="4">
                  <c:v>-227.02081000000001</c:v>
                </c:pt>
                <c:pt idx="5">
                  <c:v>-190.06108</c:v>
                </c:pt>
                <c:pt idx="6">
                  <c:v>-153.10135</c:v>
                </c:pt>
                <c:pt idx="7">
                  <c:v>-116.14161999999999</c:v>
                </c:pt>
                <c:pt idx="8">
                  <c:v>-79.181889999999981</c:v>
                </c:pt>
                <c:pt idx="9">
                  <c:v>-42.222159999999981</c:v>
                </c:pt>
                <c:pt idx="10">
                  <c:v>-5.2624299999999806</c:v>
                </c:pt>
                <c:pt idx="11">
                  <c:v>31.69730000000002</c:v>
                </c:pt>
                <c:pt idx="12">
                  <c:v>68.65703000000002</c:v>
                </c:pt>
                <c:pt idx="13">
                  <c:v>105.61676000000003</c:v>
                </c:pt>
                <c:pt idx="14">
                  <c:v>142.57649000000004</c:v>
                </c:pt>
                <c:pt idx="15">
                  <c:v>179.53622000000004</c:v>
                </c:pt>
                <c:pt idx="16">
                  <c:v>216.49595000000005</c:v>
                </c:pt>
                <c:pt idx="17">
                  <c:v>253.45568000000006</c:v>
                </c:pt>
                <c:pt idx="18">
                  <c:v>290.41541000000007</c:v>
                </c:pt>
                <c:pt idx="19">
                  <c:v>327.37514000000004</c:v>
                </c:pt>
                <c:pt idx="20">
                  <c:v>364.33487000000002</c:v>
                </c:pt>
                <c:pt idx="21">
                  <c:v>401.2946</c:v>
                </c:pt>
                <c:pt idx="22">
                  <c:v>438.25432999999998</c:v>
                </c:pt>
                <c:pt idx="23">
                  <c:v>475.21405999999996</c:v>
                </c:pt>
                <c:pt idx="24">
                  <c:v>512.17378999999994</c:v>
                </c:pt>
                <c:pt idx="25">
                  <c:v>549.13351999999998</c:v>
                </c:pt>
                <c:pt idx="26">
                  <c:v>586.09325000000001</c:v>
                </c:pt>
                <c:pt idx="27">
                  <c:v>623.05298000000005</c:v>
                </c:pt>
                <c:pt idx="28">
                  <c:v>660.01271000000008</c:v>
                </c:pt>
                <c:pt idx="29">
                  <c:v>696.97244000000012</c:v>
                </c:pt>
                <c:pt idx="30">
                  <c:v>733.93217000000016</c:v>
                </c:pt>
                <c:pt idx="31">
                  <c:v>770.89190000000019</c:v>
                </c:pt>
                <c:pt idx="32">
                  <c:v>807.85163000000023</c:v>
                </c:pt>
                <c:pt idx="33">
                  <c:v>844.81136000000026</c:v>
                </c:pt>
                <c:pt idx="34">
                  <c:v>881.7710900000003</c:v>
                </c:pt>
                <c:pt idx="35">
                  <c:v>918.73082000000034</c:v>
                </c:pt>
                <c:pt idx="36">
                  <c:v>955.69055000000037</c:v>
                </c:pt>
                <c:pt idx="37">
                  <c:v>992.65028000000041</c:v>
                </c:pt>
                <c:pt idx="38">
                  <c:v>1029.6100100000003</c:v>
                </c:pt>
                <c:pt idx="39">
                  <c:v>1066.5697400000004</c:v>
                </c:pt>
                <c:pt idx="40">
                  <c:v>1103.5294700000004</c:v>
                </c:pt>
                <c:pt idx="41">
                  <c:v>1140.4892000000004</c:v>
                </c:pt>
                <c:pt idx="42">
                  <c:v>1177.4489300000005</c:v>
                </c:pt>
                <c:pt idx="43">
                  <c:v>1214.4086600000005</c:v>
                </c:pt>
                <c:pt idx="44">
                  <c:v>1251.3683900000005</c:v>
                </c:pt>
                <c:pt idx="45">
                  <c:v>1288.3281200000006</c:v>
                </c:pt>
                <c:pt idx="46">
                  <c:v>1325.2878500000006</c:v>
                </c:pt>
                <c:pt idx="47">
                  <c:v>1362.2475800000007</c:v>
                </c:pt>
                <c:pt idx="48">
                  <c:v>1399.2073100000007</c:v>
                </c:pt>
                <c:pt idx="49">
                  <c:v>1436.1670400000007</c:v>
                </c:pt>
                <c:pt idx="50">
                  <c:v>1473.1267700000008</c:v>
                </c:pt>
                <c:pt idx="51">
                  <c:v>1510.0865000000008</c:v>
                </c:pt>
                <c:pt idx="52">
                  <c:v>1510.0865000000008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14.142135623730951</c:v>
                </c:pt>
                <c:pt idx="1">
                  <c:v>311.50493408547152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-5</c:v>
                </c:pt>
                <c:pt idx="1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704851</xdr:colOff>
      <xdr:row>45</xdr:row>
      <xdr:rowOff>150187</xdr:rowOff>
    </xdr:from>
    <xdr:to>
      <xdr:col>18</xdr:col>
      <xdr:colOff>381000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774700</xdr:colOff>
          <xdr:row>121</xdr:row>
          <xdr:rowOff>63500</xdr:rowOff>
        </xdr:from>
        <xdr:to>
          <xdr:col>2</xdr:col>
          <xdr:colOff>889000</xdr:colOff>
          <xdr:row>126</xdr:row>
          <xdr:rowOff>50800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473075</xdr:colOff>
      <xdr:row>127</xdr:row>
      <xdr:rowOff>41275</xdr:rowOff>
    </xdr:from>
    <xdr:to>
      <xdr:col>15</xdr:col>
      <xdr:colOff>241300</xdr:colOff>
      <xdr:row>170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50800</xdr:rowOff>
        </xdr:from>
        <xdr:to>
          <xdr:col>5</xdr:col>
          <xdr:colOff>1155700</xdr:colOff>
          <xdr:row>126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546100</xdr:colOff>
          <xdr:row>121</xdr:row>
          <xdr:rowOff>152400</xdr:rowOff>
        </xdr:from>
        <xdr:to>
          <xdr:col>13</xdr:col>
          <xdr:colOff>342900</xdr:colOff>
          <xdr:row>125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A490"/>
  <sheetViews>
    <sheetView tabSelected="1" topLeftCell="A104" workbookViewId="0">
      <selection activeCell="B121" sqref="B121"/>
    </sheetView>
  </sheetViews>
  <sheetFormatPr baseColWidth="10" defaultColWidth="8.83203125" defaultRowHeight="15" x14ac:dyDescent="0.2"/>
  <cols>
    <col min="1" max="1" width="16.5" customWidth="1"/>
    <col min="2" max="2" width="18.5" bestFit="1" customWidth="1"/>
    <col min="3" max="3" width="13.83203125" customWidth="1"/>
    <col min="4" max="4" width="10.6640625" customWidth="1"/>
    <col min="5" max="5" width="10.5" customWidth="1"/>
    <col min="6" max="6" width="19.83203125" customWidth="1"/>
    <col min="7" max="7" width="12.5" bestFit="1" customWidth="1"/>
    <col min="8" max="8" width="14.5" bestFit="1" customWidth="1"/>
    <col min="9" max="9" width="13.5" bestFit="1" customWidth="1"/>
    <col min="10" max="10" width="10.1640625" customWidth="1"/>
    <col min="11" max="11" width="11.6640625" customWidth="1"/>
    <col min="13" max="13" width="9.33203125" bestFit="1" customWidth="1"/>
    <col min="14" max="14" width="12.5" customWidth="1"/>
    <col min="22" max="22" width="11.83203125" customWidth="1"/>
    <col min="23" max="23" width="11" bestFit="1" customWidth="1"/>
    <col min="25" max="25" width="12" bestFit="1" customWidth="1"/>
  </cols>
  <sheetData>
    <row r="1" spans="1:8" x14ac:dyDescent="0.2">
      <c r="D1" t="s">
        <v>7</v>
      </c>
      <c r="G1" t="s">
        <v>14</v>
      </c>
    </row>
    <row r="2" spans="1:8" x14ac:dyDescent="0.2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31</v>
      </c>
      <c r="H3" s="6">
        <f>G3</f>
        <v>31</v>
      </c>
    </row>
    <row r="4" spans="1:8" x14ac:dyDescent="0.2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">
      <c r="A5" s="2" t="s">
        <v>2</v>
      </c>
      <c r="B5" s="36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">
      <c r="A6" s="2" t="s">
        <v>3</v>
      </c>
      <c r="B6" s="36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">
      <c r="A9" t="s">
        <v>8</v>
      </c>
    </row>
    <row r="10" spans="1:8" x14ac:dyDescent="0.2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16</v>
      </c>
      <c r="E14" s="36">
        <v>4</v>
      </c>
      <c r="F14" s="27" t="s">
        <v>92</v>
      </c>
    </row>
    <row r="15" spans="1:8" x14ac:dyDescent="0.2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26</v>
      </c>
    </row>
    <row r="16" spans="1:8" x14ac:dyDescent="0.2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10</v>
      </c>
      <c r="E16" s="36">
        <v>26</v>
      </c>
    </row>
    <row r="17" spans="1:5" x14ac:dyDescent="0.2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16</v>
      </c>
      <c r="E17" s="36">
        <v>26</v>
      </c>
    </row>
    <row r="18" spans="1:5" x14ac:dyDescent="0.2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">
      <c r="A26" s="26" t="s">
        <v>15</v>
      </c>
    </row>
    <row r="27" spans="1:5" x14ac:dyDescent="0.2">
      <c r="A27" s="2" t="s">
        <v>16</v>
      </c>
    </row>
    <row r="28" spans="1:5" x14ac:dyDescent="0.2">
      <c r="A28" s="2" t="s">
        <v>17</v>
      </c>
      <c r="B28">
        <f>B5*B6</f>
        <v>600</v>
      </c>
      <c r="C28" t="s">
        <v>18</v>
      </c>
    </row>
    <row r="29" spans="1:5" x14ac:dyDescent="0.2">
      <c r="A29" s="2" t="s">
        <v>19</v>
      </c>
      <c r="B29">
        <f>B28*B2</f>
        <v>3000</v>
      </c>
      <c r="C29" t="s">
        <v>20</v>
      </c>
    </row>
    <row r="30" spans="1:5" x14ac:dyDescent="0.2">
      <c r="A30" s="2" t="s">
        <v>21</v>
      </c>
      <c r="B30">
        <f>B29*(B6/2)</f>
        <v>45000</v>
      </c>
      <c r="C30" t="s">
        <v>23</v>
      </c>
    </row>
    <row r="31" spans="1:5" x14ac:dyDescent="0.2">
      <c r="A31" s="2" t="s">
        <v>22</v>
      </c>
      <c r="B31">
        <f>B29*(B5/2)</f>
        <v>30000</v>
      </c>
      <c r="C31" t="s">
        <v>23</v>
      </c>
    </row>
    <row r="33" spans="1:6" x14ac:dyDescent="0.2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279.39999999999998</v>
      </c>
    </row>
    <row r="37" spans="1:6" x14ac:dyDescent="0.2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1117.5999999999999</v>
      </c>
    </row>
    <row r="39" spans="1:6" x14ac:dyDescent="0.2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6" thickBot="1" x14ac:dyDescent="0.25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6" thickTop="1" x14ac:dyDescent="0.2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">
      <c r="A50" s="2" t="s">
        <v>30</v>
      </c>
      <c r="B50" s="6">
        <f ca="1">F46+B31</f>
        <v>33492.5</v>
      </c>
    </row>
    <row r="52" spans="1:21" x14ac:dyDescent="0.2">
      <c r="A52" s="27" t="s">
        <v>34</v>
      </c>
    </row>
    <row r="53" spans="1:21" x14ac:dyDescent="0.2">
      <c r="A53" s="2" t="s">
        <v>36</v>
      </c>
      <c r="B53" s="34">
        <v>98.041697872170303</v>
      </c>
      <c r="C53" t="s">
        <v>39</v>
      </c>
    </row>
    <row r="55" spans="1:21" x14ac:dyDescent="0.2">
      <c r="A55" s="2" t="s">
        <v>16</v>
      </c>
    </row>
    <row r="56" spans="1:21" x14ac:dyDescent="0.2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16.478588959156042</v>
      </c>
      <c r="D57" s="4">
        <f ca="1">-1*A57*SIN(RADIANS(-1*$B$53))+B57*COS(RADIANS(-1*$B$53))</f>
        <v>-7.7711660479536047</v>
      </c>
      <c r="F57" t="s">
        <v>40</v>
      </c>
      <c r="G57">
        <f ca="1">MAX(D57:D61)-MIN(D57:D61)</f>
        <v>24.000142822663015</v>
      </c>
      <c r="H57" t="s">
        <v>6</v>
      </c>
      <c r="T57" t="s">
        <v>82</v>
      </c>
    </row>
    <row r="58" spans="1:21" x14ac:dyDescent="0.2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13.680714026347747</v>
      </c>
      <c r="D58" s="4">
        <f t="shared" ref="D58:D61" ca="1" si="9">-1*A58*SIN(RADIANS(-1*$B$53))+B58*COS(RADIANS(-1*$B$53))</f>
        <v>12.032164375496967</v>
      </c>
      <c r="F58" t="s">
        <v>62</v>
      </c>
      <c r="G58" s="7">
        <f ca="1">MAX(D57:D61)</f>
        <v>12.032164375496967</v>
      </c>
      <c r="T58" t="s">
        <v>0</v>
      </c>
      <c r="U58" t="s">
        <v>1</v>
      </c>
    </row>
    <row r="59" spans="1:21" x14ac:dyDescent="0.2">
      <c r="A59" s="6">
        <f ca="1">D5-$D$49</f>
        <v>10</v>
      </c>
      <c r="B59" s="7">
        <f t="shared" ca="1" si="7"/>
        <v>14.770590430693439</v>
      </c>
      <c r="C59" s="4">
        <f t="shared" ca="1" si="8"/>
        <v>-16.024281608828112</v>
      </c>
      <c r="D59" s="4">
        <f t="shared" ca="1" si="9"/>
        <v>7.8353519762845227</v>
      </c>
      <c r="T59">
        <f ca="1">MAX(MAX(C57:C61),MAX(D57:D61))</f>
        <v>16.478588959156042</v>
      </c>
      <c r="U59">
        <f ca="1">T59</f>
        <v>16.478588959156042</v>
      </c>
    </row>
    <row r="60" spans="1:21" x14ac:dyDescent="0.2">
      <c r="A60" s="6">
        <f ca="1">D6-$D$49</f>
        <v>-10</v>
      </c>
      <c r="B60" s="7">
        <f t="shared" ca="1" si="7"/>
        <v>14.770590430693439</v>
      </c>
      <c r="C60" s="4">
        <f t="shared" ca="1" si="8"/>
        <v>-13.226406676019815</v>
      </c>
      <c r="D60" s="4">
        <f t="shared" ca="1" si="9"/>
        <v>-11.967978447166049</v>
      </c>
      <c r="T60">
        <f ca="1">-1*T59</f>
        <v>-16.478588959156042</v>
      </c>
      <c r="U60">
        <f ca="1">-1*U59</f>
        <v>-16.478588959156042</v>
      </c>
    </row>
    <row r="61" spans="1:21" x14ac:dyDescent="0.2">
      <c r="A61" s="6">
        <f ca="1">D7-$D$49</f>
        <v>-10</v>
      </c>
      <c r="B61" s="7">
        <f t="shared" ca="1" si="7"/>
        <v>-15.229409569306561</v>
      </c>
      <c r="C61" s="4">
        <f t="shared" ca="1" si="8"/>
        <v>16.478588959156042</v>
      </c>
      <c r="D61" s="4">
        <f t="shared" ca="1" si="9"/>
        <v>-7.7711660479536047</v>
      </c>
    </row>
    <row r="62" spans="1:21" x14ac:dyDescent="0.2">
      <c r="A62" s="6"/>
    </row>
    <row r="63" spans="1:21" x14ac:dyDescent="0.2">
      <c r="A63" s="28" t="s">
        <v>24</v>
      </c>
      <c r="F63" s="1" t="s">
        <v>37</v>
      </c>
      <c r="G63" s="1" t="s">
        <v>38</v>
      </c>
    </row>
    <row r="64" spans="1:21" x14ac:dyDescent="0.2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11.958347887904269</v>
      </c>
      <c r="G64" s="4">
        <f ca="1">IF(C64&gt;0,-1*D64*SIN(RADIANS(-1*$B$53))+E64*COS(RADIANS(-1*$B$53)),0)</f>
        <v>-4.3700749498251499</v>
      </c>
    </row>
    <row r="65" spans="1:7" x14ac:dyDescent="0.2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10.279622928219291</v>
      </c>
      <c r="G65" s="4">
        <f t="shared" ref="G65:G75" ca="1" si="14">IF(C65&gt;0,-1*D65*SIN(RADIANS(-1*$B$53))+E65*COS(RADIANS(-1*$B$53)),0)</f>
        <v>7.5119233042451929</v>
      </c>
    </row>
    <row r="66" spans="1:7" x14ac:dyDescent="0.2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-6</v>
      </c>
      <c r="E66" s="6">
        <f t="shared" ca="1" si="12"/>
        <v>10.770590430693439</v>
      </c>
      <c r="F66" s="4">
        <f t="shared" ca="1" si="13"/>
        <v>-9.8253155778913595</v>
      </c>
      <c r="G66" s="4">
        <f t="shared" ca="1" si="14"/>
        <v>-7.4477373759142758</v>
      </c>
    </row>
    <row r="67" spans="1:7" x14ac:dyDescent="0.2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-10.664678057733848</v>
      </c>
      <c r="G67" s="4">
        <f t="shared" ca="1" si="14"/>
        <v>-1.5067382488791039</v>
      </c>
    </row>
    <row r="68" spans="1:7" x14ac:dyDescent="0.2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6</v>
      </c>
      <c r="E68" s="6">
        <f t="shared" ca="1" si="12"/>
        <v>10.770590430693439</v>
      </c>
      <c r="F68" s="4">
        <f t="shared" ca="1" si="13"/>
        <v>-11.504040537576337</v>
      </c>
      <c r="G68" s="4">
        <f t="shared" ca="1" si="14"/>
        <v>4.4342608781560671</v>
      </c>
    </row>
    <row r="69" spans="1:7" x14ac:dyDescent="0.2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">
      <c r="G76" s="7">
        <f ca="1">MIN(G64:G75)</f>
        <v>-7.4477373759142758</v>
      </c>
    </row>
    <row r="77" spans="1:7" x14ac:dyDescent="0.2">
      <c r="D77" t="s">
        <v>0</v>
      </c>
      <c r="E77" t="s">
        <v>1</v>
      </c>
    </row>
    <row r="78" spans="1:7" x14ac:dyDescent="0.2">
      <c r="A78" s="2" t="s">
        <v>41</v>
      </c>
      <c r="B78" s="34">
        <v>5.1695190022219784</v>
      </c>
      <c r="C78" t="s">
        <v>6</v>
      </c>
      <c r="D78" s="4">
        <f ca="1">MIN(C57:C61)</f>
        <v>-16.024281608828112</v>
      </c>
      <c r="E78" s="4">
        <f ca="1">MAX(D57:D61)-B78</f>
        <v>6.8626453732749884</v>
      </c>
    </row>
    <row r="79" spans="1:7" x14ac:dyDescent="0.2">
      <c r="A79" s="2"/>
      <c r="D79" s="4">
        <f ca="1">MAX(C57:C61)</f>
        <v>16.478588959156042</v>
      </c>
      <c r="E79" s="4">
        <f ca="1">E78</f>
        <v>6.8626453732749884</v>
      </c>
    </row>
    <row r="80" spans="1:7" x14ac:dyDescent="0.2">
      <c r="A80" s="2"/>
    </row>
    <row r="81" spans="1:12" x14ac:dyDescent="0.2">
      <c r="A81" s="2" t="s">
        <v>42</v>
      </c>
      <c r="B81" s="1">
        <f>B78*B4</f>
        <v>4.1356152017775827</v>
      </c>
      <c r="C81" t="s">
        <v>6</v>
      </c>
      <c r="D81" t="s">
        <v>0</v>
      </c>
      <c r="E81" t="s">
        <v>1</v>
      </c>
    </row>
    <row r="82" spans="1:12" x14ac:dyDescent="0.2">
      <c r="D82" s="4">
        <f ca="1">MIN(C57:C61)</f>
        <v>-16.024281608828112</v>
      </c>
      <c r="E82" s="4">
        <f ca="1">MAX(D57:D61)-B81</f>
        <v>7.896549173719384</v>
      </c>
    </row>
    <row r="83" spans="1:12" x14ac:dyDescent="0.2">
      <c r="D83" s="4">
        <f ca="1">MAX(C57:C61)</f>
        <v>16.478588959156042</v>
      </c>
      <c r="E83" s="4">
        <f ca="1">E82</f>
        <v>7.896549173719384</v>
      </c>
    </row>
    <row r="84" spans="1:12" x14ac:dyDescent="0.2">
      <c r="A84" t="s">
        <v>47</v>
      </c>
    </row>
    <row r="85" spans="1:12" x14ac:dyDescent="0.2">
      <c r="A85" s="2" t="s">
        <v>55</v>
      </c>
      <c r="B85" s="1">
        <f>0.85*B2</f>
        <v>4.25</v>
      </c>
      <c r="C85" t="s">
        <v>5</v>
      </c>
    </row>
    <row r="87" spans="1:12" x14ac:dyDescent="0.2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">
      <c r="A88">
        <v>1</v>
      </c>
      <c r="B88" s="4">
        <f t="shared" ref="B88:C91" ca="1" si="15">C57</f>
        <v>16.478588959156042</v>
      </c>
      <c r="C88" s="4">
        <f t="shared" ca="1" si="15"/>
        <v>-7.7711660479536047</v>
      </c>
      <c r="D88" s="4">
        <f t="shared" ref="D88:E91" ca="1" si="16">C58</f>
        <v>13.680714026347747</v>
      </c>
      <c r="E88" s="4">
        <f t="shared" ca="1" si="16"/>
        <v>12.032164375496967</v>
      </c>
      <c r="F88" s="1">
        <f ca="1">IF(AND(E88&gt;=E$82,C88&lt;=E$82),1,IF(AND(C88&gt;=E$82,E88&gt;=E$82),3,IF(AND(E88&lt;=E$82,C88&gt;=E$82),2,0)))</f>
        <v>1</v>
      </c>
      <c r="G88" s="1">
        <f ca="1">IF(E88=C88,"H",IF(B88=D88,"V",(E88-C88)/(D88-B88)))</f>
        <v>-7.0779898669643142</v>
      </c>
      <c r="H88" s="4">
        <f ca="1">IF(OR(F88=1,F88=2),IF(G88="V",B88,(E$82-C88+(G88*B88))/G88),NA())</f>
        <v>14.265006357858431</v>
      </c>
      <c r="I88" s="4">
        <f ca="1">IF(OR(F88=1,F88=2),E$82,NA())</f>
        <v>7.896549173719384</v>
      </c>
      <c r="J88" s="5">
        <f ca="1">IF(F88=0,0,IF(F88=1,-0.5*B$85*(H88+D88)*(I88-E88),IF(F88=2,-0.5*B$85*(B88+H88)*(C88-I88),IF(F88=3,-0.5*B$85*(B88+D88)*(C88-E88),0))))</f>
        <v>245.59208534679107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2443.627853380784</v>
      </c>
      <c r="L88" s="5">
        <f ca="1">IF(F88=1,(1/6)*B$85*(POWER(H88,2)+H88*D88+POWER(D88,2))*(E88-I88),IF(F88=2,(1/6)*B$85*(POWER(B88,2)+B88*H88+POWER(H88,2))*(I88-C88),IF(F88=3,(1/6)*B$85*(POWER(B88,2)+B88*D88+POWER(D88,2))*(E88-C88),0)))</f>
        <v>1716.0619583955424</v>
      </c>
    </row>
    <row r="89" spans="1:12" x14ac:dyDescent="0.2">
      <c r="A89">
        <v>2</v>
      </c>
      <c r="B89" s="4">
        <f t="shared" ca="1" si="15"/>
        <v>13.680714026347747</v>
      </c>
      <c r="C89" s="4">
        <f t="shared" ca="1" si="15"/>
        <v>12.032164375496967</v>
      </c>
      <c r="D89" s="4">
        <f t="shared" ca="1" si="16"/>
        <v>-16.024281608828112</v>
      </c>
      <c r="E89" s="4">
        <f t="shared" ca="1" si="16"/>
        <v>7.8353519762845227</v>
      </c>
      <c r="F89" s="1">
        <f t="shared" ref="F89:F91" ca="1" si="17">IF(AND(E89&gt;=E$82,C89&lt;=E$82),1,IF(AND(C89&gt;=E$82,E89&gt;=E$82),3,IF(AND(E89&lt;=E$82,C89&gt;=E$82),2,0)))</f>
        <v>2</v>
      </c>
      <c r="G89" s="1">
        <f t="shared" ref="G89:G91" ca="1" si="18">IF(E89=C89,"H",IF(B89=D89,"V",(E89-C89)/(D89-B89)))</f>
        <v>0.14128305052644718</v>
      </c>
      <c r="H89" s="4">
        <f t="shared" ref="H89:H91" ca="1" si="19">IF(OR(F89=1,F89=2),IF(G89="V",B89,(E$82-C89+(G89*B89))/G89),NA())</f>
        <v>-15.591128465497551</v>
      </c>
      <c r="I89" s="4">
        <f t="shared" ref="I89:I91" ca="1" si="20">IF(OR(F89=1,F89=2),E$82,NA())</f>
        <v>7.896549173719384</v>
      </c>
      <c r="J89" s="5">
        <f t="shared" ref="J89:J91" ca="1" si="21">IF(F89=0,0,IF(F89=1,-0.5*B$85*(H89+D89)*(I89-E89),IF(F89=2,-0.5*B$85*(B89+H89)*(C89-I89),IF(F89=3,-0.5*B$85*(B89+D89)*(C89-E89),0))))</f>
        <v>16.789070367017064</v>
      </c>
      <c r="K89" s="5">
        <f t="shared" ref="K89:K91" ca="1" si="22">IF(F89=1,(1/6)*B$85*(E89-I89)*((H89*(2*I89+E89))+(D89*(I89+2*E89))),IF(F89=2,(1/6)*B$85*(I89-C89)*((B89*(2*C89+I89))+(H89*(C89+2*I89))),IF(F89=3,(1/6)*B$85*(E89-C89)*((B89*(2*C89+E89))+(D89*(C89+2*E89))),0)))</f>
        <v>-10.019656286044068</v>
      </c>
      <c r="L89" s="5">
        <f t="shared" ref="L89:L91" ca="1" si="23">IF(F89=1,(1/6)*B$85*(POWER(H89,2)+H89*D89+POWER(D89,2))*(E89-I89),IF(F89=2,(1/6)*B$85*(POWER(B89,2)+B89*H89+POWER(H89,2))*(I89-C89),IF(F89=3,(1/6)*B$85*(POWER(B89,2)+B89*D89+POWER(D89,2))*(E89-C89),0)))</f>
        <v>-635.52458972779448</v>
      </c>
    </row>
    <row r="90" spans="1:12" x14ac:dyDescent="0.2">
      <c r="A90">
        <v>3</v>
      </c>
      <c r="B90" s="4">
        <f t="shared" ca="1" si="15"/>
        <v>-16.024281608828112</v>
      </c>
      <c r="C90" s="4">
        <f t="shared" ca="1" si="15"/>
        <v>7.8353519762845227</v>
      </c>
      <c r="D90" s="4">
        <f t="shared" ca="1" si="16"/>
        <v>-13.226406676019815</v>
      </c>
      <c r="E90" s="4">
        <f t="shared" ca="1" si="16"/>
        <v>-11.967978447166049</v>
      </c>
      <c r="F90" s="1">
        <f t="shared" ca="1" si="17"/>
        <v>0</v>
      </c>
      <c r="G90" s="1">
        <f t="shared" ca="1" si="18"/>
        <v>-7.0779898669643098</v>
      </c>
      <c r="H90" s="4" t="e">
        <f t="shared" ca="1" si="19"/>
        <v>#N/A</v>
      </c>
      <c r="I90" s="4" t="e">
        <f t="shared" ca="1" si="20"/>
        <v>#N/A</v>
      </c>
      <c r="J90" s="5">
        <f t="shared" ca="1" si="21"/>
        <v>0</v>
      </c>
      <c r="K90" s="5">
        <f t="shared" ca="1" si="22"/>
        <v>0</v>
      </c>
      <c r="L90" s="5">
        <f t="shared" ca="1" si="23"/>
        <v>0</v>
      </c>
    </row>
    <row r="91" spans="1:12" ht="16" thickBot="1" x14ac:dyDescent="0.25">
      <c r="A91">
        <v>4</v>
      </c>
      <c r="B91" s="4">
        <f t="shared" ca="1" si="15"/>
        <v>-13.226406676019815</v>
      </c>
      <c r="C91" s="4">
        <f t="shared" ca="1" si="15"/>
        <v>-11.967978447166049</v>
      </c>
      <c r="D91" s="4">
        <f t="shared" ca="1" si="16"/>
        <v>16.478588959156042</v>
      </c>
      <c r="E91" s="4">
        <f t="shared" ca="1" si="16"/>
        <v>-7.7711660479536047</v>
      </c>
      <c r="F91" s="1">
        <f t="shared" ca="1" si="17"/>
        <v>0</v>
      </c>
      <c r="G91" s="1">
        <f t="shared" ca="1" si="18"/>
        <v>0.14128305052644721</v>
      </c>
      <c r="H91" s="4" t="e">
        <f t="shared" ca="1" si="19"/>
        <v>#N/A</v>
      </c>
      <c r="I91" s="4" t="e">
        <f t="shared" ca="1" si="20"/>
        <v>#N/A</v>
      </c>
      <c r="J91" s="24">
        <f t="shared" ca="1" si="21"/>
        <v>0</v>
      </c>
      <c r="K91" s="24">
        <f t="shared" ca="1" si="22"/>
        <v>0</v>
      </c>
      <c r="L91" s="24">
        <f t="shared" ca="1" si="23"/>
        <v>0</v>
      </c>
    </row>
    <row r="92" spans="1:12" ht="16" thickTop="1" x14ac:dyDescent="0.2">
      <c r="B92" s="1"/>
      <c r="C92" s="1"/>
      <c r="D92" s="1"/>
      <c r="E92" s="1"/>
      <c r="F92" s="1"/>
      <c r="G92" s="1"/>
      <c r="H92" s="1"/>
      <c r="I92" s="1"/>
      <c r="J92" s="5">
        <f ca="1">SUM(J88:J91)</f>
        <v>262.38115571380814</v>
      </c>
      <c r="K92" s="5">
        <f ca="1">SUM(K88:K91)</f>
        <v>2433.6081970947398</v>
      </c>
      <c r="L92" s="5">
        <f ca="1">SUM(L88:L91)*-1</f>
        <v>-1080.5373686677481</v>
      </c>
    </row>
    <row r="95" spans="1:12" x14ac:dyDescent="0.2">
      <c r="A95" t="s">
        <v>56</v>
      </c>
    </row>
    <row r="96" spans="1:12" x14ac:dyDescent="0.2">
      <c r="A96" s="2" t="s">
        <v>58</v>
      </c>
      <c r="B96" s="1">
        <v>3.0000000000000001E-3</v>
      </c>
    </row>
    <row r="97" spans="1:21" x14ac:dyDescent="0.2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21" x14ac:dyDescent="0.2">
      <c r="A98" s="8">
        <f>A64</f>
        <v>1</v>
      </c>
      <c r="B98" s="7">
        <f ca="1">C13</f>
        <v>1.27</v>
      </c>
      <c r="C98">
        <f t="shared" ca="1" si="24"/>
        <v>11.958347887904269</v>
      </c>
      <c r="D98">
        <f t="shared" ca="1" si="25"/>
        <v>-4.3700749498251499</v>
      </c>
      <c r="E98" s="7">
        <f ca="1">G$58-D98</f>
        <v>16.402239325322117</v>
      </c>
      <c r="F98" s="11">
        <f ca="1">IF(B98=0,0,((B$78-E98)/B$78)*B$96)</f>
        <v>-6.5186259988242951E-3</v>
      </c>
      <c r="G98" s="4">
        <f ca="1">IF(AND(F98&gt;0,E98&lt;=B$81),MIN((F98*B$11),B$10)-B$85,MAX(F98*B$11,-1*B$10))</f>
        <v>-60</v>
      </c>
      <c r="H98" s="4">
        <f ca="1">G98*B98</f>
        <v>-76.2</v>
      </c>
      <c r="I98" s="4">
        <f ca="1">H98*D98</f>
        <v>332.99971117667644</v>
      </c>
      <c r="J98" s="4">
        <f ca="1">H98*C98</f>
        <v>-911.22610905830538</v>
      </c>
    </row>
    <row r="99" spans="1:21" x14ac:dyDescent="0.2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10.279622928219291</v>
      </c>
      <c r="D99">
        <f t="shared" ca="1" si="25"/>
        <v>7.5119233042451929</v>
      </c>
      <c r="E99" s="7">
        <f t="shared" ref="E99:E109" ca="1" si="28">G$58-D99</f>
        <v>4.5202410712517738</v>
      </c>
      <c r="F99" s="11">
        <f t="shared" ref="F99:F109" ca="1" si="29">IF(B99=0,0,((B$78-E99)/B$78)*B$96)</f>
        <v>3.7679207525369188E-4</v>
      </c>
      <c r="G99" s="4">
        <f t="shared" ref="G99:G109" ca="1" si="30">IF(AND(F99&gt;0,E99&lt;=B$81),MIN((F99*B$11),B$10)-B$85,MAX(F99*B$11,-1*B$10))</f>
        <v>11.303762257610757</v>
      </c>
      <c r="H99" s="4">
        <f t="shared" ref="H99:H109" ca="1" si="31">G99*B99</f>
        <v>14.355778067165661</v>
      </c>
      <c r="I99" s="4">
        <f t="shared" ref="I99:I109" ca="1" si="32">H99*D99</f>
        <v>107.83950381331374</v>
      </c>
      <c r="J99" s="4">
        <f t="shared" ref="J99:J109" ca="1" si="33">H99*C99</f>
        <v>147.57198537166374</v>
      </c>
    </row>
    <row r="100" spans="1:21" x14ac:dyDescent="0.2">
      <c r="A100" s="8">
        <f t="shared" si="26"/>
        <v>3</v>
      </c>
      <c r="B100" s="7">
        <f t="shared" ca="1" si="27"/>
        <v>1.27</v>
      </c>
      <c r="C100">
        <f t="shared" ca="1" si="24"/>
        <v>-9.8253155778913595</v>
      </c>
      <c r="D100">
        <f t="shared" ca="1" si="25"/>
        <v>-7.4477373759142758</v>
      </c>
      <c r="E100" s="7">
        <f t="shared" ca="1" si="28"/>
        <v>19.479901751411241</v>
      </c>
      <c r="F100" s="11">
        <f t="shared" ca="1" si="29"/>
        <v>-8.3046697824526797E-3</v>
      </c>
      <c r="G100" s="4">
        <f t="shared" ca="1" si="30"/>
        <v>-60</v>
      </c>
      <c r="H100" s="4">
        <f t="shared" ca="1" si="31"/>
        <v>-76.2</v>
      </c>
      <c r="I100" s="4">
        <f t="shared" ca="1" si="32"/>
        <v>567.51758804466783</v>
      </c>
      <c r="J100" s="4">
        <f t="shared" ca="1" si="33"/>
        <v>748.68904703532166</v>
      </c>
    </row>
    <row r="101" spans="1:21" x14ac:dyDescent="0.2">
      <c r="A101" s="8">
        <f t="shared" si="26"/>
        <v>4</v>
      </c>
      <c r="B101" s="7">
        <f t="shared" ca="1" si="27"/>
        <v>1.27</v>
      </c>
      <c r="C101">
        <f t="shared" ca="1" si="24"/>
        <v>-10.664678057733848</v>
      </c>
      <c r="D101">
        <f t="shared" ca="1" si="25"/>
        <v>-1.5067382488791039</v>
      </c>
      <c r="E101" s="7">
        <f t="shared" ca="1" si="28"/>
        <v>13.538902624376071</v>
      </c>
      <c r="F101" s="11">
        <f t="shared" ca="1" si="29"/>
        <v>-4.8569607454136869E-3</v>
      </c>
      <c r="G101" s="4">
        <f t="shared" ca="1" si="30"/>
        <v>-60</v>
      </c>
      <c r="H101" s="4">
        <f t="shared" ca="1" si="31"/>
        <v>-76.2</v>
      </c>
      <c r="I101" s="4">
        <f t="shared" ca="1" si="32"/>
        <v>114.81345456458772</v>
      </c>
      <c r="J101" s="4">
        <f t="shared" ca="1" si="33"/>
        <v>812.64846799931922</v>
      </c>
    </row>
    <row r="102" spans="1:21" x14ac:dyDescent="0.2">
      <c r="A102" s="8">
        <f t="shared" si="26"/>
        <v>5</v>
      </c>
      <c r="B102" s="7">
        <f t="shared" ca="1" si="27"/>
        <v>1.27</v>
      </c>
      <c r="C102">
        <f t="shared" ca="1" si="24"/>
        <v>-11.504040537576337</v>
      </c>
      <c r="D102">
        <f t="shared" ca="1" si="25"/>
        <v>4.4342608781560671</v>
      </c>
      <c r="E102" s="7">
        <f t="shared" ca="1" si="28"/>
        <v>7.5979034973408996</v>
      </c>
      <c r="F102" s="11">
        <f t="shared" ca="1" si="29"/>
        <v>-1.4092517083746936E-3</v>
      </c>
      <c r="G102" s="4">
        <f t="shared" ca="1" si="30"/>
        <v>-42.277551251240808</v>
      </c>
      <c r="H102" s="4">
        <f t="shared" ca="1" si="31"/>
        <v>-53.692490089075825</v>
      </c>
      <c r="I102" s="4">
        <f t="shared" ca="1" si="32"/>
        <v>-238.0865082527713</v>
      </c>
      <c r="J102" s="4">
        <f t="shared" ca="1" si="33"/>
        <v>617.680582548144</v>
      </c>
    </row>
    <row r="103" spans="1:21" x14ac:dyDescent="0.2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12.032164375496967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21" x14ac:dyDescent="0.2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12.032164375496967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21" x14ac:dyDescent="0.2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12.032164375496967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21" x14ac:dyDescent="0.2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12.032164375496967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</row>
    <row r="107" spans="1:21" x14ac:dyDescent="0.2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12.032164375496967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</row>
    <row r="108" spans="1:21" x14ac:dyDescent="0.2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12.032164375496967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21" ht="16" thickBot="1" x14ac:dyDescent="0.25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12.032164375496967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21" ht="16" thickTop="1" x14ac:dyDescent="0.2">
      <c r="F110" s="11">
        <f ca="1">MIN(F98:F109)</f>
        <v>-8.3046697824526797E-3</v>
      </c>
      <c r="H110" s="4">
        <f ca="1">SUM(H98:H109)</f>
        <v>-267.93671202191018</v>
      </c>
      <c r="I110" s="4">
        <f ca="1">SUM(I98:I109)</f>
        <v>885.08374934647452</v>
      </c>
      <c r="J110" s="4">
        <f ca="1">SUM(J98:J109)*-1</f>
        <v>-1415.3639738961433</v>
      </c>
    </row>
    <row r="112" spans="1:21" x14ac:dyDescent="0.2">
      <c r="U112" t="s">
        <v>105</v>
      </c>
    </row>
    <row r="113" spans="1:27" x14ac:dyDescent="0.2">
      <c r="A113" s="2" t="s">
        <v>67</v>
      </c>
      <c r="B113" s="31">
        <f ca="1">J92+H110</f>
        <v>-5.5555563081020409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  <c r="U113" t="s">
        <v>106</v>
      </c>
      <c r="V113">
        <f ca="1">-1*J118</f>
        <v>342.9</v>
      </c>
      <c r="W113">
        <f ca="1">J116+V113</f>
        <v>337.89999932270814</v>
      </c>
      <c r="X113">
        <f ca="1">B118+V113</f>
        <v>337.9</v>
      </c>
    </row>
    <row r="114" spans="1:27" x14ac:dyDescent="0.2">
      <c r="A114" s="2" t="s">
        <v>69</v>
      </c>
      <c r="B114" s="4">
        <f ca="1">(((K92+I110)*COS(RADIANS(B53)))+((L92+J110)*SIN(RADIANS(B53))))</f>
        <v>-2935.6221998893639</v>
      </c>
      <c r="C114" t="s">
        <v>23</v>
      </c>
      <c r="D114" s="4">
        <f ca="1">(B113*(E49-H7))</f>
        <v>-1.2744977799000397</v>
      </c>
      <c r="E114" t="s">
        <v>23</v>
      </c>
      <c r="F114" s="4">
        <f ca="1">B114+D114</f>
        <v>-2936.8966976692641</v>
      </c>
      <c r="G114" s="10" t="str">
        <f>"= Mnx,gc"</f>
        <v>= Mnx,gc</v>
      </c>
      <c r="H114" s="4">
        <f ca="1">F114/12</f>
        <v>-244.74139147243866</v>
      </c>
      <c r="I114" t="s">
        <v>72</v>
      </c>
      <c r="J114" s="29">
        <f ca="1">H114*J113</f>
        <v>-220.26725232519479</v>
      </c>
      <c r="K114" t="s">
        <v>72</v>
      </c>
      <c r="P114" t="s">
        <v>87</v>
      </c>
      <c r="U114" t="s">
        <v>107</v>
      </c>
      <c r="V114">
        <v>62.864999999999981</v>
      </c>
      <c r="W114" s="6">
        <f ca="1">J114+V114</f>
        <v>-157.40225232519481</v>
      </c>
      <c r="X114">
        <f>B119+V114</f>
        <v>52.864999999999981</v>
      </c>
    </row>
    <row r="115" spans="1:27" x14ac:dyDescent="0.2">
      <c r="A115" s="2" t="s">
        <v>70</v>
      </c>
      <c r="B115" s="4">
        <f ca="1">(-1*(K92+I110)*SIN(RADIANS(B53)))+((L92+J110)*COS(RADIANS(B53)))</f>
        <v>-2936.8966693948805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-2936.8966693948805</v>
      </c>
      <c r="G115" s="10" t="str">
        <f>"= Mny,gc"</f>
        <v>= Mny,gc</v>
      </c>
      <c r="H115" s="4">
        <f ca="1">F115/12</f>
        <v>-244.74138911624004</v>
      </c>
      <c r="I115" t="s">
        <v>72</v>
      </c>
      <c r="J115" s="29">
        <f ca="1">H115*J113</f>
        <v>-220.26725020461603</v>
      </c>
      <c r="K115" t="s">
        <v>72</v>
      </c>
      <c r="M115" t="s">
        <v>79</v>
      </c>
      <c r="N115" s="9">
        <f ca="1">IF(DEGREES(ATAN2(J114,J115))&lt;0,DEGREES(ATAN2(J114,J115))+360,DEGREES(ATAN2(J114,J115)))</f>
        <v>224.9999997241982</v>
      </c>
      <c r="P115">
        <f ca="1">(-1*0.003*MAX(E98:E109))/(0.002-0.003)</f>
        <v>58.439705254233722</v>
      </c>
      <c r="U115" t="s">
        <v>108</v>
      </c>
      <c r="V115">
        <v>0</v>
      </c>
      <c r="W115" s="6">
        <f ca="1">J115+V115</f>
        <v>-220.26725020461603</v>
      </c>
      <c r="X115" s="6">
        <f>B120+V115</f>
        <v>-10</v>
      </c>
    </row>
    <row r="116" spans="1:27" x14ac:dyDescent="0.2">
      <c r="J116" s="30">
        <f ca="1">B113*J113</f>
        <v>-5.0000006772918368</v>
      </c>
      <c r="K116" t="s">
        <v>20</v>
      </c>
      <c r="W116">
        <f ca="1">IF(DEGREES(ATAN2(W114,W115))&lt;0,DEGREES(ATAN2(W114,W115))+360,DEGREES(ATAN2(W114,W115)))</f>
        <v>234.45052504540297</v>
      </c>
      <c r="X116">
        <f>IF(DEGREES(ATAN2(X114,X115))&lt;0,DEGREES(ATAN2(X114,X115))+360,DEGREES(ATAN2(X114,X115)))</f>
        <v>349.28843238693025</v>
      </c>
    </row>
    <row r="117" spans="1:27" x14ac:dyDescent="0.2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311.50493408547152</v>
      </c>
    </row>
    <row r="118" spans="1:27" x14ac:dyDescent="0.2">
      <c r="A118" s="2" t="s">
        <v>75</v>
      </c>
      <c r="B118" s="34">
        <v>-5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7" x14ac:dyDescent="0.2">
      <c r="A119" s="2" t="s">
        <v>76</v>
      </c>
      <c r="B119" s="34">
        <v>-10</v>
      </c>
      <c r="C119" t="s">
        <v>72</v>
      </c>
      <c r="G119" s="2" t="s">
        <v>80</v>
      </c>
      <c r="H119" s="33">
        <v>100</v>
      </c>
      <c r="L119">
        <f ca="1">B118-J116</f>
        <v>6.7729183683695737E-7</v>
      </c>
      <c r="M119" s="50">
        <f ca="1">N115-B121</f>
        <v>-2.7580179562392004E-7</v>
      </c>
    </row>
    <row r="120" spans="1:27" x14ac:dyDescent="0.2">
      <c r="A120" s="2" t="s">
        <v>77</v>
      </c>
      <c r="B120" s="34">
        <v>-10</v>
      </c>
      <c r="C120" t="s">
        <v>72</v>
      </c>
      <c r="D120">
        <f>B118</f>
        <v>-5</v>
      </c>
      <c r="E120">
        <f>SQRT((B119*B119)+(B120*B120))</f>
        <v>14.142135623730951</v>
      </c>
      <c r="G120" s="2" t="s">
        <v>81</v>
      </c>
      <c r="H120" s="1">
        <v>27</v>
      </c>
    </row>
    <row r="121" spans="1:27" x14ac:dyDescent="0.2">
      <c r="A121" s="2" t="s">
        <v>78</v>
      </c>
      <c r="B121" s="12">
        <f>IF(DEGREES(ATAN2(B119,B120))&lt;0,DEGREES(ATAN2(B119,B120))+360,DEGREES(ATAN2(B119,B120)))</f>
        <v>225</v>
      </c>
    </row>
    <row r="122" spans="1:27" x14ac:dyDescent="0.2">
      <c r="Q122">
        <f>D120</f>
        <v>-5</v>
      </c>
      <c r="R122">
        <f>E120</f>
        <v>14.142135623730951</v>
      </c>
      <c r="U122">
        <v>4</v>
      </c>
    </row>
    <row r="123" spans="1:27" x14ac:dyDescent="0.2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-5</v>
      </c>
      <c r="R123">
        <f ca="1">SQRT((J114*J114)+(J115*J115))</f>
        <v>311.50493408547152</v>
      </c>
    </row>
    <row r="124" spans="1:27" x14ac:dyDescent="0.2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7" ht="16" thickBot="1" x14ac:dyDescent="0.25">
      <c r="A125" s="16"/>
      <c r="B125" s="20"/>
      <c r="C125" s="15"/>
      <c r="D125" s="16"/>
      <c r="E125" s="17"/>
      <c r="F125" s="17"/>
      <c r="G125" s="16"/>
      <c r="H125" s="20">
        <f ca="1">J114</f>
        <v>-220.26725232519479</v>
      </c>
      <c r="I125" s="3">
        <f ca="1">J115</f>
        <v>-220.26725020461603</v>
      </c>
      <c r="J125" s="16"/>
      <c r="K125" s="17"/>
      <c r="L125" s="13"/>
      <c r="M125" s="16"/>
      <c r="N125" s="17"/>
    </row>
    <row r="126" spans="1:27" x14ac:dyDescent="0.2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V126" s="42" t="s">
        <v>94</v>
      </c>
      <c r="W126" s="51"/>
      <c r="X126" s="51"/>
      <c r="Y126" s="51"/>
      <c r="Z126" s="51"/>
      <c r="AA126" s="43"/>
    </row>
    <row r="127" spans="1:27" x14ac:dyDescent="0.2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50</v>
      </c>
      <c r="V127" s="52" t="s">
        <v>103</v>
      </c>
      <c r="W127" s="53">
        <v>1.0000000000000001E-5</v>
      </c>
      <c r="X127" s="53"/>
      <c r="Y127" s="53"/>
      <c r="Z127" s="53"/>
      <c r="AA127" s="54"/>
    </row>
    <row r="128" spans="1:27" x14ac:dyDescent="0.2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52"/>
      <c r="W128" s="53"/>
      <c r="X128" s="53"/>
      <c r="Y128" s="53" t="s">
        <v>104</v>
      </c>
      <c r="Z128" s="53"/>
      <c r="AA128" s="54"/>
    </row>
    <row r="129" spans="1:27" ht="16" thickBot="1" x14ac:dyDescent="0.25">
      <c r="A129" s="37">
        <v>0</v>
      </c>
      <c r="B129" s="38">
        <v>576.12090015198407</v>
      </c>
      <c r="C129" s="37">
        <v>0</v>
      </c>
      <c r="D129" s="16">
        <f>DEGREES(ATAN2(B129,C129))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1"/>
      <c r="Q129" s="41">
        <f ca="1">J118</f>
        <v>-342.9</v>
      </c>
      <c r="R129" s="41" t="e">
        <v>#N/A</v>
      </c>
      <c r="S129" s="41">
        <v>180.00000000000009</v>
      </c>
      <c r="V129" s="55" t="s">
        <v>99</v>
      </c>
      <c r="W129" s="56"/>
      <c r="X129" s="56"/>
      <c r="Y129" s="56"/>
      <c r="Z129" s="56"/>
      <c r="AA129" s="54"/>
    </row>
    <row r="130" spans="1:27" x14ac:dyDescent="0.2">
      <c r="A130" s="39">
        <v>-1</v>
      </c>
      <c r="B130" s="38">
        <v>576.04553744692089</v>
      </c>
      <c r="C130" s="37">
        <v>5.4925317870693471</v>
      </c>
      <c r="D130" s="16">
        <f t="shared" ref="D130:D193" si="34">DEGREES(ATAN2(B130,C130))</f>
        <v>0.54629249502357935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1">
        <v>1</v>
      </c>
      <c r="Q130">
        <v>-337.9</v>
      </c>
      <c r="R130" t="e">
        <v>#N/A</v>
      </c>
      <c r="S130" s="41">
        <v>181.19271196097463</v>
      </c>
      <c r="V130" s="42" t="s">
        <v>95</v>
      </c>
      <c r="W130" s="43" t="s">
        <v>96</v>
      </c>
      <c r="X130" s="56" t="str">
        <f>"="</f>
        <v>=</v>
      </c>
      <c r="Y130" s="42">
        <v>-78.340337682902828</v>
      </c>
      <c r="Z130" s="43">
        <v>-16.657899021765843</v>
      </c>
      <c r="AA130" s="54"/>
    </row>
    <row r="131" spans="1:27" ht="16" thickBot="1" x14ac:dyDescent="0.25">
      <c r="A131" s="39">
        <v>-2</v>
      </c>
      <c r="B131" s="38">
        <v>575.90672906296425</v>
      </c>
      <c r="C131" s="37">
        <v>10.857224036565542</v>
      </c>
      <c r="D131" s="16">
        <f t="shared" si="34"/>
        <v>1.0800350147425055</v>
      </c>
      <c r="E131" s="15"/>
      <c r="F131" s="15"/>
      <c r="G131" s="15"/>
      <c r="H131" s="15"/>
      <c r="I131" s="15"/>
      <c r="P131" s="41">
        <v>2</v>
      </c>
      <c r="Q131">
        <v>-300.94027</v>
      </c>
      <c r="R131">
        <v>47.638655025514346</v>
      </c>
      <c r="S131" s="41">
        <v>224.99999989248721</v>
      </c>
      <c r="V131" s="44" t="s">
        <v>97</v>
      </c>
      <c r="W131" s="45" t="s">
        <v>98</v>
      </c>
      <c r="X131" s="56"/>
      <c r="Y131" s="44">
        <v>54296098.372793414</v>
      </c>
      <c r="Z131" s="45">
        <v>54296053.525429167</v>
      </c>
      <c r="AA131" s="54"/>
    </row>
    <row r="132" spans="1:27" ht="16" thickBot="1" x14ac:dyDescent="0.25">
      <c r="A132" s="37">
        <v>-3</v>
      </c>
      <c r="B132" s="37">
        <v>575.70415535616348</v>
      </c>
      <c r="C132" s="37">
        <v>16.111417174879275</v>
      </c>
      <c r="D132" s="16">
        <f t="shared" si="34"/>
        <v>1.6030374594258612</v>
      </c>
      <c r="E132" s="15"/>
      <c r="F132" s="15"/>
      <c r="G132" s="15"/>
      <c r="H132" s="15"/>
      <c r="I132" s="15"/>
      <c r="P132" s="41">
        <v>3</v>
      </c>
      <c r="Q132">
        <v>-263.98054000000002</v>
      </c>
      <c r="R132">
        <v>89.808772540252974</v>
      </c>
      <c r="S132" s="41">
        <v>224.99999985070298</v>
      </c>
      <c r="V132" s="55"/>
      <c r="W132" s="56"/>
      <c r="X132" s="56"/>
      <c r="Y132" s="56"/>
      <c r="Z132" s="56"/>
      <c r="AA132" s="54"/>
    </row>
    <row r="133" spans="1:27" x14ac:dyDescent="0.2">
      <c r="A133" s="37">
        <v>-4</v>
      </c>
      <c r="B133" s="37">
        <v>575.4373380958591</v>
      </c>
      <c r="C133" s="37">
        <v>21.270203555010912</v>
      </c>
      <c r="D133" s="16">
        <f t="shared" si="34"/>
        <v>2.1168913314669284</v>
      </c>
      <c r="E133" s="15"/>
      <c r="F133" s="15"/>
      <c r="G133" s="15"/>
      <c r="H133" s="15"/>
      <c r="I133" s="15"/>
      <c r="P133" s="41">
        <v>4</v>
      </c>
      <c r="Q133">
        <v>-227.02081000000001</v>
      </c>
      <c r="R133">
        <v>128.88164169904499</v>
      </c>
      <c r="S133" s="41">
        <v>225.00000005808988</v>
      </c>
      <c r="V133" s="55" t="str">
        <f>"-1*R,vector = "</f>
        <v xml:space="preserve">-1*R,vector = </v>
      </c>
      <c r="W133" s="46" t="s">
        <v>75</v>
      </c>
      <c r="X133" s="56" t="str">
        <f>"="</f>
        <v>=</v>
      </c>
      <c r="Y133" s="48">
        <f ca="1">(B118-J116)*-1</f>
        <v>-6.7729183683695737E-7</v>
      </c>
      <c r="Z133" s="56"/>
      <c r="AA133" s="54"/>
    </row>
    <row r="134" spans="1:27" ht="16" thickBot="1" x14ac:dyDescent="0.25">
      <c r="A134" s="39">
        <v>-5</v>
      </c>
      <c r="B134" s="38">
        <v>575.10564931366036</v>
      </c>
      <c r="C134" s="40">
        <v>26.346844957031223</v>
      </c>
      <c r="D134" s="16">
        <f t="shared" si="34"/>
        <v>2.6230107129193017</v>
      </c>
      <c r="E134" s="15"/>
      <c r="F134" s="15"/>
      <c r="G134" s="15"/>
      <c r="H134" s="15"/>
      <c r="I134" s="15"/>
      <c r="P134" s="41">
        <v>5</v>
      </c>
      <c r="Q134">
        <v>-190.06108</v>
      </c>
      <c r="R134">
        <v>163.14999719150515</v>
      </c>
      <c r="S134" s="41">
        <v>224.99999927620249</v>
      </c>
      <c r="V134" s="55"/>
      <c r="W134" s="47" t="s">
        <v>49</v>
      </c>
      <c r="X134" s="56"/>
      <c r="Y134" s="49">
        <f ca="1">(SQRT(POWER(B119-J114,2)+POWER(B120-J115,2)))*-1</f>
        <v>-297.36279846174057</v>
      </c>
      <c r="Z134" s="56"/>
      <c r="AA134" s="54"/>
    </row>
    <row r="135" spans="1:27" ht="16" thickBot="1" x14ac:dyDescent="0.25">
      <c r="A135" s="39">
        <v>-6</v>
      </c>
      <c r="B135" s="38">
        <v>574.70829584322269</v>
      </c>
      <c r="C135" s="40">
        <v>31.353102937648313</v>
      </c>
      <c r="D135" s="16">
        <f t="shared" si="34"/>
        <v>3.1226650044590021</v>
      </c>
      <c r="E135" s="15"/>
      <c r="F135" s="15"/>
      <c r="G135" s="15"/>
      <c r="H135" s="15"/>
      <c r="I135" s="15"/>
      <c r="P135" s="41">
        <v>6</v>
      </c>
      <c r="Q135">
        <v>-153.10135</v>
      </c>
      <c r="R135">
        <v>194.72586026931307</v>
      </c>
      <c r="S135" s="41">
        <v>224.99999971472124</v>
      </c>
      <c r="V135" s="55"/>
      <c r="W135" s="56"/>
      <c r="X135" s="56"/>
      <c r="Y135" s="56"/>
      <c r="Z135" s="56"/>
      <c r="AA135" s="54"/>
    </row>
    <row r="136" spans="1:27" x14ac:dyDescent="0.2">
      <c r="A136" s="37">
        <v>-7</v>
      </c>
      <c r="B136" s="37">
        <v>574.43286684250847</v>
      </c>
      <c r="C136" s="37">
        <v>33.944815455855164</v>
      </c>
      <c r="D136" s="16">
        <f t="shared" si="34"/>
        <v>3.3818322013579913</v>
      </c>
      <c r="E136" s="15"/>
      <c r="F136" s="15"/>
      <c r="G136" s="15"/>
      <c r="H136" s="15"/>
      <c r="I136" s="15"/>
      <c r="P136" s="41">
        <v>7</v>
      </c>
      <c r="Q136">
        <v>-116.14161999999999</v>
      </c>
      <c r="R136">
        <v>226.19863167237142</v>
      </c>
      <c r="S136" s="41">
        <v>224.99999917837496</v>
      </c>
      <c r="V136" s="55"/>
      <c r="W136" s="56" t="str">
        <f>"J^-1*R"</f>
        <v>J^-1*R</v>
      </c>
      <c r="X136" s="56" t="s">
        <v>100</v>
      </c>
      <c r="Y136" s="48" cm="1">
        <f t="array" aca="1" ref="Y136:Y137" ca="1">MMULT(MINVERSE(Y130:Z131),Y133:Y134)</f>
        <v>1.4900108983446139E-6</v>
      </c>
      <c r="Z136" s="56"/>
      <c r="AA136" s="54"/>
    </row>
    <row r="137" spans="1:27" ht="16" thickBot="1" x14ac:dyDescent="0.25">
      <c r="A137" s="37">
        <v>-8</v>
      </c>
      <c r="B137" s="38">
        <v>573.90492805568499</v>
      </c>
      <c r="C137" s="37">
        <v>38.847243995035988</v>
      </c>
      <c r="D137" s="16">
        <f t="shared" si="34"/>
        <v>3.8724062716310867</v>
      </c>
      <c r="E137" s="15"/>
      <c r="F137" s="15"/>
      <c r="G137" s="15"/>
      <c r="H137" s="15"/>
      <c r="I137" s="15"/>
      <c r="P137" s="41">
        <v>8</v>
      </c>
      <c r="Q137">
        <v>-79.181889999999981</v>
      </c>
      <c r="R137">
        <v>255.96720239575222</v>
      </c>
      <c r="S137" s="41">
        <v>224.99999932213893</v>
      </c>
      <c r="V137" s="55"/>
      <c r="W137" s="56"/>
      <c r="X137" s="56"/>
      <c r="Y137" s="49">
        <f ca="1"/>
        <v>-6.9667048010706066E-6</v>
      </c>
      <c r="Z137" s="56"/>
      <c r="AA137" s="54"/>
    </row>
    <row r="138" spans="1:27" x14ac:dyDescent="0.2">
      <c r="A138" s="39">
        <v>-9</v>
      </c>
      <c r="B138" s="38">
        <v>573.30785080143198</v>
      </c>
      <c r="C138" s="37">
        <v>43.707275664882495</v>
      </c>
      <c r="D138" s="16">
        <f t="shared" si="34"/>
        <v>4.3596257309753659</v>
      </c>
      <c r="E138" s="15"/>
      <c r="F138" s="15"/>
      <c r="G138" s="15"/>
      <c r="H138" s="15"/>
      <c r="I138" s="15"/>
      <c r="P138" s="41">
        <v>9</v>
      </c>
      <c r="Q138">
        <v>-42.222159999999981</v>
      </c>
      <c r="R138">
        <v>283.75180858466507</v>
      </c>
      <c r="S138" s="41">
        <v>225.00000078347307</v>
      </c>
      <c r="V138" s="55"/>
      <c r="W138" s="56" t="s">
        <v>102</v>
      </c>
      <c r="X138" s="56" t="str">
        <f>"= "</f>
        <v xml:space="preserve">= </v>
      </c>
      <c r="Y138" s="48">
        <f ca="1">Y136+B78</f>
        <v>5.169520492232877</v>
      </c>
      <c r="Z138" s="56"/>
      <c r="AA138" s="54"/>
    </row>
    <row r="139" spans="1:27" ht="16" thickBot="1" x14ac:dyDescent="0.25">
      <c r="A139" s="39">
        <v>-10</v>
      </c>
      <c r="B139" s="37">
        <v>572.64015920214695</v>
      </c>
      <c r="C139" s="37">
        <v>48.53293355636346</v>
      </c>
      <c r="D139" s="16">
        <f t="shared" si="34"/>
        <v>4.844408323327789</v>
      </c>
      <c r="E139" s="15"/>
      <c r="F139" s="15"/>
      <c r="G139" s="15"/>
      <c r="H139" s="15"/>
      <c r="I139" s="15"/>
      <c r="P139" s="41">
        <v>10</v>
      </c>
      <c r="Q139">
        <v>-5.2624299999999806</v>
      </c>
      <c r="R139">
        <v>311.3104850959532</v>
      </c>
      <c r="S139" s="41">
        <v>224.99999971144743</v>
      </c>
      <c r="V139" s="55"/>
      <c r="W139" s="56" t="s">
        <v>101</v>
      </c>
      <c r="X139" s="56"/>
      <c r="Y139" s="49">
        <f ca="1">Y137+B53</f>
        <v>98.041690905465501</v>
      </c>
      <c r="Z139" s="56"/>
      <c r="AA139" s="54"/>
    </row>
    <row r="140" spans="1:27" ht="16" thickBot="1" x14ac:dyDescent="0.25">
      <c r="A140" s="37">
        <v>-11</v>
      </c>
      <c r="B140" s="37">
        <v>571.90018828120185</v>
      </c>
      <c r="C140" s="37">
        <v>53.331641478626658</v>
      </c>
      <c r="D140" s="16">
        <f t="shared" si="34"/>
        <v>5.3276189994799585</v>
      </c>
      <c r="E140" s="15"/>
      <c r="F140" s="15"/>
      <c r="G140" s="15"/>
      <c r="H140" s="15"/>
      <c r="I140" s="15"/>
      <c r="P140" s="41">
        <v>11</v>
      </c>
      <c r="Q140">
        <v>31.69730000000002</v>
      </c>
      <c r="R140">
        <v>338.17847732100347</v>
      </c>
      <c r="S140" s="41">
        <v>225.0000005345496</v>
      </c>
      <c r="V140" s="44"/>
      <c r="W140" s="57"/>
      <c r="X140" s="57"/>
      <c r="Y140" s="57"/>
      <c r="Z140" s="57"/>
      <c r="AA140" s="45"/>
    </row>
    <row r="141" spans="1:27" x14ac:dyDescent="0.2">
      <c r="A141" s="37">
        <v>-12</v>
      </c>
      <c r="B141" s="37">
        <v>571.08607468924242</v>
      </c>
      <c r="C141" s="37">
        <v>58.110325054949072</v>
      </c>
      <c r="D141" s="16">
        <f t="shared" si="34"/>
        <v>5.8100807784420931</v>
      </c>
      <c r="E141" s="15"/>
      <c r="F141" s="15"/>
      <c r="G141" s="15"/>
      <c r="H141" s="15"/>
      <c r="I141" s="15"/>
      <c r="P141" s="41">
        <v>12</v>
      </c>
      <c r="Q141">
        <v>68.65703000000002</v>
      </c>
      <c r="R141">
        <v>364.56148688543811</v>
      </c>
      <c r="S141" s="41">
        <v>224.99999970180716</v>
      </c>
    </row>
    <row r="142" spans="1:27" x14ac:dyDescent="0.2">
      <c r="A142" s="39">
        <v>-13</v>
      </c>
      <c r="B142" s="37">
        <v>570.19574575351157</v>
      </c>
      <c r="C142" s="37">
        <v>62.875497227448662</v>
      </c>
      <c r="D142" s="16">
        <f t="shared" si="34"/>
        <v>6.2925841791342556</v>
      </c>
      <c r="E142" s="15"/>
      <c r="F142" s="15"/>
      <c r="G142" s="15"/>
      <c r="H142" s="15"/>
      <c r="I142" s="15"/>
      <c r="P142" s="41">
        <v>13</v>
      </c>
      <c r="Q142">
        <v>105.61676000000003</v>
      </c>
      <c r="R142">
        <v>390.08111493551553</v>
      </c>
      <c r="S142" s="41">
        <v>224.99999924450387</v>
      </c>
    </row>
    <row r="143" spans="1:27" x14ac:dyDescent="0.2">
      <c r="A143" s="39">
        <v>-14</v>
      </c>
      <c r="B143" s="37">
        <v>569.22690577391131</v>
      </c>
      <c r="C143" s="37">
        <v>67.633331313406217</v>
      </c>
      <c r="D143" s="16">
        <f t="shared" si="34"/>
        <v>6.7758955524149949</v>
      </c>
      <c r="E143" s="15"/>
      <c r="F143" s="15"/>
      <c r="G143" s="15"/>
      <c r="H143" s="15"/>
      <c r="I143" s="15"/>
      <c r="P143" s="41">
        <v>14</v>
      </c>
      <c r="Q143">
        <v>142.57649000000004</v>
      </c>
      <c r="R143">
        <v>414.6072592114686</v>
      </c>
      <c r="S143" s="41">
        <v>225.00000081267606</v>
      </c>
    </row>
    <row r="144" spans="1:27" x14ac:dyDescent="0.2">
      <c r="A144" s="37">
        <v>-15</v>
      </c>
      <c r="B144" s="37">
        <v>568.17702648167437</v>
      </c>
      <c r="C144" s="37">
        <v>72.389723896128032</v>
      </c>
      <c r="D144" s="16">
        <f t="shared" si="34"/>
        <v>7.2607644676023559</v>
      </c>
      <c r="E144" s="15"/>
      <c r="F144" s="15"/>
      <c r="G144" s="15"/>
      <c r="H144" s="16"/>
      <c r="I144" s="19"/>
      <c r="P144" s="41">
        <v>15</v>
      </c>
      <c r="Q144">
        <v>179.53622000000004</v>
      </c>
      <c r="R144">
        <v>424.59350099338138</v>
      </c>
      <c r="S144" s="41">
        <v>224.99999974691903</v>
      </c>
    </row>
    <row r="145" spans="1:19" x14ac:dyDescent="0.2">
      <c r="A145" s="37">
        <v>-16</v>
      </c>
      <c r="B145" s="37">
        <v>567.04332826833968</v>
      </c>
      <c r="C145" s="37">
        <v>77.150349834418577</v>
      </c>
      <c r="D145" s="16">
        <f t="shared" si="34"/>
        <v>7.747930537414538</v>
      </c>
      <c r="E145" s="15"/>
      <c r="F145" s="15"/>
      <c r="G145" s="15"/>
      <c r="H145" s="16"/>
      <c r="I145" s="19"/>
      <c r="P145" s="41">
        <v>16</v>
      </c>
      <c r="Q145">
        <v>216.49595000000005</v>
      </c>
      <c r="R145">
        <v>430.56593257143635</v>
      </c>
      <c r="S145" s="41">
        <v>224.99999986975902</v>
      </c>
    </row>
    <row r="146" spans="1:19" x14ac:dyDescent="0.2">
      <c r="A146" s="39">
        <v>-17</v>
      </c>
      <c r="B146" s="37">
        <v>565.82277189778131</v>
      </c>
      <c r="C146" s="37">
        <v>81.92071046287586</v>
      </c>
      <c r="D146" s="16">
        <f t="shared" si="34"/>
        <v>8.2381295632688953</v>
      </c>
      <c r="E146" s="15"/>
      <c r="F146" s="15"/>
      <c r="G146" s="15"/>
      <c r="H146" s="15"/>
      <c r="I146" s="15"/>
      <c r="P146" s="41">
        <v>17</v>
      </c>
      <c r="Q146">
        <v>253.45568000000006</v>
      </c>
      <c r="R146">
        <v>435.52165540993821</v>
      </c>
      <c r="S146" s="41">
        <v>225.0000006066476</v>
      </c>
    </row>
    <row r="147" spans="1:19" x14ac:dyDescent="0.2">
      <c r="A147" s="39">
        <v>-18</v>
      </c>
      <c r="B147" s="41">
        <v>564.51202686439808</v>
      </c>
      <c r="C147" s="41">
        <v>86.706177144287153</v>
      </c>
      <c r="D147" s="16">
        <f t="shared" si="34"/>
        <v>8.7320996728209934</v>
      </c>
      <c r="P147" s="41">
        <v>18</v>
      </c>
      <c r="Q147">
        <v>290.41541000000007</v>
      </c>
      <c r="R147">
        <v>437.86544893836731</v>
      </c>
      <c r="S147" s="41">
        <v>224.99999996595653</v>
      </c>
    </row>
    <row r="148" spans="1:19" x14ac:dyDescent="0.2">
      <c r="A148" s="37">
        <v>-19</v>
      </c>
      <c r="B148" s="41">
        <v>563.10746313222921</v>
      </c>
      <c r="C148" s="41">
        <v>91.512029983841529</v>
      </c>
      <c r="D148" s="16">
        <f t="shared" si="34"/>
        <v>9.230586827554955</v>
      </c>
      <c r="P148" s="41">
        <v>19</v>
      </c>
      <c r="Q148">
        <v>327.37514000000004</v>
      </c>
      <c r="R148">
        <v>439.2969427507785</v>
      </c>
      <c r="S148" s="41">
        <v>225.00000043711506</v>
      </c>
    </row>
    <row r="149" spans="1:19" x14ac:dyDescent="0.2">
      <c r="A149" s="37">
        <v>-20</v>
      </c>
      <c r="B149" s="41">
        <v>561.60512778794816</v>
      </c>
      <c r="C149" s="41">
        <v>96.343493580430405</v>
      </c>
      <c r="D149" s="16">
        <f t="shared" si="34"/>
        <v>9.7343504066898916</v>
      </c>
      <c r="P149" s="41">
        <v>20</v>
      </c>
      <c r="Q149">
        <v>364.33487000000002</v>
      </c>
      <c r="R149">
        <v>440.6793748758206</v>
      </c>
      <c r="S149" s="41">
        <v>224.99999902977052</v>
      </c>
    </row>
    <row r="150" spans="1:19" x14ac:dyDescent="0.2">
      <c r="A150" s="39">
        <v>-21</v>
      </c>
      <c r="B150" s="41">
        <v>560.00071215869639</v>
      </c>
      <c r="C150" s="41">
        <v>101.20577042448974</v>
      </c>
      <c r="D150" s="16">
        <f t="shared" si="34"/>
        <v>10.244168932384273</v>
      </c>
      <c r="P150" s="41">
        <v>21</v>
      </c>
      <c r="Q150">
        <v>401.2946</v>
      </c>
      <c r="R150">
        <v>441.89690613185257</v>
      </c>
      <c r="S150" s="41">
        <v>224.99999983303351</v>
      </c>
    </row>
    <row r="151" spans="1:19" x14ac:dyDescent="0.2">
      <c r="A151" s="39">
        <v>-22</v>
      </c>
      <c r="B151" s="41">
        <v>558.28952955649186</v>
      </c>
      <c r="C151" s="41">
        <v>106.10407198712817</v>
      </c>
      <c r="D151" s="16">
        <f t="shared" si="34"/>
        <v>10.760845636115913</v>
      </c>
      <c r="P151" s="41">
        <v>22</v>
      </c>
      <c r="Q151">
        <v>438.25432999999998</v>
      </c>
      <c r="R151">
        <v>442.81357312077535</v>
      </c>
      <c r="S151" s="41">
        <v>225.00000011567346</v>
      </c>
    </row>
    <row r="152" spans="1:19" x14ac:dyDescent="0.2">
      <c r="A152" s="37">
        <v>-23</v>
      </c>
      <c r="B152" s="41">
        <v>556.46648398108414</v>
      </c>
      <c r="C152" s="41">
        <v>111.0436485788705</v>
      </c>
      <c r="D152" s="16">
        <f t="shared" si="34"/>
        <v>11.285214310893553</v>
      </c>
      <c r="P152" s="41">
        <v>23</v>
      </c>
      <c r="Q152">
        <v>475.21405999999996</v>
      </c>
      <c r="R152">
        <v>443.27919431200741</v>
      </c>
      <c r="S152" s="41">
        <v>224.99999957862605</v>
      </c>
    </row>
    <row r="153" spans="1:19" x14ac:dyDescent="0.2">
      <c r="A153" s="37">
        <v>-24</v>
      </c>
      <c r="B153" s="41">
        <v>554.52603551348454</v>
      </c>
      <c r="C153" s="41">
        <v>116.02981829058596</v>
      </c>
      <c r="D153" s="16">
        <f t="shared" si="34"/>
        <v>11.818145439161116</v>
      </c>
      <c r="P153" s="41">
        <v>24</v>
      </c>
      <c r="Q153">
        <v>512.17378999999994</v>
      </c>
      <c r="R153">
        <v>443.10501788808267</v>
      </c>
      <c r="S153" s="41">
        <v>224.99999998964637</v>
      </c>
    </row>
    <row r="154" spans="1:19" x14ac:dyDescent="0.2">
      <c r="A154" s="39">
        <v>-25</v>
      </c>
      <c r="B154" s="41">
        <v>552.46215850035549</v>
      </c>
      <c r="C154" s="41">
        <v>121.06799555063094</v>
      </c>
      <c r="D154" s="16">
        <f t="shared" si="34"/>
        <v>12.360552779026138</v>
      </c>
      <c r="P154" s="41">
        <v>25</v>
      </c>
      <c r="Q154">
        <v>549.13351999999998</v>
      </c>
      <c r="R154">
        <v>446.03759737095908</v>
      </c>
      <c r="S154" s="41">
        <v>225.0000006570763</v>
      </c>
    </row>
    <row r="155" spans="1:19" x14ac:dyDescent="0.2">
      <c r="A155" s="39">
        <v>-26</v>
      </c>
      <c r="B155" s="41">
        <v>550.28413226852911</v>
      </c>
      <c r="C155" s="41">
        <v>126.13081753633432</v>
      </c>
      <c r="D155" s="16">
        <f t="shared" si="34"/>
        <v>12.909786532838872</v>
      </c>
      <c r="P155" s="41">
        <v>26</v>
      </c>
      <c r="Q155">
        <v>586.09325000000001</v>
      </c>
      <c r="R155">
        <v>449.5768771232793</v>
      </c>
      <c r="S155" s="41">
        <v>224.99999946445814</v>
      </c>
    </row>
    <row r="156" spans="1:19" x14ac:dyDescent="0.2">
      <c r="A156" s="37">
        <v>-27</v>
      </c>
      <c r="B156" s="41">
        <v>548.08734623550743</v>
      </c>
      <c r="C156" s="41">
        <v>131.02042497023405</v>
      </c>
      <c r="D156" s="16">
        <f t="shared" si="34"/>
        <v>13.44427000194883</v>
      </c>
      <c r="P156" s="41">
        <v>27</v>
      </c>
      <c r="Q156">
        <v>623.05298000000005</v>
      </c>
      <c r="R156">
        <v>452.07885444151054</v>
      </c>
      <c r="S156" s="41">
        <v>224.9999997987627</v>
      </c>
    </row>
    <row r="157" spans="1:19" x14ac:dyDescent="0.2">
      <c r="A157" s="37">
        <v>-28</v>
      </c>
      <c r="B157" s="41">
        <v>545.88528186780582</v>
      </c>
      <c r="C157" s="41">
        <v>135.72262444707462</v>
      </c>
      <c r="D157" s="16">
        <f t="shared" si="34"/>
        <v>13.962259475032175</v>
      </c>
      <c r="P157" s="41">
        <v>28</v>
      </c>
      <c r="Q157">
        <v>660.01271000000008</v>
      </c>
      <c r="R157">
        <v>453.99350987577901</v>
      </c>
      <c r="S157" s="41">
        <v>224.99999991550357</v>
      </c>
    </row>
    <row r="158" spans="1:19" x14ac:dyDescent="0.2">
      <c r="A158" s="39">
        <v>-29</v>
      </c>
      <c r="B158" s="41">
        <v>543.6736945965913</v>
      </c>
      <c r="C158" s="41">
        <v>140.25864400980896</v>
      </c>
      <c r="D158" s="16">
        <f t="shared" si="34"/>
        <v>14.465922345393386</v>
      </c>
      <c r="P158" s="41">
        <v>29</v>
      </c>
      <c r="Q158">
        <v>696.97244000000012</v>
      </c>
      <c r="R158">
        <v>455.30556293439588</v>
      </c>
      <c r="S158" s="41">
        <v>225.00000003285058</v>
      </c>
    </row>
    <row r="159" spans="1:19" x14ac:dyDescent="0.2">
      <c r="A159" s="39">
        <v>-30</v>
      </c>
      <c r="B159" s="41">
        <v>541.44849852288473</v>
      </c>
      <c r="C159" s="41">
        <v>144.64714148769554</v>
      </c>
      <c r="D159" s="16">
        <f t="shared" si="34"/>
        <v>14.957187014046475</v>
      </c>
      <c r="P159" s="41">
        <v>30</v>
      </c>
      <c r="Q159">
        <v>733.93217000000016</v>
      </c>
      <c r="R159">
        <v>455.96925143249518</v>
      </c>
      <c r="S159" s="41">
        <v>225.00000040270672</v>
      </c>
    </row>
    <row r="160" spans="1:19" x14ac:dyDescent="0.2">
      <c r="A160" s="37">
        <v>-31</v>
      </c>
      <c r="B160" s="41">
        <v>537.40835225368903</v>
      </c>
      <c r="C160" s="41">
        <v>148.05362264161454</v>
      </c>
      <c r="D160" s="16">
        <f t="shared" si="34"/>
        <v>15.402645872502781</v>
      </c>
      <c r="P160" s="41">
        <v>31</v>
      </c>
      <c r="Q160">
        <v>770.89190000000019</v>
      </c>
      <c r="R160">
        <v>455.94398114974706</v>
      </c>
      <c r="S160" s="41">
        <v>225.00000094317267</v>
      </c>
    </row>
    <row r="161" spans="1:19" x14ac:dyDescent="0.2">
      <c r="A161" s="37">
        <v>-32</v>
      </c>
      <c r="B161" s="41">
        <v>532.4337063024293</v>
      </c>
      <c r="C161" s="41">
        <v>150.89114353496637</v>
      </c>
      <c r="D161" s="16">
        <f t="shared" si="34"/>
        <v>15.822673091008495</v>
      </c>
      <c r="P161" s="41">
        <v>32</v>
      </c>
      <c r="Q161">
        <v>807.85163000000023</v>
      </c>
      <c r="R161">
        <v>455.19360447125791</v>
      </c>
      <c r="S161" s="41">
        <v>225.00000036976436</v>
      </c>
    </row>
    <row r="162" spans="1:19" x14ac:dyDescent="0.2">
      <c r="A162" s="39">
        <v>-33</v>
      </c>
      <c r="B162" s="41">
        <v>527.57245906327114</v>
      </c>
      <c r="C162" s="41">
        <v>153.66798730850596</v>
      </c>
      <c r="D162" s="16">
        <f t="shared" si="34"/>
        <v>16.239452902129603</v>
      </c>
      <c r="P162" s="41">
        <v>33</v>
      </c>
      <c r="Q162">
        <v>844.81136000000026</v>
      </c>
      <c r="R162">
        <v>453.29317611937716</v>
      </c>
      <c r="S162" s="41">
        <v>224.99999988963154</v>
      </c>
    </row>
    <row r="163" spans="1:19" x14ac:dyDescent="0.2">
      <c r="A163" s="39">
        <v>-34</v>
      </c>
      <c r="B163" s="41">
        <v>522.81131918529047</v>
      </c>
      <c r="C163" s="41">
        <v>156.39318804284926</v>
      </c>
      <c r="D163" s="16">
        <f t="shared" si="34"/>
        <v>16.653968350201414</v>
      </c>
      <c r="P163" s="41">
        <v>34</v>
      </c>
      <c r="Q163">
        <v>881.7710900000003</v>
      </c>
      <c r="R163">
        <v>450.92325483471313</v>
      </c>
      <c r="S163" s="41">
        <v>224.99999924361137</v>
      </c>
    </row>
    <row r="164" spans="1:19" x14ac:dyDescent="0.2">
      <c r="A164" s="37">
        <v>-35</v>
      </c>
      <c r="B164" s="41">
        <v>518.13798493365141</v>
      </c>
      <c r="C164" s="41">
        <v>159.0748964302787</v>
      </c>
      <c r="D164" s="16">
        <f t="shared" si="34"/>
        <v>17.067146614667223</v>
      </c>
      <c r="P164" s="41">
        <v>35</v>
      </c>
      <c r="Q164">
        <v>918.73082000000034</v>
      </c>
      <c r="R164">
        <v>447.73624702468959</v>
      </c>
      <c r="S164" s="41">
        <v>224.99999998534207</v>
      </c>
    </row>
    <row r="165" spans="1:19" x14ac:dyDescent="0.2">
      <c r="A165" s="37">
        <v>-36</v>
      </c>
      <c r="B165" s="41">
        <v>513.54099296059314</v>
      </c>
      <c r="C165" s="41">
        <v>161.72053131200622</v>
      </c>
      <c r="D165" s="16">
        <f t="shared" si="34"/>
        <v>17.479871793615853</v>
      </c>
      <c r="P165" s="41">
        <v>36</v>
      </c>
      <c r="Q165">
        <v>955.69055000000037</v>
      </c>
      <c r="R165">
        <v>443.49045944058651</v>
      </c>
      <c r="S165" s="41">
        <v>225.00000030944838</v>
      </c>
    </row>
    <row r="166" spans="1:19" x14ac:dyDescent="0.2">
      <c r="A166" s="39">
        <v>-37</v>
      </c>
      <c r="B166" s="41">
        <v>509.00958114005533</v>
      </c>
      <c r="C166" s="41">
        <v>164.33690727363671</v>
      </c>
      <c r="D166" s="16">
        <f t="shared" si="34"/>
        <v>17.892996361357945</v>
      </c>
      <c r="P166" s="41">
        <v>37</v>
      </c>
      <c r="Q166">
        <v>992.65028000000041</v>
      </c>
      <c r="R166">
        <v>438.51634725199307</v>
      </c>
      <c r="S166" s="41">
        <v>224.99999943288574</v>
      </c>
    </row>
    <row r="167" spans="1:19" x14ac:dyDescent="0.2">
      <c r="A167" s="39">
        <v>-38</v>
      </c>
      <c r="B167" s="41">
        <v>504.53357290347407</v>
      </c>
      <c r="C167" s="41">
        <v>166.9303419141298</v>
      </c>
      <c r="D167" s="16">
        <f t="shared" si="34"/>
        <v>18.307351179838186</v>
      </c>
      <c r="P167" s="41">
        <v>38</v>
      </c>
      <c r="Q167">
        <v>1029.6100100000003</v>
      </c>
      <c r="R167">
        <v>432.65449176732335</v>
      </c>
      <c r="S167" s="41">
        <v>224.99999929831017</v>
      </c>
    </row>
    <row r="168" spans="1:19" x14ac:dyDescent="0.2">
      <c r="A168" s="37">
        <v>-39</v>
      </c>
      <c r="B168" s="41">
        <v>500.10326981807327</v>
      </c>
      <c r="C168" s="41">
        <v>169.50674813548065</v>
      </c>
      <c r="D168" s="16">
        <f t="shared" si="34"/>
        <v>18.723754819975127</v>
      </c>
      <c r="P168" s="41">
        <v>39</v>
      </c>
      <c r="Q168">
        <v>1066.5697400000004</v>
      </c>
      <c r="R168">
        <v>425.88360344935262</v>
      </c>
      <c r="S168" s="41">
        <v>225.00000020525243</v>
      </c>
    </row>
    <row r="169" spans="1:19" x14ac:dyDescent="0.2">
      <c r="A169" s="37">
        <v>-40</v>
      </c>
      <c r="B169" s="41">
        <v>495.70935628244473</v>
      </c>
      <c r="C169" s="41">
        <v>172.07171386610884</v>
      </c>
      <c r="D169" s="16">
        <f t="shared" si="34"/>
        <v>19.143022168722716</v>
      </c>
      <c r="P169" s="41">
        <v>40</v>
      </c>
      <c r="Q169">
        <v>1103.5294700000004</v>
      </c>
      <c r="R169">
        <v>418.18273429073673</v>
      </c>
      <c r="S169" s="41">
        <v>225.00000001997552</v>
      </c>
    </row>
    <row r="170" spans="1:19" x14ac:dyDescent="0.2">
      <c r="A170" s="39">
        <v>-41</v>
      </c>
      <c r="B170" s="41">
        <v>491.34280736162145</v>
      </c>
      <c r="C170" s="41">
        <v>174.63057234620712</v>
      </c>
      <c r="D170" s="16">
        <f t="shared" si="34"/>
        <v>19.565972835548056</v>
      </c>
      <c r="P170" s="41">
        <v>41</v>
      </c>
      <c r="Q170">
        <v>1140.4892000000004</v>
      </c>
      <c r="R170">
        <v>409.53096443342736</v>
      </c>
      <c r="S170" s="41">
        <v>225.00000026290874</v>
      </c>
    </row>
    <row r="171" spans="1:19" x14ac:dyDescent="0.2">
      <c r="A171" s="39">
        <v>-42</v>
      </c>
      <c r="B171" s="41">
        <v>486.9948114723876</v>
      </c>
      <c r="C171" s="41">
        <v>177.18846419704508</v>
      </c>
      <c r="D171" s="16">
        <f t="shared" si="34"/>
        <v>19.993438983093835</v>
      </c>
      <c r="P171" s="41">
        <v>42</v>
      </c>
      <c r="Q171">
        <v>1177.4489300000005</v>
      </c>
      <c r="R171">
        <v>399.90408629767512</v>
      </c>
      <c r="S171" s="41">
        <v>225.00000047916507</v>
      </c>
    </row>
    <row r="172" spans="1:19" x14ac:dyDescent="0.2">
      <c r="A172" s="37">
        <v>-43</v>
      </c>
      <c r="B172" s="41">
        <v>482.65668493964404</v>
      </c>
      <c r="C172" s="41">
        <v>179.75039434721336</v>
      </c>
      <c r="D172" s="16">
        <f t="shared" si="34"/>
        <v>20.426273665074561</v>
      </c>
      <c r="P172" s="41">
        <v>43</v>
      </c>
      <c r="Q172">
        <v>1214.4086600000005</v>
      </c>
      <c r="R172">
        <v>389.27031080896455</v>
      </c>
      <c r="S172" s="41">
        <v>225.00000024395536</v>
      </c>
    </row>
    <row r="173" spans="1:19" x14ac:dyDescent="0.2">
      <c r="A173" s="37">
        <v>-44</v>
      </c>
      <c r="B173" s="41">
        <v>478.31979918871394</v>
      </c>
      <c r="C173" s="41">
        <v>182.32128399615638</v>
      </c>
      <c r="D173" s="16">
        <f t="shared" si="34"/>
        <v>20.865358911340024</v>
      </c>
      <c r="P173" s="41">
        <v>44</v>
      </c>
      <c r="Q173">
        <v>1251.3683900000005</v>
      </c>
      <c r="R173">
        <v>377.59739898935698</v>
      </c>
      <c r="S173" s="41">
        <v>225.00000089710542</v>
      </c>
    </row>
    <row r="174" spans="1:19" x14ac:dyDescent="0.2">
      <c r="A174" s="39">
        <v>-45</v>
      </c>
      <c r="B174" s="41">
        <v>471.3323006077577</v>
      </c>
      <c r="C174" s="41">
        <v>185.86695153081183</v>
      </c>
      <c r="D174" s="16">
        <f t="shared" si="34"/>
        <v>21.521487558832533</v>
      </c>
      <c r="P174" s="41">
        <v>45</v>
      </c>
      <c r="Q174">
        <v>1288.3281200000006</v>
      </c>
      <c r="R174">
        <v>364.85128232418623</v>
      </c>
      <c r="S174" s="41">
        <v>224.99999952542839</v>
      </c>
    </row>
    <row r="175" spans="1:19" x14ac:dyDescent="0.2">
      <c r="A175" s="39">
        <v>-46</v>
      </c>
      <c r="B175" s="41">
        <v>464.25972081352813</v>
      </c>
      <c r="C175" s="41">
        <v>189.44050512994198</v>
      </c>
      <c r="D175" s="16">
        <f t="shared" si="34"/>
        <v>22.197844143768812</v>
      </c>
      <c r="P175" s="41">
        <v>46</v>
      </c>
      <c r="Q175">
        <v>1325.2878500000006</v>
      </c>
      <c r="R175">
        <v>350.99565953004486</v>
      </c>
      <c r="S175" s="41">
        <v>224.99999967061905</v>
      </c>
    </row>
    <row r="176" spans="1:19" x14ac:dyDescent="0.2">
      <c r="A176" s="37">
        <v>-47</v>
      </c>
      <c r="B176" s="41">
        <v>457.25785418921697</v>
      </c>
      <c r="C176" s="41">
        <v>192.98832927230168</v>
      </c>
      <c r="D176" s="16">
        <f t="shared" si="34"/>
        <v>22.882458545491371</v>
      </c>
      <c r="P176" s="41">
        <v>47</v>
      </c>
      <c r="Q176">
        <v>1362.2475800000007</v>
      </c>
      <c r="R176">
        <v>335.91696936706273</v>
      </c>
      <c r="S176" s="41">
        <v>224.99999946046813</v>
      </c>
    </row>
    <row r="177" spans="1:19" x14ac:dyDescent="0.2">
      <c r="A177" s="37">
        <v>-48</v>
      </c>
      <c r="B177" s="41">
        <v>450.31248024999837</v>
      </c>
      <c r="C177" s="41">
        <v>196.51900321573464</v>
      </c>
      <c r="D177" s="16">
        <f t="shared" si="34"/>
        <v>23.576738222936729</v>
      </c>
      <c r="P177" s="41">
        <v>48</v>
      </c>
      <c r="Q177">
        <v>1399.2073100000007</v>
      </c>
      <c r="R177">
        <v>319.60483346376901</v>
      </c>
      <c r="S177" s="41">
        <v>224.99999911181845</v>
      </c>
    </row>
    <row r="178" spans="1:19" x14ac:dyDescent="0.2">
      <c r="A178" s="39">
        <v>-49</v>
      </c>
      <c r="B178" s="41">
        <v>443.40948654137816</v>
      </c>
      <c r="C178" s="41">
        <v>200.04096513382751</v>
      </c>
      <c r="D178" s="16">
        <f t="shared" si="34"/>
        <v>24.282169811550823</v>
      </c>
      <c r="P178" s="41">
        <v>49</v>
      </c>
      <c r="Q178">
        <v>1436.1670400000007</v>
      </c>
      <c r="R178">
        <v>302.05336413887125</v>
      </c>
      <c r="S178" s="41">
        <v>225.00000016246935</v>
      </c>
    </row>
    <row r="179" spans="1:19" x14ac:dyDescent="0.2">
      <c r="A179" s="39">
        <v>-50</v>
      </c>
      <c r="B179" s="41">
        <v>436.53473969687906</v>
      </c>
      <c r="C179" s="41">
        <v>203.56259481713781</v>
      </c>
      <c r="D179" s="16">
        <f t="shared" si="34"/>
        <v>25.000334492403486</v>
      </c>
      <c r="P179" s="41">
        <v>50</v>
      </c>
      <c r="Q179">
        <v>1473.1267700000008</v>
      </c>
      <c r="R179">
        <v>283.21099335900482</v>
      </c>
      <c r="S179" s="41">
        <v>224.99999901487735</v>
      </c>
    </row>
    <row r="180" spans="1:19" x14ac:dyDescent="0.2">
      <c r="A180" s="37">
        <v>-51</v>
      </c>
      <c r="B180" s="41">
        <v>432.70566069133099</v>
      </c>
      <c r="C180" s="41">
        <v>206.61638137773505</v>
      </c>
      <c r="D180" s="16">
        <f t="shared" si="34"/>
        <v>25.524413721815748</v>
      </c>
      <c r="P180" s="41">
        <v>51</v>
      </c>
      <c r="Q180">
        <v>1510.0865000000008</v>
      </c>
      <c r="R180">
        <v>263.01880741394274</v>
      </c>
      <c r="S180" s="41">
        <v>224.99999955127143</v>
      </c>
    </row>
    <row r="181" spans="1:19" x14ac:dyDescent="0.2">
      <c r="A181" s="37">
        <v>-52</v>
      </c>
      <c r="B181" s="41">
        <v>425.84220083626593</v>
      </c>
      <c r="C181" s="41">
        <v>210.15012325415711</v>
      </c>
      <c r="D181" s="16">
        <f t="shared" si="34"/>
        <v>26.266014271960113</v>
      </c>
      <c r="P181" s="41">
        <v>52</v>
      </c>
      <c r="Q181">
        <v>1510.0865000000008</v>
      </c>
      <c r="R181">
        <v>0</v>
      </c>
      <c r="S181" s="41">
        <v>90</v>
      </c>
    </row>
    <row r="182" spans="1:19" x14ac:dyDescent="0.2">
      <c r="A182" s="39">
        <v>-53</v>
      </c>
      <c r="B182" s="41">
        <v>418.96468208420072</v>
      </c>
      <c r="C182" s="41">
        <v>213.70943457351865</v>
      </c>
      <c r="D182" s="16">
        <f t="shared" si="34"/>
        <v>27.025645445859396</v>
      </c>
      <c r="P182" s="41">
        <v>53</v>
      </c>
      <c r="S182" s="41">
        <v>90</v>
      </c>
    </row>
    <row r="183" spans="1:19" x14ac:dyDescent="0.2">
      <c r="A183" s="39">
        <v>-54</v>
      </c>
      <c r="B183" s="41">
        <v>412.05752118728748</v>
      </c>
      <c r="C183" s="41">
        <v>217.30327900483874</v>
      </c>
      <c r="D183" s="16">
        <f t="shared" si="34"/>
        <v>27.805439187260927</v>
      </c>
      <c r="P183" s="41">
        <v>54</v>
      </c>
      <c r="S183" s="41">
        <v>90.000000000000014</v>
      </c>
    </row>
    <row r="184" spans="1:19" x14ac:dyDescent="0.2">
      <c r="A184" s="37">
        <v>-55</v>
      </c>
      <c r="B184" s="41">
        <v>405.10435120883847</v>
      </c>
      <c r="C184" s="41">
        <v>220.94100319811392</v>
      </c>
      <c r="D184" s="16">
        <f t="shared" si="34"/>
        <v>28.607733787250442</v>
      </c>
      <c r="P184" s="41">
        <v>55</v>
      </c>
      <c r="S184" s="41">
        <v>90</v>
      </c>
    </row>
    <row r="185" spans="1:19" x14ac:dyDescent="0.2">
      <c r="A185" s="37">
        <v>-56</v>
      </c>
      <c r="B185" s="41">
        <v>398.08781162530516</v>
      </c>
      <c r="C185" s="41">
        <v>224.63244170966919</v>
      </c>
      <c r="D185" s="16">
        <f t="shared" si="34"/>
        <v>29.435108136591122</v>
      </c>
      <c r="P185" s="41">
        <v>56</v>
      </c>
      <c r="S185" s="41">
        <v>90</v>
      </c>
    </row>
    <row r="186" spans="1:19" x14ac:dyDescent="0.2">
      <c r="A186" s="39">
        <v>-57</v>
      </c>
      <c r="B186" s="41">
        <v>390.98931427913152</v>
      </c>
      <c r="C186" s="41">
        <v>228.38803746485468</v>
      </c>
      <c r="D186" s="16">
        <f t="shared" si="34"/>
        <v>30.290422035781368</v>
      </c>
      <c r="P186" s="41">
        <v>57</v>
      </c>
      <c r="S186" s="41">
        <v>90</v>
      </c>
    </row>
    <row r="187" spans="1:19" x14ac:dyDescent="0.2">
      <c r="A187" s="39">
        <v>-58</v>
      </c>
      <c r="B187" s="41">
        <v>383.78876686026962</v>
      </c>
      <c r="C187" s="41">
        <v>232.21897497545515</v>
      </c>
      <c r="D187" s="16">
        <f t="shared" si="34"/>
        <v>31.176863855693213</v>
      </c>
      <c r="P187" s="41">
        <v>58</v>
      </c>
      <c r="S187" s="41">
        <v>90</v>
      </c>
    </row>
    <row r="188" spans="1:19" x14ac:dyDescent="0.2">
      <c r="A188" s="37">
        <v>-59</v>
      </c>
      <c r="B188" s="41">
        <v>376.46425212120528</v>
      </c>
      <c r="C188" s="41">
        <v>236.13733520801091</v>
      </c>
      <c r="D188" s="16">
        <f t="shared" si="34"/>
        <v>32.09800729456061</v>
      </c>
      <c r="P188" s="41">
        <v>59</v>
      </c>
      <c r="S188" s="41">
        <v>89.999999999999986</v>
      </c>
    </row>
    <row r="189" spans="1:19" x14ac:dyDescent="0.2">
      <c r="A189" s="37">
        <v>-60</v>
      </c>
      <c r="B189" s="41">
        <v>368.99164319425751</v>
      </c>
      <c r="C189" s="41">
        <v>240.1562724651254</v>
      </c>
      <c r="D189" s="16">
        <f t="shared" si="34"/>
        <v>33.057879314374318</v>
      </c>
      <c r="P189" s="41">
        <v>60</v>
      </c>
      <c r="S189" s="41">
        <v>90</v>
      </c>
    </row>
    <row r="190" spans="1:19" x14ac:dyDescent="0.2">
      <c r="A190" s="39">
        <v>-61</v>
      </c>
      <c r="B190" s="41">
        <v>361.34414638595598</v>
      </c>
      <c r="C190" s="41">
        <v>244.29022420357072</v>
      </c>
      <c r="D190" s="16">
        <f t="shared" si="34"/>
        <v>34.061041999229268</v>
      </c>
      <c r="P190" s="41">
        <v>61</v>
      </c>
      <c r="S190" s="41">
        <v>90</v>
      </c>
    </row>
    <row r="191" spans="1:19" x14ac:dyDescent="0.2">
      <c r="A191" s="39">
        <v>-62</v>
      </c>
      <c r="B191" s="41">
        <v>353.49174548759657</v>
      </c>
      <c r="C191" s="41">
        <v>248.55515798373844</v>
      </c>
      <c r="D191" s="16">
        <f t="shared" si="34"/>
        <v>35.112691722003817</v>
      </c>
      <c r="P191" s="41">
        <v>62</v>
      </c>
      <c r="S191" s="41">
        <v>90.000000000000014</v>
      </c>
    </row>
    <row r="192" spans="1:19" x14ac:dyDescent="0.2">
      <c r="A192" s="37">
        <v>-63</v>
      </c>
      <c r="B192" s="41">
        <v>345.40052317406867</v>
      </c>
      <c r="C192" s="41">
        <v>252.96886694087931</v>
      </c>
      <c r="D192" s="16">
        <f t="shared" si="34"/>
        <v>36.218780008717339</v>
      </c>
      <c r="P192" s="41">
        <v>63</v>
      </c>
      <c r="S192" s="41">
        <v>90</v>
      </c>
    </row>
    <row r="193" spans="1:19" x14ac:dyDescent="0.2">
      <c r="A193" s="37">
        <v>-64</v>
      </c>
      <c r="B193" s="41">
        <v>337.03182225249498</v>
      </c>
      <c r="C193" s="41">
        <v>257.55132485851425</v>
      </c>
      <c r="D193" s="16">
        <f t="shared" si="34"/>
        <v>37.386161697443413</v>
      </c>
      <c r="P193" s="41">
        <v>64</v>
      </c>
      <c r="S193" s="41">
        <v>90</v>
      </c>
    </row>
    <row r="194" spans="1:19" x14ac:dyDescent="0.2">
      <c r="A194" s="39">
        <v>-65</v>
      </c>
      <c r="B194" s="41">
        <v>328.34120504262614</v>
      </c>
      <c r="C194" s="41">
        <v>262.32512152580057</v>
      </c>
      <c r="D194" s="16">
        <f t="shared" ref="D194:D257" si="35">DEGREES(ATAN2(B194,C194))</f>
        <v>38.622777676865425</v>
      </c>
      <c r="P194" s="41">
        <v>65</v>
      </c>
      <c r="S194" s="41">
        <v>89.999999999999986</v>
      </c>
    </row>
    <row r="195" spans="1:19" x14ac:dyDescent="0.2">
      <c r="A195" s="39">
        <v>-66</v>
      </c>
      <c r="B195" s="41">
        <v>319.27714135944115</v>
      </c>
      <c r="C195" s="41">
        <v>267.31599504280854</v>
      </c>
      <c r="D195" s="16">
        <f t="shared" si="35"/>
        <v>39.937881518561099</v>
      </c>
      <c r="P195" s="41">
        <v>66</v>
      </c>
      <c r="S195" s="41">
        <v>89.999999999999986</v>
      </c>
    </row>
    <row r="196" spans="1:19" x14ac:dyDescent="0.2">
      <c r="A196" s="37">
        <v>-67</v>
      </c>
      <c r="B196" s="41">
        <v>309.7793421962275</v>
      </c>
      <c r="C196" s="41">
        <v>272.5534920203678</v>
      </c>
      <c r="D196" s="16">
        <f t="shared" si="35"/>
        <v>41.342322173885584</v>
      </c>
      <c r="P196" s="41">
        <v>67</v>
      </c>
      <c r="S196" s="41">
        <v>89.999999999999986</v>
      </c>
    </row>
    <row r="197" spans="1:19" x14ac:dyDescent="0.2">
      <c r="A197" s="37">
        <v>-68</v>
      </c>
      <c r="B197" s="41">
        <v>299.7766225376983</v>
      </c>
      <c r="C197" s="41">
        <v>278.07179633246454</v>
      </c>
      <c r="D197" s="16">
        <f t="shared" si="35"/>
        <v>42.848898528815688</v>
      </c>
      <c r="P197" s="41">
        <v>68</v>
      </c>
      <c r="S197" s="41">
        <v>90.000000000000014</v>
      </c>
    </row>
    <row r="198" spans="1:19" x14ac:dyDescent="0.2">
      <c r="A198" s="39">
        <v>-69</v>
      </c>
      <c r="B198" s="41">
        <v>289.18412386242198</v>
      </c>
      <c r="C198" s="41">
        <v>283.91077537954953</v>
      </c>
      <c r="D198" s="16">
        <f t="shared" si="35"/>
        <v>44.472806186936253</v>
      </c>
      <c r="P198" s="41">
        <v>69</v>
      </c>
      <c r="S198" s="41">
        <v>90</v>
      </c>
    </row>
    <row r="199" spans="1:19" x14ac:dyDescent="0.2">
      <c r="A199" s="39">
        <v>-70</v>
      </c>
      <c r="B199" s="41">
        <v>277.89966691926583</v>
      </c>
      <c r="C199" s="41">
        <v>290.11732179573232</v>
      </c>
      <c r="D199" s="16">
        <f t="shared" si="35"/>
        <v>46.232202819545584</v>
      </c>
      <c r="P199" s="41">
        <v>70</v>
      </c>
      <c r="S199" s="41">
        <v>90</v>
      </c>
    </row>
    <row r="200" spans="1:19" x14ac:dyDescent="0.2">
      <c r="A200" s="37">
        <v>-71</v>
      </c>
      <c r="B200" s="41">
        <v>265.79889033960558</v>
      </c>
      <c r="C200" s="41">
        <v>296.74708478917881</v>
      </c>
      <c r="D200" s="16">
        <f t="shared" si="35"/>
        <v>48.148925285973867</v>
      </c>
      <c r="P200" s="41">
        <v>71</v>
      </c>
      <c r="S200" s="41">
        <v>90</v>
      </c>
    </row>
    <row r="201" spans="1:19" x14ac:dyDescent="0.2">
      <c r="A201" s="37">
        <v>-72</v>
      </c>
      <c r="B201" s="41">
        <v>252.72868937411906</v>
      </c>
      <c r="C201" s="41">
        <v>303.86674576495898</v>
      </c>
      <c r="D201" s="16">
        <f t="shared" si="35"/>
        <v>50.249399844953551</v>
      </c>
      <c r="P201" s="41">
        <v>72</v>
      </c>
      <c r="S201" s="41">
        <v>90.000000000000014</v>
      </c>
    </row>
    <row r="202" spans="1:19" x14ac:dyDescent="0.2">
      <c r="A202" s="39">
        <v>-73</v>
      </c>
      <c r="B202" s="41">
        <v>238.4982094677334</v>
      </c>
      <c r="C202" s="41">
        <v>311.55703887273188</v>
      </c>
      <c r="D202" s="16">
        <f t="shared" si="35"/>
        <v>52.565793628433667</v>
      </c>
      <c r="P202" s="41">
        <v>73</v>
      </c>
      <c r="S202" s="41">
        <v>89.999999999999986</v>
      </c>
    </row>
    <row r="203" spans="1:19" x14ac:dyDescent="0.2">
      <c r="A203" s="39">
        <v>-74</v>
      </c>
      <c r="B203" s="41">
        <v>223.53602684358947</v>
      </c>
      <c r="C203" s="41">
        <v>319.3892088941044</v>
      </c>
      <c r="D203" s="16">
        <f t="shared" si="35"/>
        <v>55.012364825351199</v>
      </c>
      <c r="P203" s="41">
        <v>74</v>
      </c>
      <c r="S203" s="41">
        <v>90.000000000000028</v>
      </c>
    </row>
    <row r="204" spans="1:19" x14ac:dyDescent="0.2">
      <c r="A204" s="37">
        <v>-75</v>
      </c>
      <c r="B204" s="41">
        <v>210.23480476009902</v>
      </c>
      <c r="C204" s="41">
        <v>325.41683929939165</v>
      </c>
      <c r="D204" s="16">
        <f t="shared" si="35"/>
        <v>57.135611168733298</v>
      </c>
      <c r="P204" s="41">
        <v>75</v>
      </c>
      <c r="S204" s="41">
        <v>90</v>
      </c>
    </row>
    <row r="205" spans="1:19" x14ac:dyDescent="0.2">
      <c r="A205" s="37">
        <v>-76</v>
      </c>
      <c r="B205" s="41">
        <v>195.67720616873532</v>
      </c>
      <c r="C205" s="41">
        <v>331.91056878244831</v>
      </c>
      <c r="D205" s="16">
        <f t="shared" si="35"/>
        <v>59.478610210954983</v>
      </c>
      <c r="P205" s="41">
        <v>76</v>
      </c>
      <c r="S205" s="41">
        <v>90.000000000000014</v>
      </c>
    </row>
    <row r="206" spans="1:19" x14ac:dyDescent="0.2">
      <c r="A206" s="39">
        <v>-77</v>
      </c>
      <c r="B206" s="41">
        <v>180.57010761424792</v>
      </c>
      <c r="C206" s="41">
        <v>338.51575802236289</v>
      </c>
      <c r="D206" s="16">
        <f t="shared" si="35"/>
        <v>61.923774776843118</v>
      </c>
      <c r="P206" s="41"/>
      <c r="S206" s="41"/>
    </row>
    <row r="207" spans="1:19" x14ac:dyDescent="0.2">
      <c r="A207" s="39">
        <v>-78</v>
      </c>
      <c r="B207" s="41">
        <v>164.95273514918293</v>
      </c>
      <c r="C207" s="41">
        <v>345.21202565459674</v>
      </c>
      <c r="D207" s="16">
        <f t="shared" si="35"/>
        <v>64.46011976909341</v>
      </c>
    </row>
    <row r="208" spans="1:19" x14ac:dyDescent="0.2">
      <c r="A208" s="37">
        <v>-79</v>
      </c>
      <c r="B208" s="41">
        <v>148.74406548230212</v>
      </c>
      <c r="C208" s="41">
        <v>352.03477822441164</v>
      </c>
      <c r="D208" s="16">
        <f t="shared" si="35"/>
        <v>67.094647945112484</v>
      </c>
    </row>
    <row r="209" spans="1:4" x14ac:dyDescent="0.2">
      <c r="A209" s="37">
        <v>-80</v>
      </c>
      <c r="B209" s="41">
        <v>131.85101947112429</v>
      </c>
      <c r="C209" s="41">
        <v>359.02305130043857</v>
      </c>
      <c r="D209" s="16">
        <f t="shared" si="35"/>
        <v>69.834268115811682</v>
      </c>
    </row>
    <row r="210" spans="1:4" x14ac:dyDescent="0.2">
      <c r="A210" s="39">
        <v>-81</v>
      </c>
      <c r="B210" s="41">
        <v>114.16611446591155</v>
      </c>
      <c r="C210" s="41">
        <v>366.22019523192336</v>
      </c>
      <c r="D210" s="16">
        <f t="shared" si="35"/>
        <v>72.685564694416897</v>
      </c>
    </row>
    <row r="211" spans="1:4" x14ac:dyDescent="0.2">
      <c r="A211" s="39">
        <v>-82</v>
      </c>
      <c r="B211" s="41">
        <v>95.564621565936662</v>
      </c>
      <c r="C211" s="41">
        <v>373.67467508297938</v>
      </c>
      <c r="D211" s="16">
        <f t="shared" si="35"/>
        <v>75.654492418594529</v>
      </c>
    </row>
    <row r="212" spans="1:4" x14ac:dyDescent="0.2">
      <c r="A212" s="37">
        <v>-83</v>
      </c>
      <c r="B212" s="41">
        <v>75.901115842224513</v>
      </c>
      <c r="C212" s="41">
        <v>381.44099742334015</v>
      </c>
      <c r="D212" s="16">
        <f t="shared" si="35"/>
        <v>78.745985492133983</v>
      </c>
    </row>
    <row r="213" spans="1:4" x14ac:dyDescent="0.2">
      <c r="A213" s="37">
        <v>-84</v>
      </c>
      <c r="B213" s="41">
        <v>54.709151952860964</v>
      </c>
      <c r="C213" s="41">
        <v>385.72710364818266</v>
      </c>
      <c r="D213" s="16">
        <f t="shared" si="35"/>
        <v>81.927364808903178</v>
      </c>
    </row>
    <row r="214" spans="1:4" x14ac:dyDescent="0.2">
      <c r="A214" s="39">
        <v>-85</v>
      </c>
      <c r="B214" s="41">
        <v>32.862788994761935</v>
      </c>
      <c r="C214" s="41">
        <v>389.70533563619364</v>
      </c>
      <c r="D214" s="16">
        <f t="shared" si="35"/>
        <v>85.179807068013233</v>
      </c>
    </row>
    <row r="215" spans="1:4" x14ac:dyDescent="0.2">
      <c r="A215" s="39">
        <v>-86</v>
      </c>
      <c r="B215" s="41">
        <v>10.322312181342815</v>
      </c>
      <c r="C215" s="41">
        <v>393.64382213125901</v>
      </c>
      <c r="D215" s="16">
        <f t="shared" si="35"/>
        <v>88.497907531209052</v>
      </c>
    </row>
    <row r="216" spans="1:4" x14ac:dyDescent="0.2">
      <c r="A216" s="37">
        <v>-87</v>
      </c>
      <c r="B216" s="41">
        <v>-11.821859915007019</v>
      </c>
      <c r="C216" s="41">
        <v>396.94146470528943</v>
      </c>
      <c r="D216" s="16">
        <f t="shared" si="35"/>
        <v>91.705900190510505</v>
      </c>
    </row>
    <row r="217" spans="1:4" x14ac:dyDescent="0.2">
      <c r="A217" s="37">
        <v>-88</v>
      </c>
      <c r="B217" s="41">
        <v>-29.655483975697987</v>
      </c>
      <c r="C217" s="41">
        <v>397.48968443610318</v>
      </c>
      <c r="D217" s="16">
        <f t="shared" si="35"/>
        <v>94.266757239022681</v>
      </c>
    </row>
    <row r="218" spans="1:4" x14ac:dyDescent="0.2">
      <c r="A218" s="39">
        <v>-89</v>
      </c>
      <c r="B218" s="41">
        <v>-48.109429310197051</v>
      </c>
      <c r="C218" s="41">
        <v>397.81837020795831</v>
      </c>
      <c r="D218" s="16">
        <f t="shared" si="35"/>
        <v>96.89547425763233</v>
      </c>
    </row>
    <row r="219" spans="1:4" x14ac:dyDescent="0.2">
      <c r="A219" s="39">
        <v>-90</v>
      </c>
      <c r="B219" s="41">
        <v>-62.864999999999881</v>
      </c>
      <c r="C219" s="41">
        <v>397.90331074479258</v>
      </c>
      <c r="D219" s="16">
        <f t="shared" si="35"/>
        <v>98.977987902889069</v>
      </c>
    </row>
    <row r="220" spans="1:4" x14ac:dyDescent="0.2">
      <c r="A220" s="37">
        <v>-91</v>
      </c>
      <c r="B220" s="41">
        <v>-77.620570689802861</v>
      </c>
      <c r="C220" s="41">
        <v>397.81837020795825</v>
      </c>
      <c r="D220" s="16">
        <f t="shared" si="35"/>
        <v>101.04058972475467</v>
      </c>
    </row>
    <row r="221" spans="1:4" x14ac:dyDescent="0.2">
      <c r="A221" s="37">
        <v>-92</v>
      </c>
      <c r="B221" s="41">
        <v>-96.074516024301971</v>
      </c>
      <c r="C221" s="41">
        <v>397.4896844361034</v>
      </c>
      <c r="D221" s="16">
        <f t="shared" si="35"/>
        <v>103.58796716826058</v>
      </c>
    </row>
    <row r="222" spans="1:4" x14ac:dyDescent="0.2">
      <c r="A222" s="39">
        <v>-93</v>
      </c>
      <c r="B222" s="41">
        <v>-113.90814008499282</v>
      </c>
      <c r="C222" s="41">
        <v>396.94146470528949</v>
      </c>
      <c r="D222" s="16">
        <f t="shared" si="35"/>
        <v>106.01160397354673</v>
      </c>
    </row>
    <row r="223" spans="1:4" x14ac:dyDescent="0.2">
      <c r="A223" s="39">
        <v>-94</v>
      </c>
      <c r="B223" s="41">
        <v>-131.2291377366162</v>
      </c>
      <c r="C223" s="41">
        <v>396.17236824552276</v>
      </c>
      <c r="D223" s="16">
        <f t="shared" si="35"/>
        <v>108.32706651723019</v>
      </c>
    </row>
    <row r="224" spans="1:4" x14ac:dyDescent="0.2">
      <c r="A224" s="37">
        <v>-95</v>
      </c>
      <c r="B224" s="41">
        <v>-148.12531487762158</v>
      </c>
      <c r="C224" s="41">
        <v>395.18050456802126</v>
      </c>
      <c r="D224" s="16">
        <f t="shared" si="35"/>
        <v>110.54748069876646</v>
      </c>
    </row>
    <row r="225" spans="1:4" x14ac:dyDescent="0.2">
      <c r="A225" s="37">
        <v>-96</v>
      </c>
      <c r="B225" s="41">
        <v>-163.73553605017736</v>
      </c>
      <c r="C225" s="41">
        <v>392.6612959733572</v>
      </c>
      <c r="D225" s="16">
        <f t="shared" si="35"/>
        <v>112.63561128049035</v>
      </c>
    </row>
    <row r="226" spans="1:4" x14ac:dyDescent="0.2">
      <c r="A226" s="39">
        <v>-97</v>
      </c>
      <c r="B226" s="41">
        <v>-175.76575650267424</v>
      </c>
      <c r="C226" s="41">
        <v>385.98714716194962</v>
      </c>
      <c r="D226" s="16">
        <f t="shared" si="35"/>
        <v>114.48294719028091</v>
      </c>
    </row>
    <row r="227" spans="1:4" x14ac:dyDescent="0.2">
      <c r="A227" s="39">
        <v>-98</v>
      </c>
      <c r="B227" s="41">
        <v>-187.34179320284937</v>
      </c>
      <c r="C227" s="41">
        <v>379.70769974448865</v>
      </c>
      <c r="D227" s="16">
        <f t="shared" si="35"/>
        <v>116.26100512359206</v>
      </c>
    </row>
    <row r="228" spans="1:4" x14ac:dyDescent="0.2">
      <c r="A228" s="37">
        <v>-99</v>
      </c>
      <c r="B228" s="41">
        <v>-198.56005566775525</v>
      </c>
      <c r="C228" s="41">
        <v>373.73474670821452</v>
      </c>
      <c r="D228" s="16">
        <f t="shared" si="35"/>
        <v>117.98108504590587</v>
      </c>
    </row>
    <row r="229" spans="1:4" x14ac:dyDescent="0.2">
      <c r="A229" s="37">
        <v>-100</v>
      </c>
      <c r="B229" s="41">
        <v>-209.49600053786543</v>
      </c>
      <c r="C229" s="41">
        <v>367.99623126293847</v>
      </c>
      <c r="D229" s="16">
        <f t="shared" si="35"/>
        <v>119.65235910333971</v>
      </c>
    </row>
    <row r="230" spans="1:4" x14ac:dyDescent="0.2">
      <c r="A230" s="39">
        <v>-101</v>
      </c>
      <c r="B230" s="41">
        <v>-220.20979209231641</v>
      </c>
      <c r="C230" s="41">
        <v>362.43245507501626</v>
      </c>
      <c r="D230" s="16">
        <f t="shared" si="35"/>
        <v>121.28238436544864</v>
      </c>
    </row>
    <row r="231" spans="1:4" x14ac:dyDescent="0.2">
      <c r="A231" s="39">
        <v>-102</v>
      </c>
      <c r="B231" s="41">
        <v>-230.02866933279529</v>
      </c>
      <c r="C231" s="41">
        <v>356.69196949760283</v>
      </c>
      <c r="D231" s="16">
        <f t="shared" si="35"/>
        <v>122.81774481929749</v>
      </c>
    </row>
    <row r="232" spans="1:4" x14ac:dyDescent="0.2">
      <c r="A232" s="37">
        <v>-103</v>
      </c>
      <c r="B232" s="41">
        <v>-239.66618570634787</v>
      </c>
      <c r="C232" s="41">
        <v>350.98712668034102</v>
      </c>
      <c r="D232" s="16">
        <f t="shared" si="35"/>
        <v>124.32661689606832</v>
      </c>
    </row>
    <row r="233" spans="1:4" x14ac:dyDescent="0.2">
      <c r="A233" s="37">
        <v>-104</v>
      </c>
      <c r="B233" s="41">
        <v>-249.28458613521946</v>
      </c>
      <c r="C233" s="41">
        <v>345.33921953928802</v>
      </c>
      <c r="D233" s="16">
        <f t="shared" si="35"/>
        <v>125.82379490909912</v>
      </c>
    </row>
    <row r="234" spans="1:4" x14ac:dyDescent="0.2">
      <c r="A234" s="39">
        <v>-105</v>
      </c>
      <c r="B234" s="41">
        <v>-263.05298950168429</v>
      </c>
      <c r="C234" s="41">
        <v>337.3620007991853</v>
      </c>
      <c r="D234" s="16">
        <f t="shared" si="35"/>
        <v>127.94479275705324</v>
      </c>
    </row>
    <row r="235" spans="1:4" x14ac:dyDescent="0.2">
      <c r="A235" s="39">
        <v>-106</v>
      </c>
      <c r="B235" s="41">
        <v>-277.6702870773226</v>
      </c>
      <c r="C235" s="41">
        <v>328.82809362643928</v>
      </c>
      <c r="D235" s="16">
        <f t="shared" si="35"/>
        <v>130.17854534523789</v>
      </c>
    </row>
    <row r="236" spans="1:4" x14ac:dyDescent="0.2">
      <c r="A236" s="37">
        <v>-107</v>
      </c>
      <c r="B236" s="41">
        <v>-291.61903194000593</v>
      </c>
      <c r="C236" s="41">
        <v>320.62213299014303</v>
      </c>
      <c r="D236" s="16">
        <f t="shared" si="35"/>
        <v>132.28781075796437</v>
      </c>
    </row>
    <row r="237" spans="1:4" x14ac:dyDescent="0.2">
      <c r="A237" s="37">
        <v>-108</v>
      </c>
      <c r="B237" s="41">
        <v>-304.46350158303278</v>
      </c>
      <c r="C237" s="41">
        <v>313.06279841754002</v>
      </c>
      <c r="D237" s="16">
        <f t="shared" si="35"/>
        <v>134.20218528131772</v>
      </c>
    </row>
    <row r="238" spans="1:4" x14ac:dyDescent="0.2">
      <c r="A238" s="39">
        <v>-109</v>
      </c>
      <c r="B238" s="41">
        <v>-316.39443903586181</v>
      </c>
      <c r="C238" s="41">
        <v>306.0566999296035</v>
      </c>
      <c r="D238" s="16">
        <f t="shared" si="35"/>
        <v>135.95148732759384</v>
      </c>
    </row>
    <row r="239" spans="1:4" x14ac:dyDescent="0.2">
      <c r="A239" s="39">
        <v>-110</v>
      </c>
      <c r="B239" s="41">
        <v>-327.56791803802054</v>
      </c>
      <c r="C239" s="41">
        <v>299.52375246108971</v>
      </c>
      <c r="D239" s="16">
        <f t="shared" si="35"/>
        <v>137.56061832061192</v>
      </c>
    </row>
    <row r="240" spans="1:4" x14ac:dyDescent="0.2">
      <c r="A240" s="37">
        <v>-111</v>
      </c>
      <c r="B240" s="41">
        <v>-338.10879657676662</v>
      </c>
      <c r="C240" s="41">
        <v>293.39781544624111</v>
      </c>
      <c r="D240" s="16">
        <f t="shared" si="35"/>
        <v>139.04981176504478</v>
      </c>
    </row>
    <row r="241" spans="1:4" x14ac:dyDescent="0.2">
      <c r="A241" s="37">
        <v>-112</v>
      </c>
      <c r="B241" s="41">
        <v>-348.11829451302265</v>
      </c>
      <c r="C241" s="41">
        <v>287.6236806392684</v>
      </c>
      <c r="D241" s="16">
        <f t="shared" si="35"/>
        <v>140.43566614242621</v>
      </c>
    </row>
    <row r="242" spans="1:4" x14ac:dyDescent="0.2">
      <c r="A242" s="39">
        <v>-113</v>
      </c>
      <c r="B242" s="41">
        <v>-357.67948929589846</v>
      </c>
      <c r="C242" s="41">
        <v>282.15480736871615</v>
      </c>
      <c r="D242" s="16">
        <f t="shared" si="35"/>
        <v>141.73192233381047</v>
      </c>
    </row>
    <row r="243" spans="1:4" x14ac:dyDescent="0.2">
      <c r="A243" s="39">
        <v>-114</v>
      </c>
      <c r="B243" s="41">
        <v>-366.86136628603731</v>
      </c>
      <c r="C243" s="41">
        <v>276.9515955251818</v>
      </c>
      <c r="D243" s="16">
        <f t="shared" si="35"/>
        <v>142.95005408333463</v>
      </c>
    </row>
    <row r="244" spans="1:4" x14ac:dyDescent="0.2">
      <c r="A244" s="37">
        <v>-115</v>
      </c>
      <c r="B244" s="41">
        <v>-375.72184911306306</v>
      </c>
      <c r="C244" s="41">
        <v>271.98005011725354</v>
      </c>
      <c r="D244" s="16">
        <f t="shared" si="35"/>
        <v>144.0997208506621</v>
      </c>
    </row>
    <row r="245" spans="1:4" x14ac:dyDescent="0.2">
      <c r="A245" s="37">
        <v>-116</v>
      </c>
      <c r="B245" s="41">
        <v>-384.31009530106928</v>
      </c>
      <c r="C245" s="41">
        <v>267.21073872991468</v>
      </c>
      <c r="D245" s="16">
        <f t="shared" si="35"/>
        <v>145.18911788845665</v>
      </c>
    </row>
    <row r="246" spans="1:4" x14ac:dyDescent="0.2">
      <c r="A246" s="39">
        <v>-117</v>
      </c>
      <c r="B246" s="41">
        <v>-392.66825926436519</v>
      </c>
      <c r="C246" s="41">
        <v>262.61796638698752</v>
      </c>
      <c r="D246" s="16">
        <f t="shared" si="35"/>
        <v>146.22524968095732</v>
      </c>
    </row>
    <row r="247" spans="1:4" x14ac:dyDescent="0.2">
      <c r="A247" s="39">
        <v>-118</v>
      </c>
      <c r="B247" s="41">
        <v>-400.83286144804708</v>
      </c>
      <c r="C247" s="41">
        <v>258.17911640190778</v>
      </c>
      <c r="D247" s="16">
        <f t="shared" si="35"/>
        <v>147.21414523963224</v>
      </c>
    </row>
    <row r="248" spans="1:4" x14ac:dyDescent="0.2">
      <c r="A248" s="37">
        <v>-119</v>
      </c>
      <c r="B248" s="41">
        <v>-408.83586317348625</v>
      </c>
      <c r="C248" s="41">
        <v>253.87411898138816</v>
      </c>
      <c r="D248" s="16">
        <f t="shared" si="35"/>
        <v>148.16102897518388</v>
      </c>
    </row>
    <row r="249" spans="1:4" x14ac:dyDescent="0.2">
      <c r="A249" s="37">
        <v>-120</v>
      </c>
      <c r="B249" s="41">
        <v>-416.7055205572529</v>
      </c>
      <c r="C249" s="41">
        <v>249.68501735590993</v>
      </c>
      <c r="D249" s="16">
        <f t="shared" si="35"/>
        <v>149.07045760137473</v>
      </c>
    </row>
    <row r="250" spans="1:4" x14ac:dyDescent="0.2">
      <c r="A250" s="39">
        <v>-121</v>
      </c>
      <c r="B250" s="41">
        <v>-424.46706935551316</v>
      </c>
      <c r="C250" s="41">
        <v>245.5956109326826</v>
      </c>
      <c r="D250" s="16">
        <f t="shared" si="35"/>
        <v>149.94643054296722</v>
      </c>
    </row>
    <row r="251" spans="1:4" x14ac:dyDescent="0.2">
      <c r="A251" s="39">
        <v>-122</v>
      </c>
      <c r="B251" s="41">
        <v>-432.14327968492859</v>
      </c>
      <c r="C251" s="41">
        <v>241.5911593449093</v>
      </c>
      <c r="D251" s="16">
        <f t="shared" si="35"/>
        <v>150.79247958434348</v>
      </c>
    </row>
    <row r="252" spans="1:4" x14ac:dyDescent="0.2">
      <c r="A252" s="37">
        <v>-123</v>
      </c>
      <c r="B252" s="41">
        <v>-439.75491171216942</v>
      </c>
      <c r="C252" s="41">
        <v>237.65813227094685</v>
      </c>
      <c r="D252" s="16">
        <f t="shared" si="35"/>
        <v>151.61174250642475</v>
      </c>
    </row>
    <row r="253" spans="1:4" x14ac:dyDescent="0.2">
      <c r="A253" s="37">
        <v>-124</v>
      </c>
      <c r="B253" s="41">
        <v>-446.70090426799197</v>
      </c>
      <c r="C253" s="41">
        <v>233.71377021500399</v>
      </c>
      <c r="D253" s="16">
        <f t="shared" si="35"/>
        <v>152.38144999362044</v>
      </c>
    </row>
    <row r="254" spans="1:4" x14ac:dyDescent="0.2">
      <c r="A254" s="39">
        <v>-125</v>
      </c>
      <c r="B254" s="41">
        <v>-453.55131979933515</v>
      </c>
      <c r="C254" s="41">
        <v>229.8166278915925</v>
      </c>
      <c r="D254" s="16">
        <f t="shared" si="35"/>
        <v>153.12844866137684</v>
      </c>
    </row>
    <row r="255" spans="1:4" x14ac:dyDescent="0.2">
      <c r="A255" s="39">
        <v>-126</v>
      </c>
      <c r="B255" s="41">
        <v>-460.35124602780763</v>
      </c>
      <c r="C255" s="41">
        <v>225.95973223354326</v>
      </c>
      <c r="D255" s="16">
        <f t="shared" si="35"/>
        <v>153.85625579532993</v>
      </c>
    </row>
    <row r="256" spans="1:4" x14ac:dyDescent="0.2">
      <c r="A256" s="37">
        <v>-127</v>
      </c>
      <c r="B256" s="41">
        <v>-467.11656171513232</v>
      </c>
      <c r="C256" s="41">
        <v>222.13327743699222</v>
      </c>
      <c r="D256" s="16">
        <f t="shared" si="35"/>
        <v>154.56697634709192</v>
      </c>
    </row>
    <row r="257" spans="1:4" x14ac:dyDescent="0.2">
      <c r="A257" s="37">
        <v>-128</v>
      </c>
      <c r="B257" s="41">
        <v>-473.86233352489108</v>
      </c>
      <c r="C257" s="41">
        <v>218.32786857982043</v>
      </c>
      <c r="D257" s="16">
        <f t="shared" si="35"/>
        <v>155.26253192136082</v>
      </c>
    </row>
    <row r="258" spans="1:4" x14ac:dyDescent="0.2">
      <c r="A258" s="39">
        <v>-129</v>
      </c>
      <c r="B258" s="41">
        <v>-480.60299854900285</v>
      </c>
      <c r="C258" s="41">
        <v>214.53441689590954</v>
      </c>
      <c r="D258" s="16">
        <f t="shared" ref="D258:D321" si="36">DEGREES(ATAN2(B258,C258))</f>
        <v>155.94468770898285</v>
      </c>
    </row>
    <row r="259" spans="1:4" x14ac:dyDescent="0.2">
      <c r="A259" s="39">
        <v>-130</v>
      </c>
      <c r="B259" s="41">
        <v>-487.35252598376667</v>
      </c>
      <c r="C259" s="41">
        <v>210.74404235337275</v>
      </c>
      <c r="D259" s="16">
        <f t="shared" si="36"/>
        <v>156.61507567125219</v>
      </c>
    </row>
    <row r="260" spans="1:4" x14ac:dyDescent="0.2">
      <c r="A260" s="37">
        <v>-131</v>
      </c>
      <c r="B260" s="41">
        <v>-494.12456590314002</v>
      </c>
      <c r="C260" s="41">
        <v>206.94798408489407</v>
      </c>
      <c r="D260" s="16">
        <f t="shared" si="36"/>
        <v>157.27521453803584</v>
      </c>
    </row>
    <row r="261" spans="1:4" x14ac:dyDescent="0.2">
      <c r="A261" s="37">
        <v>-132</v>
      </c>
      <c r="B261" s="41">
        <v>-500.93258469195882</v>
      </c>
      <c r="C261" s="41">
        <v>203.13751285367022</v>
      </c>
      <c r="D261" s="16">
        <f t="shared" si="36"/>
        <v>157.92652736725211</v>
      </c>
    </row>
    <row r="262" spans="1:4" x14ac:dyDescent="0.2">
      <c r="A262" s="39">
        <v>-133</v>
      </c>
      <c r="B262" s="41">
        <v>-507.78999420432473</v>
      </c>
      <c r="C262" s="41">
        <v>199.3038467197207</v>
      </c>
      <c r="D262" s="16">
        <f t="shared" si="36"/>
        <v>158.57035699566194</v>
      </c>
    </row>
    <row r="263" spans="1:4" x14ac:dyDescent="0.2">
      <c r="A263" s="39">
        <v>-134</v>
      </c>
      <c r="B263" s="41">
        <v>-514.71027446506764</v>
      </c>
      <c r="C263" s="41">
        <v>195.43806585994014</v>
      </c>
      <c r="D263" s="16">
        <f t="shared" si="36"/>
        <v>159.2079798616198</v>
      </c>
    </row>
    <row r="264" spans="1:4" x14ac:dyDescent="0.2">
      <c r="A264" s="37">
        <v>-135</v>
      </c>
      <c r="B264" s="41">
        <v>-521.70709534576827</v>
      </c>
      <c r="C264" s="41">
        <v>191.53102653057738</v>
      </c>
      <c r="D264" s="16">
        <f t="shared" si="36"/>
        <v>159.84061846894434</v>
      </c>
    </row>
    <row r="265" spans="1:4" x14ac:dyDescent="0.2">
      <c r="A265" s="37">
        <v>-136</v>
      </c>
      <c r="B265" s="41">
        <v>-528.79443624687201</v>
      </c>
      <c r="C265" s="41">
        <v>187.57327060661731</v>
      </c>
      <c r="D265" s="16">
        <f t="shared" si="36"/>
        <v>160.46945281491551</v>
      </c>
    </row>
    <row r="266" spans="1:4" x14ac:dyDescent="0.2">
      <c r="A266" s="39">
        <v>-137</v>
      </c>
      <c r="B266" s="41">
        <v>-535.98671123678196</v>
      </c>
      <c r="C266" s="41">
        <v>183.55493108927948</v>
      </c>
      <c r="D266" s="16">
        <f t="shared" si="36"/>
        <v>161.09563099120948</v>
      </c>
    </row>
    <row r="267" spans="1:4" x14ac:dyDescent="0.2">
      <c r="A267" s="39">
        <v>-138</v>
      </c>
      <c r="B267" s="41">
        <v>-543.29889605126777</v>
      </c>
      <c r="C267" s="41">
        <v>179.46562896825745</v>
      </c>
      <c r="D267" s="16">
        <f t="shared" si="36"/>
        <v>161.72027920708089</v>
      </c>
    </row>
    <row r="268" spans="1:4" x14ac:dyDescent="0.2">
      <c r="A268" s="37">
        <v>-139</v>
      </c>
      <c r="B268" s="41">
        <v>-550.74666524180691</v>
      </c>
      <c r="C268" s="41">
        <v>175.29436137565267</v>
      </c>
      <c r="D268" s="16">
        <f t="shared" si="36"/>
        <v>162.34451142156763</v>
      </c>
    </row>
    <row r="269" spans="1:4" x14ac:dyDescent="0.2">
      <c r="A269" s="37">
        <v>-140</v>
      </c>
      <c r="B269" s="41">
        <v>-558.34653704655852</v>
      </c>
      <c r="C269" s="41">
        <v>171.0293767498186</v>
      </c>
      <c r="D269" s="16">
        <f t="shared" si="36"/>
        <v>162.9694387595558</v>
      </c>
    </row>
    <row r="270" spans="1:4" x14ac:dyDescent="0.2">
      <c r="A270" s="39">
        <v>-141</v>
      </c>
      <c r="B270" s="41">
        <v>-566.11603336394444</v>
      </c>
      <c r="C270" s="41">
        <v>166.65803522710925</v>
      </c>
      <c r="D270" s="16">
        <f t="shared" si="36"/>
        <v>163.59617891620138</v>
      </c>
    </row>
    <row r="271" spans="1:4" x14ac:dyDescent="0.2">
      <c r="A271" s="39">
        <v>-142</v>
      </c>
      <c r="B271" s="41">
        <v>-574.07385562440606</v>
      </c>
      <c r="C271" s="41">
        <v>162.16664990906997</v>
      </c>
      <c r="D271" s="16">
        <f t="shared" si="36"/>
        <v>164.22586571865759</v>
      </c>
    </row>
    <row r="272" spans="1:4" x14ac:dyDescent="0.2">
      <c r="A272" s="37">
        <v>-143</v>
      </c>
      <c r="B272" s="41">
        <v>-581.35641462255205</v>
      </c>
      <c r="C272" s="41">
        <v>157.95754037603939</v>
      </c>
      <c r="D272" s="16">
        <f t="shared" si="36"/>
        <v>164.79940357840692</v>
      </c>
    </row>
    <row r="273" spans="1:4" x14ac:dyDescent="0.2">
      <c r="A273" s="37">
        <v>-144</v>
      </c>
      <c r="B273" s="41">
        <v>-586.94329281957482</v>
      </c>
      <c r="C273" s="41">
        <v>154.52769393039841</v>
      </c>
      <c r="D273" s="16">
        <f t="shared" si="36"/>
        <v>165.25014414686837</v>
      </c>
    </row>
    <row r="274" spans="1:4" x14ac:dyDescent="0.2">
      <c r="A274" s="39">
        <v>-145</v>
      </c>
      <c r="B274" s="41">
        <v>-592.63211284624595</v>
      </c>
      <c r="C274" s="41">
        <v>151.03582347479272</v>
      </c>
      <c r="D274" s="16">
        <f t="shared" si="36"/>
        <v>165.702197659061</v>
      </c>
    </row>
    <row r="275" spans="1:4" x14ac:dyDescent="0.2">
      <c r="A275" s="39">
        <v>-146</v>
      </c>
      <c r="B275" s="41">
        <v>-598.43638361323394</v>
      </c>
      <c r="C275" s="41">
        <v>147.472832000278</v>
      </c>
      <c r="D275" s="16">
        <f t="shared" si="36"/>
        <v>166.15641757351554</v>
      </c>
    </row>
    <row r="276" spans="1:4" x14ac:dyDescent="0.2">
      <c r="A276" s="37">
        <v>-147</v>
      </c>
      <c r="B276" s="41">
        <v>-604.37064530533712</v>
      </c>
      <c r="C276" s="41">
        <v>143.82877539220721</v>
      </c>
      <c r="D276" s="16">
        <f t="shared" si="36"/>
        <v>166.6136925962758</v>
      </c>
    </row>
    <row r="277" spans="1:4" x14ac:dyDescent="0.2">
      <c r="A277" s="37">
        <v>-148</v>
      </c>
      <c r="B277" s="41">
        <v>-610.45064201641344</v>
      </c>
      <c r="C277" s="41">
        <v>140.0927065181076</v>
      </c>
      <c r="D277" s="16">
        <f t="shared" si="36"/>
        <v>167.07495664907941</v>
      </c>
    </row>
    <row r="278" spans="1:4" x14ac:dyDescent="0.2">
      <c r="A278" s="39">
        <v>-149</v>
      </c>
      <c r="B278" s="41">
        <v>-616.6498274551742</v>
      </c>
      <c r="C278" s="41">
        <v>136.28736590196547</v>
      </c>
      <c r="D278" s="16">
        <f t="shared" si="36"/>
        <v>167.53725535682437</v>
      </c>
    </row>
    <row r="279" spans="1:4" x14ac:dyDescent="0.2">
      <c r="A279" s="39">
        <v>-150</v>
      </c>
      <c r="B279" s="41">
        <v>-622.8434985458872</v>
      </c>
      <c r="C279" s="41">
        <v>132.51623420966567</v>
      </c>
      <c r="D279" s="16">
        <f t="shared" si="36"/>
        <v>167.98884363896664</v>
      </c>
    </row>
    <row r="280" spans="1:4" x14ac:dyDescent="0.2">
      <c r="A280" s="37">
        <v>-151</v>
      </c>
      <c r="B280" s="41">
        <v>-629.03645848813949</v>
      </c>
      <c r="C280" s="41">
        <v>128.78222451834398</v>
      </c>
      <c r="D280" s="16">
        <f t="shared" si="36"/>
        <v>168.42975633248497</v>
      </c>
    </row>
    <row r="281" spans="1:4" x14ac:dyDescent="0.2">
      <c r="A281" s="37">
        <v>-152</v>
      </c>
      <c r="B281" s="41">
        <v>-635.24440724795534</v>
      </c>
      <c r="C281" s="41">
        <v>125.07977765297527</v>
      </c>
      <c r="D281" s="16">
        <f t="shared" si="36"/>
        <v>168.86094103110918</v>
      </c>
    </row>
    <row r="282" spans="1:4" x14ac:dyDescent="0.2">
      <c r="A282" s="39">
        <v>-153</v>
      </c>
      <c r="B282" s="41">
        <v>-641.48328100407832</v>
      </c>
      <c r="C282" s="41">
        <v>121.40334236416342</v>
      </c>
      <c r="D282" s="16">
        <f t="shared" si="36"/>
        <v>169.28328630432327</v>
      </c>
    </row>
    <row r="283" spans="1:4" x14ac:dyDescent="0.2">
      <c r="A283" s="39">
        <v>-154</v>
      </c>
      <c r="B283" s="41">
        <v>-647.76939774126777</v>
      </c>
      <c r="C283" s="41">
        <v>117.7473314545862</v>
      </c>
      <c r="D283" s="16">
        <f t="shared" si="36"/>
        <v>169.69762992390901</v>
      </c>
    </row>
    <row r="284" spans="1:4" x14ac:dyDescent="0.2">
      <c r="A284" s="37">
        <v>-155</v>
      </c>
      <c r="B284" s="41">
        <v>-654.11960640965435</v>
      </c>
      <c r="C284" s="41">
        <v>114.10607723208719</v>
      </c>
      <c r="D284" s="16">
        <f t="shared" si="36"/>
        <v>170.10476614272062</v>
      </c>
    </row>
    <row r="285" spans="1:4" x14ac:dyDescent="0.2">
      <c r="A285" s="37">
        <v>-156</v>
      </c>
      <c r="B285" s="41">
        <v>-660.55145554568833</v>
      </c>
      <c r="C285" s="41">
        <v>110.47377966206803</v>
      </c>
      <c r="D285" s="16">
        <f t="shared" si="36"/>
        <v>170.50545286079122</v>
      </c>
    </row>
    <row r="286" spans="1:4" x14ac:dyDescent="0.2">
      <c r="A286" s="39">
        <v>-157</v>
      </c>
      <c r="B286" s="41">
        <v>-667.08336954318668</v>
      </c>
      <c r="C286" s="41">
        <v>106.84445265843367</v>
      </c>
      <c r="D286" s="16">
        <f t="shared" si="36"/>
        <v>170.90041799795264</v>
      </c>
    </row>
    <row r="287" spans="1:4" x14ac:dyDescent="0.2">
      <c r="A287" s="39">
        <v>-158</v>
      </c>
      <c r="B287" s="41">
        <v>-673.73484713163452</v>
      </c>
      <c r="C287" s="41">
        <v>103.2118624632884</v>
      </c>
      <c r="D287" s="16">
        <f t="shared" si="36"/>
        <v>171.29036577042024</v>
      </c>
    </row>
    <row r="288" spans="1:4" x14ac:dyDescent="0.2">
      <c r="A288" s="37">
        <v>-159</v>
      </c>
      <c r="B288" s="41">
        <v>-677.82933112318744</v>
      </c>
      <c r="C288" s="41">
        <v>98.920252938720154</v>
      </c>
      <c r="D288" s="16">
        <f t="shared" si="36"/>
        <v>171.69704958567539</v>
      </c>
    </row>
    <row r="289" spans="1:4" x14ac:dyDescent="0.2">
      <c r="A289" s="37">
        <v>-160</v>
      </c>
      <c r="B289" s="41">
        <v>-679.48771756156862</v>
      </c>
      <c r="C289" s="41">
        <v>94.079645525340112</v>
      </c>
      <c r="D289" s="16">
        <f t="shared" si="36"/>
        <v>172.11713116462766</v>
      </c>
    </row>
    <row r="290" spans="1:4" x14ac:dyDescent="0.2">
      <c r="A290" s="39">
        <v>-161</v>
      </c>
      <c r="B290" s="41">
        <v>-681.04520291233257</v>
      </c>
      <c r="C290" s="41">
        <v>89.2736700091736</v>
      </c>
      <c r="D290" s="16">
        <f t="shared" si="36"/>
        <v>172.53205791757168</v>
      </c>
    </row>
    <row r="291" spans="1:4" x14ac:dyDescent="0.2">
      <c r="A291" s="39">
        <v>-162</v>
      </c>
      <c r="B291" s="41">
        <v>-682.5061696681762</v>
      </c>
      <c r="C291" s="41">
        <v>84.497488407651545</v>
      </c>
      <c r="D291" s="16">
        <f t="shared" si="36"/>
        <v>172.94242417051814</v>
      </c>
    </row>
    <row r="292" spans="1:4" x14ac:dyDescent="0.2">
      <c r="A292" s="37">
        <v>-163</v>
      </c>
      <c r="B292" s="41">
        <v>-683.87466049508521</v>
      </c>
      <c r="C292" s="41">
        <v>79.746286965296989</v>
      </c>
      <c r="D292" s="16">
        <f t="shared" si="36"/>
        <v>173.34880600870602</v>
      </c>
    </row>
    <row r="293" spans="1:4" x14ac:dyDescent="0.2">
      <c r="A293" s="37">
        <v>-164</v>
      </c>
      <c r="B293" s="41">
        <v>-684.5691074194483</v>
      </c>
      <c r="C293" s="41">
        <v>77.342841668144914</v>
      </c>
      <c r="D293" s="16">
        <f t="shared" si="36"/>
        <v>173.55403796304347</v>
      </c>
    </row>
    <row r="294" spans="1:4" x14ac:dyDescent="0.2">
      <c r="A294" s="39">
        <v>-165</v>
      </c>
      <c r="B294" s="41">
        <v>-685.76800937446251</v>
      </c>
      <c r="C294" s="41">
        <v>72.629603467720329</v>
      </c>
      <c r="D294" s="16">
        <f t="shared" si="36"/>
        <v>173.95434848367975</v>
      </c>
    </row>
    <row r="295" spans="1:4" x14ac:dyDescent="0.2">
      <c r="A295" s="39">
        <v>-166</v>
      </c>
      <c r="B295" s="41">
        <v>-686.88482505872139</v>
      </c>
      <c r="C295" s="41">
        <v>67.927067353446304</v>
      </c>
      <c r="D295" s="16">
        <f t="shared" si="36"/>
        <v>174.35229755042249</v>
      </c>
    </row>
    <row r="296" spans="1:4" x14ac:dyDescent="0.2">
      <c r="A296" s="37">
        <v>-167</v>
      </c>
      <c r="B296" s="41">
        <v>-687.92245053597708</v>
      </c>
      <c r="C296" s="41">
        <v>63.230269120673313</v>
      </c>
      <c r="D296" s="16">
        <f t="shared" si="36"/>
        <v>174.74842451437803</v>
      </c>
    </row>
    <row r="297" spans="1:4" x14ac:dyDescent="0.2">
      <c r="A297" s="37">
        <v>-168</v>
      </c>
      <c r="B297" s="41">
        <v>-688.88354346762583</v>
      </c>
      <c r="C297" s="41">
        <v>58.534124083549095</v>
      </c>
      <c r="D297" s="16">
        <f t="shared" si="36"/>
        <v>175.14326927732651</v>
      </c>
    </row>
    <row r="298" spans="1:4" x14ac:dyDescent="0.2">
      <c r="A298" s="39">
        <v>-169</v>
      </c>
      <c r="B298" s="41">
        <v>-689.77053450205688</v>
      </c>
      <c r="C298" s="41">
        <v>53.833389702758929</v>
      </c>
      <c r="D298" s="16">
        <f t="shared" si="36"/>
        <v>175.53737631925947</v>
      </c>
    </row>
    <row r="299" spans="1:4" x14ac:dyDescent="0.2">
      <c r="A299" s="39">
        <v>-170</v>
      </c>
      <c r="B299" s="41">
        <v>-690.5856521101465</v>
      </c>
      <c r="C299" s="41">
        <v>49.12262341265351</v>
      </c>
      <c r="D299" s="16">
        <f t="shared" si="36"/>
        <v>175.93129912086962</v>
      </c>
    </row>
    <row r="300" spans="1:4" x14ac:dyDescent="0.2">
      <c r="A300" s="37">
        <v>-171</v>
      </c>
      <c r="B300" s="41">
        <v>-691.33092054328711</v>
      </c>
      <c r="C300" s="41">
        <v>44.396135480201032</v>
      </c>
      <c r="D300" s="16">
        <f t="shared" si="36"/>
        <v>176.32560473070336</v>
      </c>
    </row>
    <row r="301" spans="1:4" x14ac:dyDescent="0.2">
      <c r="A301" s="37">
        <v>-172</v>
      </c>
      <c r="B301" s="41">
        <v>-692.00818541001343</v>
      </c>
      <c r="C301" s="41">
        <v>39.647934357161027</v>
      </c>
      <c r="D301" s="16">
        <f t="shared" si="36"/>
        <v>176.72087905391021</v>
      </c>
    </row>
    <row r="302" spans="1:4" x14ac:dyDescent="0.2">
      <c r="A302" s="39">
        <v>-173</v>
      </c>
      <c r="B302" s="41">
        <v>-692.6191149312433</v>
      </c>
      <c r="C302" s="41">
        <v>34.871664004095628</v>
      </c>
      <c r="D302" s="16">
        <f t="shared" si="36"/>
        <v>177.11773257977086</v>
      </c>
    </row>
    <row r="303" spans="1:4" x14ac:dyDescent="0.2">
      <c r="A303" s="39">
        <v>-174</v>
      </c>
      <c r="B303" s="41">
        <v>-693.1652169974991</v>
      </c>
      <c r="C303" s="41">
        <v>30.060530274592395</v>
      </c>
      <c r="D303" s="16">
        <f t="shared" si="36"/>
        <v>177.51680702846235</v>
      </c>
    </row>
    <row r="304" spans="1:4" x14ac:dyDescent="0.2">
      <c r="A304" s="37">
        <v>-175</v>
      </c>
      <c r="B304" s="41">
        <v>-693.64784623889375</v>
      </c>
      <c r="C304" s="41">
        <v>25.207214249466691</v>
      </c>
      <c r="D304" s="16">
        <f t="shared" si="36"/>
        <v>177.91878294717316</v>
      </c>
    </row>
    <row r="305" spans="1:4" x14ac:dyDescent="0.2">
      <c r="A305" s="37">
        <v>-176</v>
      </c>
      <c r="B305" s="41">
        <v>-694.06820945783136</v>
      </c>
      <c r="C305" s="41">
        <v>20.303768947836549</v>
      </c>
      <c r="D305" s="16">
        <f t="shared" si="36"/>
        <v>178.32438860528237</v>
      </c>
    </row>
    <row r="306" spans="1:4" x14ac:dyDescent="0.2">
      <c r="A306" s="39">
        <v>-177</v>
      </c>
      <c r="B306" s="41">
        <v>-694.42738029236193</v>
      </c>
      <c r="C306" s="41">
        <v>15.341494930719346</v>
      </c>
      <c r="D306" s="16">
        <f t="shared" si="36"/>
        <v>178.73441057637893</v>
      </c>
    </row>
    <row r="307" spans="1:4" x14ac:dyDescent="0.2">
      <c r="A307" s="39">
        <v>-178</v>
      </c>
      <c r="B307" s="41">
        <v>-694.7263017455889</v>
      </c>
      <c r="C307" s="41">
        <v>10.310789386357831</v>
      </c>
      <c r="D307" s="16">
        <f t="shared" si="36"/>
        <v>179.14970637570528</v>
      </c>
    </row>
    <row r="308" spans="1:4" x14ac:dyDescent="0.2">
      <c r="A308" s="37">
        <v>-179</v>
      </c>
      <c r="B308" s="41">
        <v>-694.96579725742356</v>
      </c>
      <c r="C308" s="41">
        <v>5.2009608980291464</v>
      </c>
      <c r="D308" s="16">
        <f t="shared" si="36"/>
        <v>179.57121983984715</v>
      </c>
    </row>
    <row r="309" spans="1:4" x14ac:dyDescent="0.2">
      <c r="A309" s="37">
        <v>-180</v>
      </c>
      <c r="B309" s="41">
        <v>-695.14657916972828</v>
      </c>
      <c r="C309" s="41">
        <v>5.1762376374483272E-14</v>
      </c>
      <c r="D309" s="16">
        <f t="shared" si="36"/>
        <v>180</v>
      </c>
    </row>
    <row r="310" spans="1:4" x14ac:dyDescent="0.2">
      <c r="A310" s="39">
        <v>-181</v>
      </c>
      <c r="B310" s="41">
        <v>-694.96579725742356</v>
      </c>
      <c r="C310" s="41">
        <v>-5.2009608980291873</v>
      </c>
      <c r="D310" s="16">
        <f t="shared" si="36"/>
        <v>-179.57121983984712</v>
      </c>
    </row>
    <row r="311" spans="1:4" x14ac:dyDescent="0.2">
      <c r="A311" s="39">
        <v>-182</v>
      </c>
      <c r="B311" s="41">
        <v>-694.72630174558901</v>
      </c>
      <c r="C311" s="41">
        <v>-10.310789386357802</v>
      </c>
      <c r="D311" s="16">
        <f t="shared" si="36"/>
        <v>-179.14970637570528</v>
      </c>
    </row>
    <row r="312" spans="1:4" x14ac:dyDescent="0.2">
      <c r="A312" s="37">
        <v>-183</v>
      </c>
      <c r="B312" s="41">
        <v>-694.42738029236193</v>
      </c>
      <c r="C312" s="41">
        <v>-15.341494930719282</v>
      </c>
      <c r="D312" s="16">
        <f t="shared" si="36"/>
        <v>-178.73441057637893</v>
      </c>
    </row>
    <row r="313" spans="1:4" x14ac:dyDescent="0.2">
      <c r="A313" s="37">
        <v>-184</v>
      </c>
      <c r="B313" s="41">
        <v>-694.06820945783136</v>
      </c>
      <c r="C313" s="41">
        <v>-20.303768947836499</v>
      </c>
      <c r="D313" s="16">
        <f t="shared" si="36"/>
        <v>-178.32438860528237</v>
      </c>
    </row>
    <row r="314" spans="1:4" x14ac:dyDescent="0.2">
      <c r="A314" s="39">
        <v>-185</v>
      </c>
      <c r="B314" s="41">
        <v>-693.64784623889386</v>
      </c>
      <c r="C314" s="41">
        <v>-25.207214249466588</v>
      </c>
      <c r="D314" s="16">
        <f t="shared" si="36"/>
        <v>-177.91878294717316</v>
      </c>
    </row>
    <row r="315" spans="1:4" x14ac:dyDescent="0.2">
      <c r="A315" s="39">
        <v>-186</v>
      </c>
      <c r="B315" s="41">
        <v>-693.16521699749933</v>
      </c>
      <c r="C315" s="41">
        <v>-30.06053027459232</v>
      </c>
      <c r="D315" s="16">
        <f t="shared" si="36"/>
        <v>-177.51680702846238</v>
      </c>
    </row>
    <row r="316" spans="1:4" x14ac:dyDescent="0.2">
      <c r="A316" s="37">
        <v>-187</v>
      </c>
      <c r="B316" s="41">
        <v>-692.61911493124364</v>
      </c>
      <c r="C316" s="41">
        <v>-34.871664004095514</v>
      </c>
      <c r="D316" s="16">
        <f t="shared" si="36"/>
        <v>-177.11773257977089</v>
      </c>
    </row>
    <row r="317" spans="1:4" x14ac:dyDescent="0.2">
      <c r="A317" s="37">
        <v>-188</v>
      </c>
      <c r="B317" s="41">
        <v>-692.00818541001331</v>
      </c>
      <c r="C317" s="41">
        <v>-39.647934357161084</v>
      </c>
      <c r="D317" s="16">
        <f t="shared" si="36"/>
        <v>-176.72087905391021</v>
      </c>
    </row>
    <row r="318" spans="1:4" x14ac:dyDescent="0.2">
      <c r="A318" s="39">
        <v>-189</v>
      </c>
      <c r="B318" s="41">
        <v>-691.33092054328756</v>
      </c>
      <c r="C318" s="41">
        <v>-44.396135480200961</v>
      </c>
      <c r="D318" s="16">
        <f t="shared" si="36"/>
        <v>-176.32560473070336</v>
      </c>
    </row>
    <row r="319" spans="1:4" x14ac:dyDescent="0.2">
      <c r="A319" s="39">
        <v>-190</v>
      </c>
      <c r="B319" s="41">
        <v>-690.58565211014673</v>
      </c>
      <c r="C319" s="41">
        <v>-49.12262341265361</v>
      </c>
      <c r="D319" s="16">
        <f t="shared" si="36"/>
        <v>-175.93129912086962</v>
      </c>
    </row>
    <row r="320" spans="1:4" x14ac:dyDescent="0.2">
      <c r="A320" s="37">
        <v>-191</v>
      </c>
      <c r="B320" s="41">
        <v>-689.77053450205688</v>
      </c>
      <c r="C320" s="41">
        <v>-53.833389702758893</v>
      </c>
      <c r="D320" s="16">
        <f t="shared" si="36"/>
        <v>-175.53737631925947</v>
      </c>
    </row>
    <row r="321" spans="1:4" x14ac:dyDescent="0.2">
      <c r="A321" s="37">
        <v>-192</v>
      </c>
      <c r="B321" s="41">
        <v>-688.88354346762549</v>
      </c>
      <c r="C321" s="41">
        <v>-58.534124083549067</v>
      </c>
      <c r="D321" s="16">
        <f t="shared" si="36"/>
        <v>-175.14326927732651</v>
      </c>
    </row>
    <row r="322" spans="1:4" x14ac:dyDescent="0.2">
      <c r="A322" s="39">
        <v>-193</v>
      </c>
      <c r="B322" s="41">
        <v>-687.92245053597765</v>
      </c>
      <c r="C322" s="41">
        <v>-63.230269120673235</v>
      </c>
      <c r="D322" s="16">
        <f t="shared" ref="D322:D385" si="37">DEGREES(ATAN2(B322,C322))</f>
        <v>-174.74842451437803</v>
      </c>
    </row>
    <row r="323" spans="1:4" x14ac:dyDescent="0.2">
      <c r="A323" s="39">
        <v>-194</v>
      </c>
      <c r="B323" s="41">
        <v>-686.8848250587215</v>
      </c>
      <c r="C323" s="41">
        <v>-67.927067353446205</v>
      </c>
      <c r="D323" s="16">
        <f t="shared" si="37"/>
        <v>-174.35229755042249</v>
      </c>
    </row>
    <row r="324" spans="1:4" x14ac:dyDescent="0.2">
      <c r="A324" s="37">
        <v>-195</v>
      </c>
      <c r="B324" s="41">
        <v>-685.76800937446285</v>
      </c>
      <c r="C324" s="41">
        <v>-72.629603467720315</v>
      </c>
      <c r="D324" s="16">
        <f t="shared" si="37"/>
        <v>-173.95434848367975</v>
      </c>
    </row>
    <row r="325" spans="1:4" x14ac:dyDescent="0.2">
      <c r="A325" s="37">
        <v>-196</v>
      </c>
      <c r="B325" s="41">
        <v>-684.5691074194483</v>
      </c>
      <c r="C325" s="41">
        <v>-77.342841668144899</v>
      </c>
      <c r="D325" s="16">
        <f t="shared" si="37"/>
        <v>-173.55403796304347</v>
      </c>
    </row>
    <row r="326" spans="1:4" x14ac:dyDescent="0.2">
      <c r="A326" s="39">
        <v>-197</v>
      </c>
      <c r="B326" s="41">
        <v>-683.87466049508487</v>
      </c>
      <c r="C326" s="41">
        <v>-79.746286965297017</v>
      </c>
      <c r="D326" s="16">
        <f t="shared" si="37"/>
        <v>-173.34880600870602</v>
      </c>
    </row>
    <row r="327" spans="1:4" x14ac:dyDescent="0.2">
      <c r="A327" s="39">
        <v>-198</v>
      </c>
      <c r="B327" s="41">
        <v>-682.5061696681762</v>
      </c>
      <c r="C327" s="41">
        <v>-84.497488407651431</v>
      </c>
      <c r="D327" s="16">
        <f t="shared" si="37"/>
        <v>-172.94242417051817</v>
      </c>
    </row>
    <row r="328" spans="1:4" x14ac:dyDescent="0.2">
      <c r="A328" s="37">
        <v>-199</v>
      </c>
      <c r="B328" s="41">
        <v>-681.04520291233223</v>
      </c>
      <c r="C328" s="41">
        <v>-89.273670009173614</v>
      </c>
      <c r="D328" s="16">
        <f t="shared" si="37"/>
        <v>-172.53205791757168</v>
      </c>
    </row>
    <row r="329" spans="1:4" x14ac:dyDescent="0.2">
      <c r="A329" s="37">
        <v>-200</v>
      </c>
      <c r="B329" s="41">
        <v>-679.48771756156873</v>
      </c>
      <c r="C329" s="41">
        <v>-94.079645525340098</v>
      </c>
      <c r="D329" s="16">
        <f t="shared" si="37"/>
        <v>-172.11713116462766</v>
      </c>
    </row>
    <row r="330" spans="1:4" x14ac:dyDescent="0.2">
      <c r="A330" s="39">
        <v>-201</v>
      </c>
      <c r="B330" s="41">
        <v>-677.82933112318744</v>
      </c>
      <c r="C330" s="41">
        <v>-98.920252938720225</v>
      </c>
      <c r="D330" s="16">
        <f t="shared" si="37"/>
        <v>-171.69704958567536</v>
      </c>
    </row>
    <row r="331" spans="1:4" x14ac:dyDescent="0.2">
      <c r="A331" s="39">
        <v>-202</v>
      </c>
      <c r="B331" s="41">
        <v>-673.73484713163475</v>
      </c>
      <c r="C331" s="41">
        <v>-103.21186246328836</v>
      </c>
      <c r="D331" s="16">
        <f t="shared" si="37"/>
        <v>-171.29036577042024</v>
      </c>
    </row>
    <row r="332" spans="1:4" x14ac:dyDescent="0.2">
      <c r="A332" s="37">
        <v>-203</v>
      </c>
      <c r="B332" s="41">
        <v>-667.08336954318668</v>
      </c>
      <c r="C332" s="41">
        <v>-106.8444526584335</v>
      </c>
      <c r="D332" s="16">
        <f t="shared" si="37"/>
        <v>-170.90041799795267</v>
      </c>
    </row>
    <row r="333" spans="1:4" x14ac:dyDescent="0.2">
      <c r="A333" s="37">
        <v>-204</v>
      </c>
      <c r="B333" s="41">
        <v>-660.55145554568867</v>
      </c>
      <c r="C333" s="41">
        <v>-110.47377966206803</v>
      </c>
      <c r="D333" s="16">
        <f t="shared" si="37"/>
        <v>-170.50545286079122</v>
      </c>
    </row>
    <row r="334" spans="1:4" x14ac:dyDescent="0.2">
      <c r="A334" s="39">
        <v>-205</v>
      </c>
      <c r="B334" s="41">
        <v>-654.11960640965435</v>
      </c>
      <c r="C334" s="41">
        <v>-114.10607723208705</v>
      </c>
      <c r="D334" s="16">
        <f t="shared" si="37"/>
        <v>-170.10476614272065</v>
      </c>
    </row>
    <row r="335" spans="1:4" x14ac:dyDescent="0.2">
      <c r="A335" s="39">
        <v>-206</v>
      </c>
      <c r="B335" s="41">
        <v>-647.76939774126788</v>
      </c>
      <c r="C335" s="41">
        <v>-117.74733145458643</v>
      </c>
      <c r="D335" s="16">
        <f t="shared" si="37"/>
        <v>-169.69762992390898</v>
      </c>
    </row>
    <row r="336" spans="1:4" x14ac:dyDescent="0.2">
      <c r="A336" s="37">
        <v>-207</v>
      </c>
      <c r="B336" s="41">
        <v>-641.48328100407844</v>
      </c>
      <c r="C336" s="41">
        <v>-121.40334236416342</v>
      </c>
      <c r="D336" s="16">
        <f t="shared" si="37"/>
        <v>-169.28328630432327</v>
      </c>
    </row>
    <row r="337" spans="1:4" x14ac:dyDescent="0.2">
      <c r="A337" s="37">
        <v>-208</v>
      </c>
      <c r="B337" s="41">
        <v>-635.24440724795522</v>
      </c>
      <c r="C337" s="41">
        <v>-125.07977765297522</v>
      </c>
      <c r="D337" s="16">
        <f t="shared" si="37"/>
        <v>-168.86094103110918</v>
      </c>
    </row>
    <row r="338" spans="1:4" x14ac:dyDescent="0.2">
      <c r="A338" s="39">
        <v>-209</v>
      </c>
      <c r="B338" s="41">
        <v>-629.0364584881396</v>
      </c>
      <c r="C338" s="41">
        <v>-128.78222451834398</v>
      </c>
      <c r="D338" s="16">
        <f t="shared" si="37"/>
        <v>-168.42975633248497</v>
      </c>
    </row>
    <row r="339" spans="1:4" x14ac:dyDescent="0.2">
      <c r="A339" s="39">
        <v>-210</v>
      </c>
      <c r="B339" s="41">
        <v>-622.84349854588709</v>
      </c>
      <c r="C339" s="41">
        <v>-132.5162342096657</v>
      </c>
      <c r="D339" s="16">
        <f t="shared" si="37"/>
        <v>-167.98884363896664</v>
      </c>
    </row>
    <row r="340" spans="1:4" x14ac:dyDescent="0.2">
      <c r="A340" s="37">
        <v>-211</v>
      </c>
      <c r="B340" s="41">
        <v>-616.64982745517432</v>
      </c>
      <c r="C340" s="41">
        <v>-136.28736590196533</v>
      </c>
      <c r="D340" s="16">
        <f t="shared" si="37"/>
        <v>-167.5372553568244</v>
      </c>
    </row>
    <row r="341" spans="1:4" x14ac:dyDescent="0.2">
      <c r="A341" s="37">
        <v>-212</v>
      </c>
      <c r="B341" s="41">
        <v>-610.45064201641355</v>
      </c>
      <c r="C341" s="41">
        <v>-140.09270651810763</v>
      </c>
      <c r="D341" s="16">
        <f t="shared" si="37"/>
        <v>-167.07495664907941</v>
      </c>
    </row>
    <row r="342" spans="1:4" x14ac:dyDescent="0.2">
      <c r="A342" s="39">
        <v>-213</v>
      </c>
      <c r="B342" s="41">
        <v>-604.37064530533712</v>
      </c>
      <c r="C342" s="41">
        <v>-143.82877539220712</v>
      </c>
      <c r="D342" s="16">
        <f t="shared" si="37"/>
        <v>-166.6136925962758</v>
      </c>
    </row>
    <row r="343" spans="1:4" x14ac:dyDescent="0.2">
      <c r="A343" s="39">
        <v>-214</v>
      </c>
      <c r="B343" s="41">
        <v>-598.43638361323406</v>
      </c>
      <c r="C343" s="41">
        <v>-147.47283200027795</v>
      </c>
      <c r="D343" s="16">
        <f t="shared" si="37"/>
        <v>-166.15641757351557</v>
      </c>
    </row>
    <row r="344" spans="1:4" x14ac:dyDescent="0.2">
      <c r="A344" s="37">
        <v>-215</v>
      </c>
      <c r="B344" s="41">
        <v>-592.63211284624595</v>
      </c>
      <c r="C344" s="41">
        <v>-151.03582347479278</v>
      </c>
      <c r="D344" s="16">
        <f t="shared" si="37"/>
        <v>-165.702197659061</v>
      </c>
    </row>
    <row r="345" spans="1:4" x14ac:dyDescent="0.2">
      <c r="A345" s="37">
        <v>-216</v>
      </c>
      <c r="B345" s="41">
        <v>-586.94329281957516</v>
      </c>
      <c r="C345" s="41">
        <v>-154.52769393039821</v>
      </c>
      <c r="D345" s="16">
        <f t="shared" si="37"/>
        <v>-165.25014414686837</v>
      </c>
    </row>
    <row r="346" spans="1:4" x14ac:dyDescent="0.2">
      <c r="A346" s="39">
        <v>-217</v>
      </c>
      <c r="B346" s="41">
        <v>-581.35641462255205</v>
      </c>
      <c r="C346" s="41">
        <v>-157.95754037603953</v>
      </c>
      <c r="D346" s="16">
        <f t="shared" si="37"/>
        <v>-164.7994035784069</v>
      </c>
    </row>
    <row r="347" spans="1:4" x14ac:dyDescent="0.2">
      <c r="A347" s="39">
        <v>-218</v>
      </c>
      <c r="B347" s="41">
        <v>-574.07385562440606</v>
      </c>
      <c r="C347" s="41">
        <v>-162.16664990906983</v>
      </c>
      <c r="D347" s="16">
        <f t="shared" si="37"/>
        <v>-164.22586571865759</v>
      </c>
    </row>
    <row r="348" spans="1:4" x14ac:dyDescent="0.2">
      <c r="A348" s="37">
        <v>-219</v>
      </c>
      <c r="B348" s="41">
        <v>-566.11603336394421</v>
      </c>
      <c r="C348" s="41">
        <v>-166.65803522710914</v>
      </c>
      <c r="D348" s="16">
        <f t="shared" si="37"/>
        <v>-163.59617891620138</v>
      </c>
    </row>
    <row r="349" spans="1:4" x14ac:dyDescent="0.2">
      <c r="A349" s="37">
        <v>-220</v>
      </c>
      <c r="B349" s="41">
        <v>-558.34653704655852</v>
      </c>
      <c r="C349" s="41">
        <v>-171.0293767498184</v>
      </c>
      <c r="D349" s="16">
        <f t="shared" si="37"/>
        <v>-162.9694387595558</v>
      </c>
    </row>
    <row r="350" spans="1:4" x14ac:dyDescent="0.2">
      <c r="A350" s="39">
        <v>-221</v>
      </c>
      <c r="B350" s="41">
        <v>-550.74666524180691</v>
      </c>
      <c r="C350" s="41">
        <v>-175.29436137565253</v>
      </c>
      <c r="D350" s="16">
        <f t="shared" si="37"/>
        <v>-162.34451142156766</v>
      </c>
    </row>
    <row r="351" spans="1:4" x14ac:dyDescent="0.2">
      <c r="A351" s="39">
        <v>-222</v>
      </c>
      <c r="B351" s="41">
        <v>-543.298896051268</v>
      </c>
      <c r="C351" s="41">
        <v>-179.4656289682575</v>
      </c>
      <c r="D351" s="16">
        <f t="shared" si="37"/>
        <v>-161.72027920708089</v>
      </c>
    </row>
    <row r="352" spans="1:4" x14ac:dyDescent="0.2">
      <c r="A352" s="37">
        <v>-223</v>
      </c>
      <c r="B352" s="41">
        <v>-535.98671123678196</v>
      </c>
      <c r="C352" s="41">
        <v>-183.55493108927939</v>
      </c>
      <c r="D352" s="16">
        <f t="shared" si="37"/>
        <v>-161.09563099120948</v>
      </c>
    </row>
    <row r="353" spans="1:4" x14ac:dyDescent="0.2">
      <c r="A353" s="37">
        <v>-224</v>
      </c>
      <c r="B353" s="41">
        <v>-528.79443624687201</v>
      </c>
      <c r="C353" s="41">
        <v>-187.57327060661731</v>
      </c>
      <c r="D353" s="16">
        <f t="shared" si="37"/>
        <v>-160.46945281491551</v>
      </c>
    </row>
    <row r="354" spans="1:4" x14ac:dyDescent="0.2">
      <c r="A354" s="39">
        <v>-225</v>
      </c>
      <c r="B354" s="41">
        <v>-521.70709534576838</v>
      </c>
      <c r="C354" s="41">
        <v>-191.53102653057729</v>
      </c>
      <c r="D354" s="16">
        <f t="shared" si="37"/>
        <v>-159.84061846894437</v>
      </c>
    </row>
    <row r="355" spans="1:4" x14ac:dyDescent="0.2">
      <c r="A355" s="39">
        <v>-226</v>
      </c>
      <c r="B355" s="41">
        <v>-514.71027446506753</v>
      </c>
      <c r="C355" s="41">
        <v>-195.43806585994017</v>
      </c>
      <c r="D355" s="16">
        <f t="shared" si="37"/>
        <v>-159.2079798616198</v>
      </c>
    </row>
    <row r="356" spans="1:4" x14ac:dyDescent="0.2">
      <c r="A356" s="37">
        <v>-227</v>
      </c>
      <c r="B356" s="41">
        <v>-507.78999420432473</v>
      </c>
      <c r="C356" s="41">
        <v>-199.30384671972067</v>
      </c>
      <c r="D356" s="16">
        <f t="shared" si="37"/>
        <v>-158.57035699566194</v>
      </c>
    </row>
    <row r="357" spans="1:4" x14ac:dyDescent="0.2">
      <c r="A357" s="37">
        <v>-228</v>
      </c>
      <c r="B357" s="41">
        <v>-500.93258469195894</v>
      </c>
      <c r="C357" s="41">
        <v>-203.13751285367027</v>
      </c>
      <c r="D357" s="16">
        <f t="shared" si="37"/>
        <v>-157.92652736725211</v>
      </c>
    </row>
    <row r="358" spans="1:4" x14ac:dyDescent="0.2">
      <c r="A358" s="39">
        <v>-229</v>
      </c>
      <c r="B358" s="41">
        <v>-494.12456590314002</v>
      </c>
      <c r="C358" s="41">
        <v>-206.94798408489407</v>
      </c>
      <c r="D358" s="16">
        <f t="shared" si="37"/>
        <v>-157.27521453803584</v>
      </c>
    </row>
    <row r="359" spans="1:4" x14ac:dyDescent="0.2">
      <c r="A359" s="39">
        <v>-230</v>
      </c>
      <c r="B359" s="41">
        <v>-487.35252598376672</v>
      </c>
      <c r="C359" s="41">
        <v>-210.74404235337275</v>
      </c>
      <c r="D359" s="16">
        <f t="shared" si="37"/>
        <v>-156.61507567125219</v>
      </c>
    </row>
    <row r="360" spans="1:4" x14ac:dyDescent="0.2">
      <c r="A360" s="37">
        <v>-231</v>
      </c>
      <c r="B360" s="41">
        <v>-480.60299854900319</v>
      </c>
      <c r="C360" s="41">
        <v>-214.53441689590946</v>
      </c>
      <c r="D360" s="16">
        <f t="shared" si="37"/>
        <v>-155.94468770898285</v>
      </c>
    </row>
    <row r="361" spans="1:4" x14ac:dyDescent="0.2">
      <c r="A361" s="37">
        <v>-232</v>
      </c>
      <c r="B361" s="41">
        <v>-473.86233352489091</v>
      </c>
      <c r="C361" s="41">
        <v>-218.32786857982046</v>
      </c>
      <c r="D361" s="16">
        <f t="shared" si="37"/>
        <v>-155.26253192136082</v>
      </c>
    </row>
    <row r="362" spans="1:4" x14ac:dyDescent="0.2">
      <c r="A362" s="39">
        <v>-233</v>
      </c>
      <c r="B362" s="41">
        <v>-467.11656171513221</v>
      </c>
      <c r="C362" s="41">
        <v>-222.13327743699216</v>
      </c>
      <c r="D362" s="16">
        <f t="shared" si="37"/>
        <v>-154.56697634709192</v>
      </c>
    </row>
    <row r="363" spans="1:4" x14ac:dyDescent="0.2">
      <c r="A363" s="39">
        <v>-234</v>
      </c>
      <c r="B363" s="41">
        <v>-460.3512460278078</v>
      </c>
      <c r="C363" s="41">
        <v>-225.95973223354332</v>
      </c>
      <c r="D363" s="16">
        <f t="shared" si="37"/>
        <v>-153.85625579532993</v>
      </c>
    </row>
    <row r="364" spans="1:4" x14ac:dyDescent="0.2">
      <c r="A364" s="37">
        <v>-235</v>
      </c>
      <c r="B364" s="41">
        <v>-453.55131979933532</v>
      </c>
      <c r="C364" s="41">
        <v>-229.81662789159245</v>
      </c>
      <c r="D364" s="16">
        <f t="shared" si="37"/>
        <v>-153.12844866137686</v>
      </c>
    </row>
    <row r="365" spans="1:4" x14ac:dyDescent="0.2">
      <c r="A365" s="37">
        <v>-236</v>
      </c>
      <c r="B365" s="41">
        <v>-446.70090426799209</v>
      </c>
      <c r="C365" s="41">
        <v>-233.71377021500413</v>
      </c>
      <c r="D365" s="16">
        <f t="shared" si="37"/>
        <v>-152.38144999362041</v>
      </c>
    </row>
    <row r="366" spans="1:4" x14ac:dyDescent="0.2">
      <c r="A366" s="39">
        <v>-237</v>
      </c>
      <c r="B366" s="41">
        <v>-439.75491171216942</v>
      </c>
      <c r="C366" s="41">
        <v>-237.65813227094685</v>
      </c>
      <c r="D366" s="16">
        <f t="shared" si="37"/>
        <v>-151.61174250642475</v>
      </c>
    </row>
    <row r="367" spans="1:4" x14ac:dyDescent="0.2">
      <c r="A367" s="39">
        <v>-238</v>
      </c>
      <c r="B367" s="41">
        <v>-432.14327968492876</v>
      </c>
      <c r="C367" s="41">
        <v>-241.59115934490933</v>
      </c>
      <c r="D367" s="16">
        <f t="shared" si="37"/>
        <v>-150.79247958434351</v>
      </c>
    </row>
    <row r="368" spans="1:4" x14ac:dyDescent="0.2">
      <c r="A368" s="37">
        <v>-239</v>
      </c>
      <c r="B368" s="41">
        <v>-424.46706935551327</v>
      </c>
      <c r="C368" s="41">
        <v>-245.59561093268252</v>
      </c>
      <c r="D368" s="16">
        <f t="shared" si="37"/>
        <v>-149.94643054296725</v>
      </c>
    </row>
    <row r="369" spans="1:4" x14ac:dyDescent="0.2">
      <c r="A369" s="37">
        <v>-240</v>
      </c>
      <c r="B369" s="41">
        <v>-416.70552055725341</v>
      </c>
      <c r="C369" s="41">
        <v>-249.68501735590993</v>
      </c>
      <c r="D369" s="16">
        <f t="shared" si="37"/>
        <v>-149.07045760137478</v>
      </c>
    </row>
    <row r="370" spans="1:4" x14ac:dyDescent="0.2">
      <c r="A370" s="39">
        <v>-241</v>
      </c>
      <c r="B370" s="41">
        <v>-408.83586317348619</v>
      </c>
      <c r="C370" s="41">
        <v>-253.87411898138819</v>
      </c>
      <c r="D370" s="16">
        <f t="shared" si="37"/>
        <v>-148.16102897518388</v>
      </c>
    </row>
    <row r="371" spans="1:4" x14ac:dyDescent="0.2">
      <c r="A371" s="39">
        <v>-242</v>
      </c>
      <c r="B371" s="41">
        <v>-400.83286144804703</v>
      </c>
      <c r="C371" s="41">
        <v>-258.17911640190778</v>
      </c>
      <c r="D371" s="16">
        <f t="shared" si="37"/>
        <v>-147.21414523963224</v>
      </c>
    </row>
    <row r="372" spans="1:4" x14ac:dyDescent="0.2">
      <c r="A372" s="37">
        <v>-243</v>
      </c>
      <c r="B372" s="41">
        <v>-392.66825926436542</v>
      </c>
      <c r="C372" s="41">
        <v>-262.6179663869874</v>
      </c>
      <c r="D372" s="16">
        <f t="shared" si="37"/>
        <v>-146.22524968095735</v>
      </c>
    </row>
    <row r="373" spans="1:4" x14ac:dyDescent="0.2">
      <c r="A373" s="37">
        <v>-244</v>
      </c>
      <c r="B373" s="41">
        <v>-384.3100953010694</v>
      </c>
      <c r="C373" s="41">
        <v>-267.21073872991462</v>
      </c>
      <c r="D373" s="16">
        <f t="shared" si="37"/>
        <v>-145.18911788845668</v>
      </c>
    </row>
    <row r="374" spans="1:4" x14ac:dyDescent="0.2">
      <c r="A374" s="39">
        <v>-245</v>
      </c>
      <c r="B374" s="41">
        <v>-375.72184911306289</v>
      </c>
      <c r="C374" s="41">
        <v>-271.9800501172536</v>
      </c>
      <c r="D374" s="16">
        <f t="shared" si="37"/>
        <v>-144.09972085066207</v>
      </c>
    </row>
    <row r="375" spans="1:4" x14ac:dyDescent="0.2">
      <c r="A375" s="39">
        <v>-246</v>
      </c>
      <c r="B375" s="41">
        <v>-366.86136628603731</v>
      </c>
      <c r="C375" s="41">
        <v>-276.95159552518186</v>
      </c>
      <c r="D375" s="16">
        <f t="shared" si="37"/>
        <v>-142.95005408333461</v>
      </c>
    </row>
    <row r="376" spans="1:4" x14ac:dyDescent="0.2">
      <c r="A376" s="37">
        <v>-247</v>
      </c>
      <c r="B376" s="41">
        <v>-357.67948929589869</v>
      </c>
      <c r="C376" s="41">
        <v>-282.15480736871615</v>
      </c>
      <c r="D376" s="16">
        <f t="shared" si="37"/>
        <v>-141.7319223338105</v>
      </c>
    </row>
    <row r="377" spans="1:4" x14ac:dyDescent="0.2">
      <c r="A377" s="37">
        <v>-248</v>
      </c>
      <c r="B377" s="41">
        <v>-348.11829451302287</v>
      </c>
      <c r="C377" s="41">
        <v>-287.62368063926806</v>
      </c>
      <c r="D377" s="16">
        <f t="shared" si="37"/>
        <v>-140.43566614242624</v>
      </c>
    </row>
    <row r="378" spans="1:4" x14ac:dyDescent="0.2">
      <c r="A378" s="39">
        <v>-249</v>
      </c>
      <c r="B378" s="41">
        <v>-338.10879657676696</v>
      </c>
      <c r="C378" s="41">
        <v>-293.397815446241</v>
      </c>
      <c r="D378" s="16">
        <f t="shared" si="37"/>
        <v>-139.04981176504481</v>
      </c>
    </row>
    <row r="379" spans="1:4" x14ac:dyDescent="0.2">
      <c r="A379" s="39">
        <v>-250</v>
      </c>
      <c r="B379" s="41">
        <v>-327.56791803802037</v>
      </c>
      <c r="C379" s="41">
        <v>-299.5237524610896</v>
      </c>
      <c r="D379" s="16">
        <f t="shared" si="37"/>
        <v>-137.56061832061189</v>
      </c>
    </row>
    <row r="380" spans="1:4" x14ac:dyDescent="0.2">
      <c r="A380" s="37">
        <v>-251</v>
      </c>
      <c r="B380" s="41">
        <v>-316.39443903586192</v>
      </c>
      <c r="C380" s="41">
        <v>-306.0566999296035</v>
      </c>
      <c r="D380" s="16">
        <f t="shared" si="37"/>
        <v>-135.95148732759387</v>
      </c>
    </row>
    <row r="381" spans="1:4" x14ac:dyDescent="0.2">
      <c r="A381" s="37">
        <v>-252</v>
      </c>
      <c r="B381" s="41">
        <v>-304.46350158303295</v>
      </c>
      <c r="C381" s="41">
        <v>-313.06279841753985</v>
      </c>
      <c r="D381" s="16">
        <f t="shared" si="37"/>
        <v>-134.20218528131775</v>
      </c>
    </row>
    <row r="382" spans="1:4" x14ac:dyDescent="0.2">
      <c r="A382" s="39">
        <v>-253</v>
      </c>
      <c r="B382" s="41">
        <v>-291.61903194000621</v>
      </c>
      <c r="C382" s="41">
        <v>-320.62213299014269</v>
      </c>
      <c r="D382" s="16">
        <f t="shared" si="37"/>
        <v>-132.28781075796442</v>
      </c>
    </row>
    <row r="383" spans="1:4" x14ac:dyDescent="0.2">
      <c r="A383" s="39">
        <v>-254</v>
      </c>
      <c r="B383" s="41">
        <v>-277.67028707732243</v>
      </c>
      <c r="C383" s="41">
        <v>-328.82809362643962</v>
      </c>
      <c r="D383" s="16">
        <f t="shared" si="37"/>
        <v>-130.17854534523784</v>
      </c>
    </row>
    <row r="384" spans="1:4" x14ac:dyDescent="0.2">
      <c r="A384" s="37">
        <v>-255</v>
      </c>
      <c r="B384" s="41">
        <v>-263.05298950168384</v>
      </c>
      <c r="C384" s="41">
        <v>-337.36200079918547</v>
      </c>
      <c r="D384" s="16">
        <f t="shared" si="37"/>
        <v>-127.94479275705315</v>
      </c>
    </row>
    <row r="385" spans="1:4" x14ac:dyDescent="0.2">
      <c r="A385" s="37">
        <v>-256</v>
      </c>
      <c r="B385" s="41">
        <v>-249.28458613521946</v>
      </c>
      <c r="C385" s="41">
        <v>-345.33921953928791</v>
      </c>
      <c r="D385" s="16">
        <f t="shared" si="37"/>
        <v>-125.82379490909913</v>
      </c>
    </row>
    <row r="386" spans="1:4" x14ac:dyDescent="0.2">
      <c r="A386" s="39">
        <v>-257</v>
      </c>
      <c r="B386" s="41">
        <v>-239.66618570634805</v>
      </c>
      <c r="C386" s="41">
        <v>-350.98712668034091</v>
      </c>
      <c r="D386" s="16">
        <f t="shared" ref="D386:D449" si="38">DEGREES(ATAN2(B386,C386))</f>
        <v>-124.32661689606833</v>
      </c>
    </row>
    <row r="387" spans="1:4" x14ac:dyDescent="0.2">
      <c r="A387" s="39">
        <v>-258</v>
      </c>
      <c r="B387" s="41">
        <v>-230.02866933279591</v>
      </c>
      <c r="C387" s="41">
        <v>-356.69196949760243</v>
      </c>
      <c r="D387" s="16">
        <f t="shared" si="38"/>
        <v>-122.81774481929759</v>
      </c>
    </row>
    <row r="388" spans="1:4" x14ac:dyDescent="0.2">
      <c r="A388" s="37">
        <v>-259</v>
      </c>
      <c r="B388" s="41">
        <v>-220.20979209231629</v>
      </c>
      <c r="C388" s="41">
        <v>-362.43245507501638</v>
      </c>
      <c r="D388" s="16">
        <f t="shared" si="38"/>
        <v>-121.28238436544858</v>
      </c>
    </row>
    <row r="389" spans="1:4" x14ac:dyDescent="0.2">
      <c r="A389" s="37">
        <v>-260</v>
      </c>
      <c r="B389" s="41">
        <v>-209.49600053786551</v>
      </c>
      <c r="C389" s="41">
        <v>-367.99623126293835</v>
      </c>
      <c r="D389" s="16">
        <f t="shared" si="38"/>
        <v>-119.65235910333971</v>
      </c>
    </row>
    <row r="390" spans="1:4" x14ac:dyDescent="0.2">
      <c r="A390" s="39">
        <v>-261</v>
      </c>
      <c r="B390" s="41">
        <v>-198.56005566775539</v>
      </c>
      <c r="C390" s="41">
        <v>-373.73474670821423</v>
      </c>
      <c r="D390" s="16">
        <f t="shared" si="38"/>
        <v>-117.98108504590591</v>
      </c>
    </row>
    <row r="391" spans="1:4" x14ac:dyDescent="0.2">
      <c r="A391" s="39">
        <v>-262</v>
      </c>
      <c r="B391" s="41">
        <v>-187.34179320284983</v>
      </c>
      <c r="C391" s="41">
        <v>-379.70769974448842</v>
      </c>
      <c r="D391" s="16">
        <f t="shared" si="38"/>
        <v>-116.26100512359213</v>
      </c>
    </row>
    <row r="392" spans="1:4" x14ac:dyDescent="0.2">
      <c r="A392" s="37">
        <v>-263</v>
      </c>
      <c r="B392" s="41">
        <v>-175.76575650267398</v>
      </c>
      <c r="C392" s="41">
        <v>-385.98714716194985</v>
      </c>
      <c r="D392" s="16">
        <f t="shared" si="38"/>
        <v>-114.48294719028085</v>
      </c>
    </row>
    <row r="393" spans="1:4" x14ac:dyDescent="0.2">
      <c r="A393" s="37">
        <v>-264</v>
      </c>
      <c r="B393" s="41">
        <v>-163.7355360501771</v>
      </c>
      <c r="C393" s="41">
        <v>-392.66129597335754</v>
      </c>
      <c r="D393" s="16">
        <f t="shared" si="38"/>
        <v>-112.63561128049029</v>
      </c>
    </row>
    <row r="394" spans="1:4" x14ac:dyDescent="0.2">
      <c r="A394" s="39">
        <v>-265</v>
      </c>
      <c r="B394" s="41">
        <v>-148.12531487762163</v>
      </c>
      <c r="C394" s="41">
        <v>-395.18050456802126</v>
      </c>
      <c r="D394" s="16">
        <f t="shared" si="38"/>
        <v>-110.54748069876648</v>
      </c>
    </row>
    <row r="395" spans="1:4" x14ac:dyDescent="0.2">
      <c r="A395" s="39">
        <v>-266</v>
      </c>
      <c r="B395" s="41">
        <v>-131.22913773661637</v>
      </c>
      <c r="C395" s="41">
        <v>-396.17236824552265</v>
      </c>
      <c r="D395" s="16">
        <f t="shared" si="38"/>
        <v>-108.32706651723022</v>
      </c>
    </row>
    <row r="396" spans="1:4" x14ac:dyDescent="0.2">
      <c r="A396" s="37">
        <v>-267</v>
      </c>
      <c r="B396" s="41">
        <v>-113.90814008499339</v>
      </c>
      <c r="C396" s="41">
        <v>-396.94146470528932</v>
      </c>
      <c r="D396" s="16">
        <f t="shared" si="38"/>
        <v>-106.01160397354681</v>
      </c>
    </row>
    <row r="397" spans="1:4" x14ac:dyDescent="0.2">
      <c r="A397" s="37">
        <v>-268</v>
      </c>
      <c r="B397" s="41">
        <v>-96.074516024301758</v>
      </c>
      <c r="C397" s="41">
        <v>-397.48968443610357</v>
      </c>
      <c r="D397" s="16">
        <f t="shared" si="38"/>
        <v>-103.58796716826053</v>
      </c>
    </row>
    <row r="398" spans="1:4" x14ac:dyDescent="0.2">
      <c r="A398" s="39">
        <v>-269</v>
      </c>
      <c r="B398" s="41">
        <v>-77.620570689802861</v>
      </c>
      <c r="C398" s="41">
        <v>-397.8183702079582</v>
      </c>
      <c r="D398" s="16">
        <f t="shared" si="38"/>
        <v>-101.04058972475467</v>
      </c>
    </row>
    <row r="399" spans="1:4" x14ac:dyDescent="0.2">
      <c r="A399" s="39">
        <v>-270</v>
      </c>
      <c r="B399" s="41">
        <v>-62.865000000000265</v>
      </c>
      <c r="C399" s="41">
        <v>-397.90331074479241</v>
      </c>
      <c r="D399" s="16">
        <f t="shared" si="38"/>
        <v>-98.97798790288914</v>
      </c>
    </row>
    <row r="400" spans="1:4" x14ac:dyDescent="0.2">
      <c r="A400" s="37">
        <v>-271</v>
      </c>
      <c r="B400" s="41">
        <v>-48.109429310197584</v>
      </c>
      <c r="C400" s="41">
        <v>-397.81837020795865</v>
      </c>
      <c r="D400" s="16">
        <f t="shared" si="38"/>
        <v>-96.895474257632387</v>
      </c>
    </row>
    <row r="401" spans="1:4" x14ac:dyDescent="0.2">
      <c r="A401" s="37">
        <v>-272</v>
      </c>
      <c r="B401" s="41">
        <v>-29.655483975697795</v>
      </c>
      <c r="C401" s="41">
        <v>-397.48968443610323</v>
      </c>
      <c r="D401" s="16">
        <f t="shared" si="38"/>
        <v>-94.266757239022652</v>
      </c>
    </row>
    <row r="402" spans="1:4" x14ac:dyDescent="0.2">
      <c r="A402" s="39">
        <v>-273</v>
      </c>
      <c r="B402" s="41">
        <v>-11.821859915007083</v>
      </c>
      <c r="C402" s="41">
        <v>-396.94146470528949</v>
      </c>
      <c r="D402" s="16">
        <f t="shared" si="38"/>
        <v>-91.705900190510519</v>
      </c>
    </row>
    <row r="403" spans="1:4" x14ac:dyDescent="0.2">
      <c r="A403" s="39">
        <v>-274</v>
      </c>
      <c r="B403" s="41">
        <v>10.322312181342767</v>
      </c>
      <c r="C403" s="41">
        <v>-393.64382213125913</v>
      </c>
      <c r="D403" s="16">
        <f t="shared" si="38"/>
        <v>-88.497907531209066</v>
      </c>
    </row>
    <row r="404" spans="1:4" x14ac:dyDescent="0.2">
      <c r="A404" s="37">
        <v>-275</v>
      </c>
      <c r="B404" s="41">
        <v>32.862788994761679</v>
      </c>
      <c r="C404" s="41">
        <v>-389.70533563619387</v>
      </c>
      <c r="D404" s="16">
        <f t="shared" si="38"/>
        <v>-85.179807068013275</v>
      </c>
    </row>
    <row r="405" spans="1:4" x14ac:dyDescent="0.2">
      <c r="A405" s="37">
        <v>-276</v>
      </c>
      <c r="B405" s="41">
        <v>54.70915195286053</v>
      </c>
      <c r="C405" s="41">
        <v>-385.72710364818306</v>
      </c>
      <c r="D405" s="16">
        <f t="shared" si="38"/>
        <v>-81.927364808903249</v>
      </c>
    </row>
    <row r="406" spans="1:4" x14ac:dyDescent="0.2">
      <c r="A406" s="39">
        <v>-277</v>
      </c>
      <c r="B406" s="41">
        <v>75.901115842224712</v>
      </c>
      <c r="C406" s="41">
        <v>-381.44099742334009</v>
      </c>
      <c r="D406" s="16">
        <f t="shared" si="38"/>
        <v>-78.745985492133954</v>
      </c>
    </row>
    <row r="407" spans="1:4" x14ac:dyDescent="0.2">
      <c r="A407" s="39">
        <v>-278</v>
      </c>
      <c r="B407" s="41">
        <v>95.564621565936676</v>
      </c>
      <c r="C407" s="41">
        <v>-373.67467508297938</v>
      </c>
      <c r="D407" s="16">
        <f t="shared" si="38"/>
        <v>-75.654492418594529</v>
      </c>
    </row>
    <row r="408" spans="1:4" x14ac:dyDescent="0.2">
      <c r="A408" s="37">
        <v>-279</v>
      </c>
      <c r="B408" s="41">
        <v>114.16611446591136</v>
      </c>
      <c r="C408" s="41">
        <v>-366.22019523192353</v>
      </c>
      <c r="D408" s="16">
        <f t="shared" si="38"/>
        <v>-72.685564694416925</v>
      </c>
    </row>
    <row r="409" spans="1:4" x14ac:dyDescent="0.2">
      <c r="A409" s="37">
        <v>-280</v>
      </c>
      <c r="B409" s="41">
        <v>131.85101947112386</v>
      </c>
      <c r="C409" s="41">
        <v>-359.02305130043874</v>
      </c>
      <c r="D409" s="16">
        <f t="shared" si="38"/>
        <v>-69.834268115811739</v>
      </c>
    </row>
    <row r="410" spans="1:4" x14ac:dyDescent="0.2">
      <c r="A410" s="39">
        <v>-281</v>
      </c>
      <c r="B410" s="41">
        <v>148.74406548230226</v>
      </c>
      <c r="C410" s="41">
        <v>-352.0347782244117</v>
      </c>
      <c r="D410" s="16">
        <f t="shared" si="38"/>
        <v>-67.09464794511247</v>
      </c>
    </row>
    <row r="411" spans="1:4" x14ac:dyDescent="0.2">
      <c r="A411" s="39">
        <v>-282</v>
      </c>
      <c r="B411" s="41">
        <v>164.95273514918287</v>
      </c>
      <c r="C411" s="41">
        <v>-345.21202565459686</v>
      </c>
      <c r="D411" s="16">
        <f t="shared" si="38"/>
        <v>-64.460119769093424</v>
      </c>
    </row>
    <row r="412" spans="1:4" x14ac:dyDescent="0.2">
      <c r="A412" s="37">
        <v>-283</v>
      </c>
      <c r="B412" s="41">
        <v>180.57010761424792</v>
      </c>
      <c r="C412" s="41">
        <v>-338.51575802236289</v>
      </c>
      <c r="D412" s="16">
        <f t="shared" si="38"/>
        <v>-61.923774776843118</v>
      </c>
    </row>
    <row r="413" spans="1:4" x14ac:dyDescent="0.2">
      <c r="A413" s="37">
        <v>-284</v>
      </c>
      <c r="B413" s="41">
        <v>195.67720616873518</v>
      </c>
      <c r="C413" s="41">
        <v>-331.91056878244842</v>
      </c>
      <c r="D413" s="16">
        <f t="shared" si="38"/>
        <v>-59.478610210955011</v>
      </c>
    </row>
    <row r="414" spans="1:4" x14ac:dyDescent="0.2">
      <c r="A414" s="39">
        <v>-285</v>
      </c>
      <c r="B414" s="41">
        <v>210.23480476009854</v>
      </c>
      <c r="C414" s="41">
        <v>-325.41683929939194</v>
      </c>
      <c r="D414" s="16">
        <f t="shared" si="38"/>
        <v>-57.135611168733384</v>
      </c>
    </row>
    <row r="415" spans="1:4" x14ac:dyDescent="0.2">
      <c r="A415" s="39">
        <v>-286</v>
      </c>
      <c r="B415" s="41">
        <v>223.53602684358964</v>
      </c>
      <c r="C415" s="41">
        <v>-319.38920889410406</v>
      </c>
      <c r="D415" s="16">
        <f t="shared" si="38"/>
        <v>-55.012364825351156</v>
      </c>
    </row>
    <row r="416" spans="1:4" x14ac:dyDescent="0.2">
      <c r="A416" s="37">
        <v>-287</v>
      </c>
      <c r="B416" s="41">
        <v>238.49820946773335</v>
      </c>
      <c r="C416" s="41">
        <v>-311.55703887273188</v>
      </c>
      <c r="D416" s="16">
        <f t="shared" si="38"/>
        <v>-52.565793628433674</v>
      </c>
    </row>
    <row r="417" spans="1:4" x14ac:dyDescent="0.2">
      <c r="A417" s="37">
        <v>-288</v>
      </c>
      <c r="B417" s="41">
        <v>252.72868937411891</v>
      </c>
      <c r="C417" s="41">
        <v>-303.86674576495921</v>
      </c>
      <c r="D417" s="16">
        <f t="shared" si="38"/>
        <v>-50.249399844953587</v>
      </c>
    </row>
    <row r="418" spans="1:4" x14ac:dyDescent="0.2">
      <c r="A418" s="39">
        <v>-289</v>
      </c>
      <c r="B418" s="41">
        <v>265.79889033960529</v>
      </c>
      <c r="C418" s="41">
        <v>-296.74708478917933</v>
      </c>
      <c r="D418" s="16">
        <f t="shared" si="38"/>
        <v>-48.148925285973945</v>
      </c>
    </row>
    <row r="419" spans="1:4" x14ac:dyDescent="0.2">
      <c r="A419" s="39">
        <v>-290</v>
      </c>
      <c r="B419" s="41">
        <v>277.89966691926583</v>
      </c>
      <c r="C419" s="41">
        <v>-290.11732179573227</v>
      </c>
      <c r="D419" s="16">
        <f t="shared" si="38"/>
        <v>-46.232202819545577</v>
      </c>
    </row>
    <row r="420" spans="1:4" x14ac:dyDescent="0.2">
      <c r="A420" s="37">
        <v>-291</v>
      </c>
      <c r="B420" s="41">
        <v>289.18412386242198</v>
      </c>
      <c r="C420" s="41">
        <v>-283.91077537954953</v>
      </c>
      <c r="D420" s="16">
        <f t="shared" si="38"/>
        <v>-44.472806186936253</v>
      </c>
    </row>
    <row r="421" spans="1:4" x14ac:dyDescent="0.2">
      <c r="A421" s="37">
        <v>-292</v>
      </c>
      <c r="B421" s="41">
        <v>299.77662253769836</v>
      </c>
      <c r="C421" s="41">
        <v>-278.07179633246454</v>
      </c>
      <c r="D421" s="16">
        <f t="shared" si="38"/>
        <v>-42.848898528815681</v>
      </c>
    </row>
    <row r="422" spans="1:4" x14ac:dyDescent="0.2">
      <c r="A422" s="39">
        <v>-293</v>
      </c>
      <c r="B422" s="41">
        <v>309.77934219622739</v>
      </c>
      <c r="C422" s="41">
        <v>-272.55349202036814</v>
      </c>
      <c r="D422" s="16">
        <f t="shared" si="38"/>
        <v>-41.342322173885627</v>
      </c>
    </row>
    <row r="423" spans="1:4" x14ac:dyDescent="0.2">
      <c r="A423" s="39">
        <v>-294</v>
      </c>
      <c r="B423" s="41">
        <v>319.27714135944086</v>
      </c>
      <c r="C423" s="41">
        <v>-267.31599504280854</v>
      </c>
      <c r="D423" s="16">
        <f t="shared" si="38"/>
        <v>-39.93788151856112</v>
      </c>
    </row>
    <row r="424" spans="1:4" x14ac:dyDescent="0.2">
      <c r="A424" s="37">
        <v>-295</v>
      </c>
      <c r="B424" s="41">
        <v>328.34120504262648</v>
      </c>
      <c r="C424" s="41">
        <v>-262.32512152580063</v>
      </c>
      <c r="D424" s="16">
        <f t="shared" si="38"/>
        <v>-38.622777676865404</v>
      </c>
    </row>
    <row r="425" spans="1:4" x14ac:dyDescent="0.2">
      <c r="A425" s="37">
        <v>-296</v>
      </c>
      <c r="B425" s="41">
        <v>337.03182225249486</v>
      </c>
      <c r="C425" s="41">
        <v>-257.55132485851408</v>
      </c>
      <c r="D425" s="16">
        <f t="shared" si="38"/>
        <v>-37.386161697443406</v>
      </c>
    </row>
    <row r="426" spans="1:4" x14ac:dyDescent="0.2">
      <c r="A426" s="39">
        <v>-297</v>
      </c>
      <c r="B426" s="41">
        <v>345.40052317406855</v>
      </c>
      <c r="C426" s="41">
        <v>-252.96886694087934</v>
      </c>
      <c r="D426" s="16">
        <f t="shared" si="38"/>
        <v>-36.218780008717353</v>
      </c>
    </row>
    <row r="427" spans="1:4" x14ac:dyDescent="0.2">
      <c r="A427" s="39">
        <v>-298</v>
      </c>
      <c r="B427" s="41">
        <v>353.49174548759635</v>
      </c>
      <c r="C427" s="41">
        <v>-248.55515798373881</v>
      </c>
      <c r="D427" s="16">
        <f t="shared" si="38"/>
        <v>-35.112691722003873</v>
      </c>
    </row>
    <row r="428" spans="1:4" x14ac:dyDescent="0.2">
      <c r="A428" s="37">
        <v>-299</v>
      </c>
      <c r="B428" s="41">
        <v>361.34414638595598</v>
      </c>
      <c r="C428" s="41">
        <v>-244.29022420357063</v>
      </c>
      <c r="D428" s="16">
        <f t="shared" si="38"/>
        <v>-34.061041999229253</v>
      </c>
    </row>
    <row r="429" spans="1:4" x14ac:dyDescent="0.2">
      <c r="A429" s="37">
        <v>-300</v>
      </c>
      <c r="B429" s="41">
        <v>368.99164319425739</v>
      </c>
      <c r="C429" s="41">
        <v>-240.15627246512531</v>
      </c>
      <c r="D429" s="16">
        <f t="shared" si="38"/>
        <v>-33.057879314374318</v>
      </c>
    </row>
    <row r="430" spans="1:4" x14ac:dyDescent="0.2">
      <c r="A430" s="39">
        <v>-301</v>
      </c>
      <c r="B430" s="41">
        <v>376.46425212120511</v>
      </c>
      <c r="C430" s="41">
        <v>-236.137335208011</v>
      </c>
      <c r="D430" s="16">
        <f t="shared" si="38"/>
        <v>-32.098007294560638</v>
      </c>
    </row>
    <row r="431" spans="1:4" x14ac:dyDescent="0.2">
      <c r="A431" s="39">
        <v>-302</v>
      </c>
      <c r="B431" s="41">
        <v>383.78876686026956</v>
      </c>
      <c r="C431" s="41">
        <v>-232.21897497545527</v>
      </c>
      <c r="D431" s="16">
        <f t="shared" si="38"/>
        <v>-31.176863855693227</v>
      </c>
    </row>
    <row r="432" spans="1:4" x14ac:dyDescent="0.2">
      <c r="A432" s="37">
        <v>-303</v>
      </c>
      <c r="B432" s="41">
        <v>390.98931427913101</v>
      </c>
      <c r="C432" s="41">
        <v>-228.38803746485453</v>
      </c>
      <c r="D432" s="16">
        <f t="shared" si="38"/>
        <v>-30.290422035781386</v>
      </c>
    </row>
    <row r="433" spans="1:4" x14ac:dyDescent="0.2">
      <c r="A433" s="37">
        <v>-304</v>
      </c>
      <c r="B433" s="41">
        <v>398.08781162530511</v>
      </c>
      <c r="C433" s="41">
        <v>-224.632441709669</v>
      </c>
      <c r="D433" s="16">
        <f t="shared" si="38"/>
        <v>-29.435108136591104</v>
      </c>
    </row>
    <row r="434" spans="1:4" x14ac:dyDescent="0.2">
      <c r="A434" s="39">
        <v>-305</v>
      </c>
      <c r="B434" s="41">
        <v>405.10435120883824</v>
      </c>
      <c r="C434" s="41">
        <v>-220.94100319811383</v>
      </c>
      <c r="D434" s="16">
        <f t="shared" si="38"/>
        <v>-28.607733787250446</v>
      </c>
    </row>
    <row r="435" spans="1:4" x14ac:dyDescent="0.2">
      <c r="A435" s="39">
        <v>-306</v>
      </c>
      <c r="B435" s="41">
        <v>412.05752118728731</v>
      </c>
      <c r="C435" s="41">
        <v>-217.30327900483877</v>
      </c>
      <c r="D435" s="16">
        <f t="shared" si="38"/>
        <v>-27.805439187260937</v>
      </c>
    </row>
    <row r="436" spans="1:4" x14ac:dyDescent="0.2">
      <c r="A436" s="37">
        <v>-307</v>
      </c>
      <c r="B436" s="41">
        <v>418.96468208420032</v>
      </c>
      <c r="C436" s="41">
        <v>-213.70943457351879</v>
      </c>
      <c r="D436" s="16">
        <f t="shared" si="38"/>
        <v>-27.025645445859432</v>
      </c>
    </row>
    <row r="437" spans="1:4" x14ac:dyDescent="0.2">
      <c r="A437" s="37">
        <v>-308</v>
      </c>
      <c r="B437" s="41">
        <v>425.8422008362661</v>
      </c>
      <c r="C437" s="41">
        <v>-210.15012325415697</v>
      </c>
      <c r="D437" s="16">
        <f t="shared" si="38"/>
        <v>-26.266014271960085</v>
      </c>
    </row>
    <row r="438" spans="1:4" x14ac:dyDescent="0.2">
      <c r="A438" s="39">
        <v>-309</v>
      </c>
      <c r="B438" s="41">
        <v>432.70566069133076</v>
      </c>
      <c r="C438" s="41">
        <v>-206.61638137773505</v>
      </c>
      <c r="D438" s="16">
        <f t="shared" si="38"/>
        <v>-25.524413721815755</v>
      </c>
    </row>
    <row r="439" spans="1:4" x14ac:dyDescent="0.2">
      <c r="A439" s="39">
        <v>-310</v>
      </c>
      <c r="B439" s="41">
        <v>436.53473969687906</v>
      </c>
      <c r="C439" s="41">
        <v>-203.56259481713789</v>
      </c>
      <c r="D439" s="16">
        <f t="shared" si="38"/>
        <v>-25.000334492403493</v>
      </c>
    </row>
    <row r="440" spans="1:4" x14ac:dyDescent="0.2">
      <c r="A440" s="37">
        <v>-311</v>
      </c>
      <c r="B440" s="41">
        <v>443.40948654137816</v>
      </c>
      <c r="C440" s="41">
        <v>-200.04096513382763</v>
      </c>
      <c r="D440" s="16">
        <f t="shared" si="38"/>
        <v>-24.282169811550837</v>
      </c>
    </row>
    <row r="441" spans="1:4" x14ac:dyDescent="0.2">
      <c r="A441" s="37">
        <v>-312</v>
      </c>
      <c r="B441" s="41">
        <v>450.31248024999809</v>
      </c>
      <c r="C441" s="41">
        <v>-196.51900321573461</v>
      </c>
      <c r="D441" s="16">
        <f t="shared" si="38"/>
        <v>-23.57673822293674</v>
      </c>
    </row>
    <row r="442" spans="1:4" x14ac:dyDescent="0.2">
      <c r="A442" s="39">
        <v>-313</v>
      </c>
      <c r="B442" s="41">
        <v>457.25785418921697</v>
      </c>
      <c r="C442" s="41">
        <v>-192.98832927230157</v>
      </c>
      <c r="D442" s="16">
        <f t="shared" si="38"/>
        <v>-22.88245854549136</v>
      </c>
    </row>
    <row r="443" spans="1:4" x14ac:dyDescent="0.2">
      <c r="A443" s="39">
        <v>-314</v>
      </c>
      <c r="B443" s="41">
        <v>464.2597208135283</v>
      </c>
      <c r="C443" s="41">
        <v>-189.44050512994201</v>
      </c>
      <c r="D443" s="16">
        <f t="shared" si="38"/>
        <v>-22.197844143768808</v>
      </c>
    </row>
    <row r="444" spans="1:4" x14ac:dyDescent="0.2">
      <c r="A444" s="37">
        <v>-315</v>
      </c>
      <c r="B444" s="41">
        <v>471.33230060775765</v>
      </c>
      <c r="C444" s="41">
        <v>-185.8669515308118</v>
      </c>
      <c r="D444" s="16">
        <f t="shared" si="38"/>
        <v>-21.521487558832529</v>
      </c>
    </row>
    <row r="445" spans="1:4" x14ac:dyDescent="0.2">
      <c r="A445" s="37">
        <v>-316</v>
      </c>
      <c r="B445" s="41">
        <v>478.31979918871377</v>
      </c>
      <c r="C445" s="41">
        <v>-182.3212839961565</v>
      </c>
      <c r="D445" s="16">
        <f t="shared" si="38"/>
        <v>-20.865358911340046</v>
      </c>
    </row>
    <row r="446" spans="1:4" x14ac:dyDescent="0.2">
      <c r="A446" s="39">
        <v>-317</v>
      </c>
      <c r="B446" s="41">
        <v>482.65668493964432</v>
      </c>
      <c r="C446" s="41">
        <v>-179.75039434721327</v>
      </c>
      <c r="D446" s="16">
        <f t="shared" si="38"/>
        <v>-20.42627366507454</v>
      </c>
    </row>
    <row r="447" spans="1:4" x14ac:dyDescent="0.2">
      <c r="A447" s="39">
        <v>-318</v>
      </c>
      <c r="B447" s="41">
        <v>486.9948114723876</v>
      </c>
      <c r="C447" s="41">
        <v>-177.18846419704511</v>
      </c>
      <c r="D447" s="16">
        <f t="shared" si="38"/>
        <v>-19.993438983093839</v>
      </c>
    </row>
    <row r="448" spans="1:4" x14ac:dyDescent="0.2">
      <c r="A448" s="37">
        <v>-319</v>
      </c>
      <c r="B448" s="41">
        <v>491.3428073616214</v>
      </c>
      <c r="C448" s="41">
        <v>-174.63057234620717</v>
      </c>
      <c r="D448" s="16">
        <f t="shared" si="38"/>
        <v>-19.565972835548063</v>
      </c>
    </row>
    <row r="449" spans="1:4" x14ac:dyDescent="0.2">
      <c r="A449" s="37">
        <v>-320</v>
      </c>
      <c r="B449" s="41">
        <v>495.70935628244473</v>
      </c>
      <c r="C449" s="41">
        <v>-172.07171386610892</v>
      </c>
      <c r="D449" s="16">
        <f t="shared" si="38"/>
        <v>-19.143022168722723</v>
      </c>
    </row>
    <row r="450" spans="1:4" x14ac:dyDescent="0.2">
      <c r="A450" s="39">
        <v>-321</v>
      </c>
      <c r="B450" s="41">
        <v>500.10326981807299</v>
      </c>
      <c r="C450" s="41">
        <v>-169.50674813548082</v>
      </c>
      <c r="D450" s="16">
        <f t="shared" ref="D450:D490" si="39">DEGREES(ATAN2(B450,C450))</f>
        <v>-18.723754819975156</v>
      </c>
    </row>
    <row r="451" spans="1:4" x14ac:dyDescent="0.2">
      <c r="A451" s="39">
        <v>-322</v>
      </c>
      <c r="B451" s="41">
        <v>504.53357290347412</v>
      </c>
      <c r="C451" s="41">
        <v>-166.9303419141298</v>
      </c>
      <c r="D451" s="16">
        <f t="shared" si="39"/>
        <v>-18.307351179838182</v>
      </c>
    </row>
    <row r="452" spans="1:4" x14ac:dyDescent="0.2">
      <c r="A452" s="37">
        <v>-323</v>
      </c>
      <c r="B452" s="41">
        <v>509.00958114005533</v>
      </c>
      <c r="C452" s="41">
        <v>-164.33690727363668</v>
      </c>
      <c r="D452" s="16">
        <f t="shared" si="39"/>
        <v>-17.892996361357941</v>
      </c>
    </row>
    <row r="453" spans="1:4" x14ac:dyDescent="0.2">
      <c r="A453" s="37">
        <v>-324</v>
      </c>
      <c r="B453" s="41">
        <v>513.54099296059303</v>
      </c>
      <c r="C453" s="41">
        <v>-161.72053131200622</v>
      </c>
      <c r="D453" s="16">
        <f t="shared" si="39"/>
        <v>-17.479871793615853</v>
      </c>
    </row>
    <row r="454" spans="1:4" x14ac:dyDescent="0.2">
      <c r="A454" s="39">
        <v>-325</v>
      </c>
      <c r="B454" s="41">
        <v>518.1379849336513</v>
      </c>
      <c r="C454" s="41">
        <v>-159.07489643027884</v>
      </c>
      <c r="D454" s="16">
        <f t="shared" si="39"/>
        <v>-17.067146614667241</v>
      </c>
    </row>
    <row r="455" spans="1:4" x14ac:dyDescent="0.2">
      <c r="A455" s="39">
        <v>-326</v>
      </c>
      <c r="B455" s="41">
        <v>522.81131918529093</v>
      </c>
      <c r="C455" s="41">
        <v>-156.3931880428492</v>
      </c>
      <c r="D455" s="16">
        <f t="shared" si="39"/>
        <v>-16.653968350201396</v>
      </c>
    </row>
    <row r="456" spans="1:4" x14ac:dyDescent="0.2">
      <c r="A456" s="37">
        <v>-327</v>
      </c>
      <c r="B456" s="41">
        <v>527.57245906327103</v>
      </c>
      <c r="C456" s="41">
        <v>-153.66798730850593</v>
      </c>
      <c r="D456" s="16">
        <f t="shared" si="39"/>
        <v>-16.239452902129603</v>
      </c>
    </row>
    <row r="457" spans="1:4" x14ac:dyDescent="0.2">
      <c r="A457" s="37">
        <v>-328</v>
      </c>
      <c r="B457" s="41">
        <v>532.43370630242919</v>
      </c>
      <c r="C457" s="41">
        <v>-150.89114353496649</v>
      </c>
      <c r="D457" s="16">
        <f t="shared" si="39"/>
        <v>-15.822673091008511</v>
      </c>
    </row>
    <row r="458" spans="1:4" x14ac:dyDescent="0.2">
      <c r="A458" s="39">
        <v>-329</v>
      </c>
      <c r="B458" s="41">
        <v>537.4083522536888</v>
      </c>
      <c r="C458" s="41">
        <v>-148.0536226416146</v>
      </c>
      <c r="D458" s="16">
        <f t="shared" si="39"/>
        <v>-15.402645872502791</v>
      </c>
    </row>
    <row r="459" spans="1:4" x14ac:dyDescent="0.2">
      <c r="A459" s="39">
        <v>-330</v>
      </c>
      <c r="B459" s="41">
        <v>541.44849852288439</v>
      </c>
      <c r="C459" s="41">
        <v>-144.64714148769568</v>
      </c>
      <c r="D459" s="16">
        <f t="shared" si="39"/>
        <v>-14.9571870140465</v>
      </c>
    </row>
    <row r="460" spans="1:4" x14ac:dyDescent="0.2">
      <c r="A460" s="37">
        <v>-331</v>
      </c>
      <c r="B460" s="41">
        <v>543.67369459659108</v>
      </c>
      <c r="C460" s="41">
        <v>-140.25864400980893</v>
      </c>
      <c r="D460" s="16">
        <f t="shared" si="39"/>
        <v>-14.465922345393389</v>
      </c>
    </row>
    <row r="461" spans="1:4" x14ac:dyDescent="0.2">
      <c r="A461" s="37">
        <v>-332</v>
      </c>
      <c r="B461" s="41">
        <v>545.88528186780547</v>
      </c>
      <c r="C461" s="41">
        <v>-135.72262444707459</v>
      </c>
      <c r="D461" s="16">
        <f t="shared" si="39"/>
        <v>-13.96225947503218</v>
      </c>
    </row>
    <row r="462" spans="1:4" x14ac:dyDescent="0.2">
      <c r="A462" s="39">
        <v>-333</v>
      </c>
      <c r="B462" s="41">
        <v>548.08734623550731</v>
      </c>
      <c r="C462" s="41">
        <v>-131.0204249702341</v>
      </c>
      <c r="D462" s="16">
        <f t="shared" si="39"/>
        <v>-13.444270001948837</v>
      </c>
    </row>
    <row r="463" spans="1:4" x14ac:dyDescent="0.2">
      <c r="A463" s="39">
        <v>-334</v>
      </c>
      <c r="B463" s="41">
        <v>550.28413226852877</v>
      </c>
      <c r="C463" s="41">
        <v>-126.13081753633445</v>
      </c>
      <c r="D463" s="16">
        <f t="shared" si="39"/>
        <v>-12.909786532838895</v>
      </c>
    </row>
    <row r="464" spans="1:4" x14ac:dyDescent="0.2">
      <c r="A464" s="37">
        <v>-335</v>
      </c>
      <c r="B464" s="41">
        <v>552.4621585003556</v>
      </c>
      <c r="C464" s="41">
        <v>-121.06799555063088</v>
      </c>
      <c r="D464" s="16">
        <f t="shared" si="39"/>
        <v>-12.360552779026131</v>
      </c>
    </row>
    <row r="465" spans="1:4" x14ac:dyDescent="0.2">
      <c r="A465" s="37">
        <v>-336</v>
      </c>
      <c r="B465" s="41">
        <v>554.52603551348477</v>
      </c>
      <c r="C465" s="41">
        <v>-116.02981829058592</v>
      </c>
      <c r="D465" s="16">
        <f t="shared" si="39"/>
        <v>-11.818145439161105</v>
      </c>
    </row>
    <row r="466" spans="1:4" x14ac:dyDescent="0.2">
      <c r="A466" s="39">
        <v>-337</v>
      </c>
      <c r="B466" s="41">
        <v>556.46648398108414</v>
      </c>
      <c r="C466" s="41">
        <v>-111.04364857887046</v>
      </c>
      <c r="D466" s="16">
        <f t="shared" si="39"/>
        <v>-11.285214310893549</v>
      </c>
    </row>
    <row r="467" spans="1:4" x14ac:dyDescent="0.2">
      <c r="A467" s="39">
        <v>-338</v>
      </c>
      <c r="B467" s="41">
        <v>558.28952955649129</v>
      </c>
      <c r="C467" s="41">
        <v>-106.10407198712828</v>
      </c>
      <c r="D467" s="16">
        <f t="shared" si="39"/>
        <v>-10.760845636115935</v>
      </c>
    </row>
    <row r="468" spans="1:4" x14ac:dyDescent="0.2">
      <c r="A468" s="37">
        <v>-339</v>
      </c>
      <c r="B468" s="41">
        <v>560.00071215869571</v>
      </c>
      <c r="C468" s="41">
        <v>-101.2057704244899</v>
      </c>
      <c r="D468" s="16">
        <f t="shared" si="39"/>
        <v>-10.2441689323843</v>
      </c>
    </row>
    <row r="469" spans="1:4" x14ac:dyDescent="0.2">
      <c r="A469" s="37">
        <v>-340</v>
      </c>
      <c r="B469" s="41">
        <v>561.6051277879485</v>
      </c>
      <c r="C469" s="41">
        <v>-96.343493580430277</v>
      </c>
      <c r="D469" s="16">
        <f t="shared" si="39"/>
        <v>-9.7343504066898721</v>
      </c>
    </row>
    <row r="470" spans="1:4" x14ac:dyDescent="0.2">
      <c r="A470" s="39">
        <v>-341</v>
      </c>
      <c r="B470" s="41">
        <v>563.10746313222921</v>
      </c>
      <c r="C470" s="41">
        <v>-91.512029983841529</v>
      </c>
      <c r="D470" s="16">
        <f t="shared" si="39"/>
        <v>-9.230586827554955</v>
      </c>
    </row>
    <row r="471" spans="1:4" x14ac:dyDescent="0.2">
      <c r="A471" s="39">
        <v>-342</v>
      </c>
      <c r="B471" s="41">
        <v>564.51202686439819</v>
      </c>
      <c r="C471" s="41">
        <v>-86.706177144287153</v>
      </c>
      <c r="D471" s="16">
        <f t="shared" si="39"/>
        <v>-8.7320996728209916</v>
      </c>
    </row>
    <row r="472" spans="1:4" x14ac:dyDescent="0.2">
      <c r="A472" s="37">
        <v>-343</v>
      </c>
      <c r="B472" s="41">
        <v>565.82277189778131</v>
      </c>
      <c r="C472" s="41">
        <v>-81.920710462876073</v>
      </c>
      <c r="D472" s="16">
        <f t="shared" si="39"/>
        <v>-8.2381295632689184</v>
      </c>
    </row>
    <row r="473" spans="1:4" x14ac:dyDescent="0.2">
      <c r="A473" s="37">
        <v>-344</v>
      </c>
      <c r="B473" s="41">
        <v>567.04332826833991</v>
      </c>
      <c r="C473" s="41">
        <v>-77.150349834418435</v>
      </c>
      <c r="D473" s="16">
        <f t="shared" si="39"/>
        <v>-7.7479305374145211</v>
      </c>
    </row>
    <row r="474" spans="1:4" x14ac:dyDescent="0.2">
      <c r="A474" s="39">
        <v>-345</v>
      </c>
      <c r="B474" s="41">
        <v>568.17702648167437</v>
      </c>
      <c r="C474" s="41">
        <v>-72.389723896128046</v>
      </c>
      <c r="D474" s="16">
        <f t="shared" si="39"/>
        <v>-7.2607644676023577</v>
      </c>
    </row>
    <row r="475" spans="1:4" x14ac:dyDescent="0.2">
      <c r="A475" s="39">
        <v>-346</v>
      </c>
      <c r="B475" s="41">
        <v>569.22690577391131</v>
      </c>
      <c r="C475" s="41">
        <v>-67.633331313406245</v>
      </c>
      <c r="D475" s="16">
        <f t="shared" si="39"/>
        <v>-6.7758955524149975</v>
      </c>
    </row>
    <row r="476" spans="1:4" x14ac:dyDescent="0.2">
      <c r="A476" s="37">
        <v>-347</v>
      </c>
      <c r="B476" s="41">
        <v>570.19574575351112</v>
      </c>
      <c r="C476" s="41">
        <v>-62.87549722744879</v>
      </c>
      <c r="D476" s="16">
        <f t="shared" si="39"/>
        <v>-6.2925841791342743</v>
      </c>
    </row>
    <row r="477" spans="1:4" x14ac:dyDescent="0.2">
      <c r="A477" s="37">
        <v>-348</v>
      </c>
      <c r="B477" s="41">
        <v>571.08607468924208</v>
      </c>
      <c r="C477" s="41">
        <v>-58.1103250549492</v>
      </c>
      <c r="D477" s="16">
        <f t="shared" si="39"/>
        <v>-5.8100807784421082</v>
      </c>
    </row>
    <row r="478" spans="1:4" x14ac:dyDescent="0.2">
      <c r="A478" s="39">
        <v>-349</v>
      </c>
      <c r="B478" s="41">
        <v>571.90018828120185</v>
      </c>
      <c r="C478" s="41">
        <v>-53.331641478626544</v>
      </c>
      <c r="D478" s="16">
        <f t="shared" si="39"/>
        <v>-5.327618999479947</v>
      </c>
    </row>
    <row r="479" spans="1:4" x14ac:dyDescent="0.2">
      <c r="A479" s="39">
        <v>-350</v>
      </c>
      <c r="B479" s="41">
        <v>572.64015920214695</v>
      </c>
      <c r="C479" s="41">
        <v>-48.53293355636351</v>
      </c>
      <c r="D479" s="16">
        <f t="shared" si="39"/>
        <v>-4.8444083233277935</v>
      </c>
    </row>
    <row r="480" spans="1:4" x14ac:dyDescent="0.2">
      <c r="A480" s="37">
        <v>-351</v>
      </c>
      <c r="B480" s="41">
        <v>573.30785080143153</v>
      </c>
      <c r="C480" s="41">
        <v>-43.707275664882538</v>
      </c>
      <c r="D480" s="16">
        <f t="shared" si="39"/>
        <v>-4.3596257309753739</v>
      </c>
    </row>
    <row r="481" spans="1:4" x14ac:dyDescent="0.2">
      <c r="A481" s="37">
        <v>-352</v>
      </c>
      <c r="B481" s="41">
        <v>573.90492805568476</v>
      </c>
      <c r="C481" s="41">
        <v>-38.847243995036145</v>
      </c>
      <c r="D481" s="16">
        <f t="shared" si="39"/>
        <v>-3.8724062716311032</v>
      </c>
    </row>
    <row r="482" spans="1:4" x14ac:dyDescent="0.2">
      <c r="A482" s="39">
        <v>-353</v>
      </c>
      <c r="B482" s="41">
        <v>574.43286684250882</v>
      </c>
      <c r="C482" s="41">
        <v>-33.9448154558551</v>
      </c>
      <c r="D482" s="16">
        <f t="shared" si="39"/>
        <v>-3.3818322013579829</v>
      </c>
    </row>
    <row r="483" spans="1:4" x14ac:dyDescent="0.2">
      <c r="A483" s="39">
        <v>-354</v>
      </c>
      <c r="B483" s="41">
        <v>574.70829584322269</v>
      </c>
      <c r="C483" s="41">
        <v>-31.353102937648256</v>
      </c>
      <c r="D483" s="16">
        <f t="shared" si="39"/>
        <v>-3.1226650044589963</v>
      </c>
    </row>
    <row r="484" spans="1:4" x14ac:dyDescent="0.2">
      <c r="A484" s="37">
        <v>-355</v>
      </c>
      <c r="B484" s="41">
        <v>575.10564931366014</v>
      </c>
      <c r="C484" s="41">
        <v>-26.346844957031276</v>
      </c>
      <c r="D484" s="16">
        <f t="shared" si="39"/>
        <v>-2.6230107129193083</v>
      </c>
    </row>
    <row r="485" spans="1:4" x14ac:dyDescent="0.2">
      <c r="A485" s="37">
        <v>-356</v>
      </c>
      <c r="B485" s="41">
        <v>575.4373380958591</v>
      </c>
      <c r="C485" s="41">
        <v>-21.270203555011022</v>
      </c>
      <c r="D485" s="16">
        <f t="shared" si="39"/>
        <v>-2.1168913314669395</v>
      </c>
    </row>
    <row r="486" spans="1:4" x14ac:dyDescent="0.2">
      <c r="A486" s="39">
        <v>-357</v>
      </c>
      <c r="B486" s="41">
        <v>575.70415535616326</v>
      </c>
      <c r="C486" s="41">
        <v>-16.111417174879428</v>
      </c>
      <c r="D486" s="16">
        <f t="shared" si="39"/>
        <v>-1.6030374594258769</v>
      </c>
    </row>
    <row r="487" spans="1:4" x14ac:dyDescent="0.2">
      <c r="A487" s="39">
        <v>-358</v>
      </c>
      <c r="B487" s="41">
        <v>575.90672906296447</v>
      </c>
      <c r="C487" s="41">
        <v>-10.85722403656556</v>
      </c>
      <c r="D487" s="16">
        <f t="shared" si="39"/>
        <v>-1.0800350147425068</v>
      </c>
    </row>
    <row r="488" spans="1:4" x14ac:dyDescent="0.2">
      <c r="A488" s="37">
        <v>-359</v>
      </c>
      <c r="B488" s="41">
        <v>576.04553744692112</v>
      </c>
      <c r="C488" s="41">
        <v>-5.4925317870693409</v>
      </c>
      <c r="D488" s="16">
        <f t="shared" si="39"/>
        <v>-0.54629249502357846</v>
      </c>
    </row>
    <row r="489" spans="1:4" x14ac:dyDescent="0.2">
      <c r="A489" s="37">
        <v>-360</v>
      </c>
      <c r="B489" s="41">
        <v>576.12090015198407</v>
      </c>
      <c r="C489" s="41">
        <v>-1.2270839657573114E-13</v>
      </c>
      <c r="D489" s="16">
        <f t="shared" si="39"/>
        <v>-1.2203468460790476E-14</v>
      </c>
    </row>
    <row r="490" spans="1:4" x14ac:dyDescent="0.2">
      <c r="A490" s="41"/>
      <c r="B490" s="41">
        <f>B129</f>
        <v>576.12090015198407</v>
      </c>
      <c r="C490" s="41">
        <f>C129</f>
        <v>0</v>
      </c>
      <c r="D490" s="16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774700</xdr:colOff>
                    <xdr:row>121</xdr:row>
                    <xdr:rowOff>63500</xdr:rowOff>
                  </from>
                  <to>
                    <xdr:col>2</xdr:col>
                    <xdr:colOff>889000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50800</xdr:rowOff>
                  </from>
                  <to>
                    <xdr:col>5</xdr:col>
                    <xdr:colOff>1155700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546100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baseColWidth="10" defaultColWidth="8.83203125" defaultRowHeight="15" x14ac:dyDescent="0.2"/>
  <sheetData>
    <row r="1" spans="1:3" x14ac:dyDescent="0.2">
      <c r="A1">
        <v>0</v>
      </c>
      <c r="B1">
        <v>0</v>
      </c>
      <c r="C1">
        <v>0</v>
      </c>
    </row>
    <row r="2" spans="1:3" x14ac:dyDescent="0.2">
      <c r="A2">
        <v>3</v>
      </c>
      <c r="B2">
        <v>0.375</v>
      </c>
      <c r="C2">
        <v>0.11</v>
      </c>
    </row>
    <row r="3" spans="1:3" x14ac:dyDescent="0.2">
      <c r="A3">
        <v>4</v>
      </c>
      <c r="B3">
        <v>0.5</v>
      </c>
      <c r="C3">
        <v>0.2</v>
      </c>
    </row>
    <row r="4" spans="1:3" x14ac:dyDescent="0.2">
      <c r="A4">
        <v>5</v>
      </c>
      <c r="B4">
        <v>0.625</v>
      </c>
      <c r="C4">
        <v>0.31</v>
      </c>
    </row>
    <row r="5" spans="1:3" x14ac:dyDescent="0.2">
      <c r="A5">
        <v>6</v>
      </c>
      <c r="B5">
        <v>0.75</v>
      </c>
      <c r="C5">
        <v>0.44</v>
      </c>
    </row>
    <row r="6" spans="1:3" x14ac:dyDescent="0.2">
      <c r="A6">
        <v>7</v>
      </c>
      <c r="B6">
        <v>0.875</v>
      </c>
      <c r="C6">
        <v>0.6</v>
      </c>
    </row>
    <row r="7" spans="1:3" x14ac:dyDescent="0.2">
      <c r="A7">
        <v>8</v>
      </c>
      <c r="B7">
        <v>1</v>
      </c>
      <c r="C7">
        <v>0.79</v>
      </c>
    </row>
    <row r="8" spans="1:3" x14ac:dyDescent="0.2">
      <c r="A8">
        <v>9</v>
      </c>
      <c r="B8">
        <v>1.1279999999999999</v>
      </c>
      <c r="C8">
        <v>1</v>
      </c>
    </row>
    <row r="9" spans="1:3" x14ac:dyDescent="0.2">
      <c r="A9">
        <v>10</v>
      </c>
      <c r="B9">
        <v>1.27</v>
      </c>
      <c r="C9">
        <v>1.27</v>
      </c>
    </row>
    <row r="10" spans="1:3" x14ac:dyDescent="0.2">
      <c r="A10">
        <v>11</v>
      </c>
      <c r="B10">
        <v>1.41</v>
      </c>
      <c r="C10">
        <v>1.56</v>
      </c>
    </row>
    <row r="11" spans="1:3" x14ac:dyDescent="0.2">
      <c r="A11">
        <v>14</v>
      </c>
      <c r="B11">
        <v>1.6930000000000001</v>
      </c>
      <c r="C11">
        <v>2.25</v>
      </c>
    </row>
    <row r="12" spans="1:3" x14ac:dyDescent="0.2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</cp:lastModifiedBy>
  <dcterms:created xsi:type="dcterms:W3CDTF">2020-01-14T22:46:38Z</dcterms:created>
  <dcterms:modified xsi:type="dcterms:W3CDTF">2020-01-18T05:32:02Z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